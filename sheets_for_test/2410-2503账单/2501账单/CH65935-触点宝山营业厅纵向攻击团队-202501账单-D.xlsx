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501电信\2501账单\"/>
    </mc:Choice>
  </mc:AlternateContent>
  <xr:revisionPtr revIDLastSave="0" documentId="13_ncr:1_{95D8F177-6192-4F67-97F0-F491BC0D4D19}" xr6:coauthVersionLast="36" xr6:coauthVersionMax="36" xr10:uidLastSave="{00000000-0000-0000-0000-000000000000}"/>
  <bookViews>
    <workbookView xWindow="0" yWindow="0" windowWidth="23040" windowHeight="8700" xr2:uid="{040570E6-12F6-4EBD-8CB1-E9989DBA7558}"/>
  </bookViews>
  <sheets>
    <sheet name="202502" sheetId="1" r:id="rId1"/>
  </sheets>
  <externalReferences>
    <externalReference r:id="rId2"/>
  </externalReferences>
  <definedNames>
    <definedName name="_xlnm._FilterDatabase" localSheetId="0" hidden="1">'202502'!$A$1:$BG$38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1" i="1" l="1"/>
  <c r="AY42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17" i="1"/>
  <c r="AY43" i="1" l="1"/>
  <c r="BA42" i="1"/>
  <c r="AT38" i="1" l="1"/>
  <c r="AS38" i="1"/>
  <c r="AP38" i="1"/>
  <c r="AO38" i="1"/>
  <c r="AN38" i="1"/>
  <c r="AG38" i="1"/>
  <c r="A38" i="1"/>
  <c r="AT37" i="1"/>
  <c r="AS37" i="1"/>
  <c r="AP37" i="1"/>
  <c r="AN37" i="1"/>
  <c r="AG37" i="1"/>
  <c r="A37" i="1"/>
  <c r="AT36" i="1"/>
  <c r="AS36" i="1"/>
  <c r="AP36" i="1"/>
  <c r="AO36" i="1"/>
  <c r="AN36" i="1"/>
  <c r="AG36" i="1"/>
  <c r="A36" i="1"/>
  <c r="AT35" i="1"/>
  <c r="AS35" i="1"/>
  <c r="AP35" i="1"/>
  <c r="AN35" i="1"/>
  <c r="AG35" i="1"/>
  <c r="A35" i="1"/>
  <c r="AT34" i="1"/>
  <c r="AS34" i="1"/>
  <c r="AP34" i="1"/>
  <c r="AO34" i="1"/>
  <c r="AN34" i="1"/>
  <c r="AG34" i="1"/>
  <c r="A34" i="1"/>
  <c r="AT33" i="1"/>
  <c r="AS33" i="1"/>
  <c r="AP33" i="1"/>
  <c r="AO33" i="1"/>
  <c r="AN33" i="1"/>
  <c r="AG33" i="1"/>
  <c r="A33" i="1"/>
  <c r="AT32" i="1"/>
  <c r="AS32" i="1"/>
  <c r="AP32" i="1"/>
  <c r="AO32" i="1"/>
  <c r="AN32" i="1"/>
  <c r="AG32" i="1"/>
  <c r="A32" i="1"/>
  <c r="AT31" i="1"/>
  <c r="AS31" i="1"/>
  <c r="AP31" i="1"/>
  <c r="AO31" i="1"/>
  <c r="AN31" i="1"/>
  <c r="AG31" i="1"/>
  <c r="A31" i="1"/>
  <c r="AT30" i="1"/>
  <c r="AS30" i="1"/>
  <c r="AP30" i="1"/>
  <c r="AO30" i="1"/>
  <c r="AN30" i="1"/>
  <c r="AG30" i="1"/>
  <c r="A30" i="1"/>
  <c r="AT29" i="1"/>
  <c r="AS29" i="1"/>
  <c r="AP29" i="1"/>
  <c r="AO29" i="1"/>
  <c r="AN29" i="1"/>
  <c r="AG29" i="1"/>
  <c r="A29" i="1"/>
  <c r="AT28" i="1"/>
  <c r="AS28" i="1"/>
  <c r="AP28" i="1"/>
  <c r="AN28" i="1"/>
  <c r="AG28" i="1"/>
  <c r="A28" i="1"/>
  <c r="AT27" i="1"/>
  <c r="AS27" i="1"/>
  <c r="AP27" i="1"/>
  <c r="AO27" i="1"/>
  <c r="AN27" i="1"/>
  <c r="AG27" i="1"/>
  <c r="A27" i="1"/>
  <c r="AT26" i="1"/>
  <c r="AS26" i="1"/>
  <c r="AP26" i="1"/>
  <c r="AO26" i="1"/>
  <c r="AN26" i="1"/>
  <c r="AG26" i="1"/>
  <c r="A26" i="1"/>
  <c r="AT25" i="1"/>
  <c r="AS25" i="1"/>
  <c r="AP25" i="1"/>
  <c r="AO25" i="1"/>
  <c r="AN25" i="1"/>
  <c r="AG25" i="1"/>
  <c r="A25" i="1"/>
  <c r="AT24" i="1"/>
  <c r="AS24" i="1"/>
  <c r="AP24" i="1"/>
  <c r="AN24" i="1"/>
  <c r="AG24" i="1"/>
  <c r="A24" i="1"/>
  <c r="AT23" i="1"/>
  <c r="AS23" i="1"/>
  <c r="AP23" i="1"/>
  <c r="AN23" i="1"/>
  <c r="AG23" i="1"/>
  <c r="A23" i="1"/>
  <c r="AT22" i="1"/>
  <c r="AS22" i="1"/>
  <c r="AP22" i="1"/>
  <c r="AO22" i="1"/>
  <c r="AN22" i="1"/>
  <c r="AG22" i="1"/>
  <c r="A22" i="1"/>
  <c r="AT21" i="1"/>
  <c r="AS21" i="1"/>
  <c r="AP21" i="1"/>
  <c r="AN21" i="1"/>
  <c r="AG21" i="1"/>
  <c r="A21" i="1"/>
  <c r="AT20" i="1"/>
  <c r="AS20" i="1"/>
  <c r="AP20" i="1"/>
  <c r="AN20" i="1"/>
  <c r="AG20" i="1"/>
  <c r="A20" i="1"/>
  <c r="AT19" i="1"/>
  <c r="AS19" i="1"/>
  <c r="AP19" i="1"/>
  <c r="AO19" i="1"/>
  <c r="AN19" i="1"/>
  <c r="AG19" i="1"/>
  <c r="A19" i="1"/>
  <c r="AT18" i="1"/>
  <c r="AS18" i="1"/>
  <c r="AP18" i="1"/>
  <c r="AO18" i="1"/>
  <c r="AN18" i="1"/>
  <c r="AG18" i="1"/>
  <c r="A18" i="1"/>
  <c r="AT17" i="1"/>
  <c r="AS17" i="1"/>
  <c r="AP17" i="1"/>
  <c r="AN17" i="1"/>
  <c r="AG17" i="1"/>
  <c r="A17" i="1"/>
  <c r="AT16" i="1"/>
  <c r="AS16" i="1"/>
  <c r="AP16" i="1"/>
  <c r="AO16" i="1"/>
  <c r="AN16" i="1"/>
  <c r="AG16" i="1"/>
  <c r="A16" i="1"/>
  <c r="AT15" i="1"/>
  <c r="AS15" i="1"/>
  <c r="AP15" i="1"/>
  <c r="AN15" i="1"/>
  <c r="AG15" i="1"/>
  <c r="A15" i="1"/>
  <c r="AT14" i="1"/>
  <c r="AS14" i="1"/>
  <c r="AP14" i="1"/>
  <c r="AO14" i="1"/>
  <c r="AN14" i="1"/>
  <c r="AG14" i="1"/>
  <c r="A14" i="1"/>
  <c r="AT13" i="1"/>
  <c r="AS13" i="1"/>
  <c r="AP13" i="1"/>
  <c r="AN13" i="1"/>
  <c r="AG13" i="1"/>
  <c r="A13" i="1"/>
  <c r="AT12" i="1"/>
  <c r="AS12" i="1"/>
  <c r="AP12" i="1"/>
  <c r="AO12" i="1"/>
  <c r="AN12" i="1"/>
  <c r="AG12" i="1"/>
  <c r="A12" i="1"/>
  <c r="AT11" i="1"/>
  <c r="AS11" i="1"/>
  <c r="AP11" i="1"/>
  <c r="AO11" i="1"/>
  <c r="AN11" i="1"/>
  <c r="AG11" i="1"/>
  <c r="A11" i="1"/>
  <c r="AT10" i="1"/>
  <c r="AS10" i="1"/>
  <c r="AP10" i="1"/>
  <c r="AO10" i="1"/>
  <c r="AN10" i="1"/>
  <c r="AG10" i="1"/>
  <c r="A10" i="1"/>
  <c r="AT9" i="1"/>
  <c r="AS9" i="1"/>
  <c r="AP9" i="1"/>
  <c r="AO9" i="1"/>
  <c r="AN9" i="1"/>
  <c r="AG9" i="1"/>
  <c r="A9" i="1"/>
  <c r="AT8" i="1"/>
  <c r="AS8" i="1"/>
  <c r="AP8" i="1"/>
  <c r="AN8" i="1"/>
  <c r="AG8" i="1"/>
  <c r="A8" i="1"/>
  <c r="AT7" i="1"/>
  <c r="AS7" i="1"/>
  <c r="AP7" i="1"/>
  <c r="AO7" i="1"/>
  <c r="AN7" i="1"/>
  <c r="AG7" i="1"/>
  <c r="A7" i="1"/>
  <c r="AT6" i="1"/>
  <c r="AS6" i="1"/>
  <c r="AP6" i="1"/>
  <c r="AN6" i="1"/>
  <c r="AG6" i="1"/>
  <c r="A6" i="1"/>
  <c r="AT5" i="1"/>
  <c r="AS5" i="1"/>
  <c r="AP5" i="1"/>
  <c r="AN5" i="1"/>
  <c r="AG5" i="1"/>
  <c r="A5" i="1"/>
  <c r="AT4" i="1"/>
  <c r="AS4" i="1"/>
  <c r="AP4" i="1"/>
  <c r="AN4" i="1"/>
  <c r="AG4" i="1"/>
  <c r="A4" i="1"/>
  <c r="AT3" i="1"/>
  <c r="AS3" i="1"/>
  <c r="AP3" i="1"/>
  <c r="AO3" i="1"/>
  <c r="AN3" i="1"/>
  <c r="AG3" i="1"/>
  <c r="A3" i="1"/>
  <c r="Z3" i="1" l="1"/>
  <c r="AK3" i="1" s="1"/>
  <c r="Z7" i="1"/>
  <c r="AK7" i="1" s="1"/>
  <c r="Z8" i="1"/>
  <c r="AK8" i="1" s="1"/>
  <c r="Z27" i="1"/>
  <c r="AK27" i="1" s="1"/>
  <c r="Z6" i="1"/>
  <c r="AK6" i="1" s="1"/>
  <c r="Z38" i="1"/>
  <c r="AK38" i="1" s="1"/>
  <c r="Z5" i="1"/>
  <c r="AK5" i="1" s="1"/>
  <c r="Z14" i="1"/>
  <c r="AK14" i="1" s="1"/>
  <c r="Z15" i="1"/>
  <c r="AK15" i="1" s="1"/>
  <c r="Z22" i="1"/>
  <c r="AK22" i="1" s="1"/>
  <c r="Z16" i="1"/>
  <c r="AK16" i="1" s="1"/>
  <c r="Z4" i="1"/>
  <c r="AK4" i="1" s="1"/>
  <c r="Z9" i="1"/>
  <c r="AK9" i="1" s="1"/>
  <c r="Z10" i="1"/>
  <c r="AK10" i="1" s="1"/>
  <c r="Z11" i="1"/>
  <c r="AK11" i="1" s="1"/>
  <c r="Z12" i="1"/>
  <c r="AK12" i="1" s="1"/>
  <c r="Z13" i="1"/>
  <c r="AK13" i="1" s="1"/>
  <c r="Z29" i="1"/>
  <c r="AK29" i="1" s="1"/>
  <c r="Z30" i="1"/>
  <c r="AK30" i="1" s="1"/>
  <c r="Z21" i="1"/>
  <c r="Z23" i="1"/>
  <c r="Z31" i="1"/>
  <c r="Z33" i="1"/>
  <c r="Z34" i="1"/>
  <c r="Z35" i="1"/>
  <c r="Z17" i="1"/>
  <c r="Z25" i="1"/>
  <c r="Z24" i="1"/>
  <c r="Z36" i="1"/>
  <c r="Z37" i="1"/>
  <c r="Z18" i="1"/>
  <c r="Z19" i="1"/>
  <c r="Z20" i="1"/>
  <c r="AU7" i="1"/>
  <c r="AU22" i="1"/>
  <c r="AU32" i="1"/>
  <c r="AU33" i="1"/>
  <c r="AU34" i="1"/>
  <c r="AU35" i="1"/>
  <c r="AU36" i="1"/>
  <c r="AU5" i="1"/>
  <c r="AU16" i="1"/>
  <c r="AU6" i="1"/>
  <c r="AU11" i="1"/>
  <c r="AU15" i="1"/>
  <c r="Z28" i="1"/>
  <c r="AU3" i="1"/>
  <c r="AU8" i="1"/>
  <c r="AU12" i="1"/>
  <c r="AU17" i="1"/>
  <c r="AU18" i="1"/>
  <c r="AU24" i="1"/>
  <c r="AU25" i="1"/>
  <c r="AU31" i="1"/>
  <c r="AU13" i="1"/>
  <c r="AU14" i="1"/>
  <c r="AU19" i="1"/>
  <c r="AU20" i="1"/>
  <c r="AU27" i="1"/>
  <c r="AU37" i="1"/>
  <c r="AU38" i="1"/>
  <c r="AU4" i="1"/>
  <c r="AU9" i="1"/>
  <c r="AU10" i="1"/>
  <c r="Z26" i="1"/>
  <c r="AU28" i="1"/>
  <c r="AU26" i="1"/>
  <c r="AU30" i="1"/>
  <c r="AU21" i="1"/>
  <c r="AU29" i="1"/>
  <c r="Z32" i="1"/>
  <c r="AU23" i="1"/>
  <c r="AW3" i="1" l="1"/>
  <c r="BB3" i="1" s="1"/>
  <c r="BC3" i="1" s="1"/>
  <c r="BD3" i="1" s="1"/>
  <c r="AW4" i="1"/>
  <c r="AW13" i="1"/>
  <c r="AW6" i="1"/>
  <c r="AW30" i="1"/>
  <c r="BB30" i="1" s="1"/>
  <c r="AW27" i="1"/>
  <c r="BB27" i="1" s="1"/>
  <c r="AW12" i="1"/>
  <c r="AW15" i="1"/>
  <c r="AW22" i="1"/>
  <c r="AW10" i="1"/>
  <c r="AW8" i="1"/>
  <c r="AW16" i="1"/>
  <c r="AW29" i="1"/>
  <c r="AW9" i="1"/>
  <c r="AW38" i="1"/>
  <c r="BB38" i="1" s="1"/>
  <c r="AW5" i="1"/>
  <c r="AW14" i="1"/>
  <c r="AW11" i="1"/>
  <c r="AW7" i="1"/>
  <c r="AK19" i="1"/>
  <c r="AK24" i="1"/>
  <c r="AK21" i="1"/>
  <c r="AK26" i="1"/>
  <c r="AK28" i="1"/>
  <c r="AK20" i="1"/>
  <c r="AK35" i="1"/>
  <c r="AK32" i="1"/>
  <c r="AK18" i="1"/>
  <c r="AK25" i="1"/>
  <c r="AK33" i="1"/>
  <c r="AK36" i="1"/>
  <c r="AK23" i="1"/>
  <c r="AK37" i="1"/>
  <c r="AK17" i="1"/>
  <c r="AK31" i="1"/>
  <c r="AW26" i="1"/>
  <c r="BB26" i="1" s="1"/>
  <c r="AW28" i="1"/>
  <c r="BB28" i="1" s="1"/>
  <c r="AW25" i="1"/>
  <c r="BB25" i="1" s="1"/>
  <c r="AK34" i="1"/>
  <c r="AW34" i="1"/>
  <c r="BB34" i="1" s="1"/>
  <c r="AW24" i="1"/>
  <c r="BB24" i="1" s="1"/>
  <c r="AW20" i="1"/>
  <c r="BB20" i="1" s="1"/>
  <c r="AW18" i="1"/>
  <c r="BB18" i="1" s="1"/>
  <c r="AW35" i="1"/>
  <c r="BB35" i="1" s="1"/>
  <c r="AW21" i="1"/>
  <c r="BB21" i="1" s="1"/>
  <c r="AW19" i="1"/>
  <c r="BB19" i="1" s="1"/>
  <c r="AW31" i="1"/>
  <c r="BB31" i="1" s="1"/>
  <c r="AW17" i="1"/>
  <c r="BB17" i="1" s="1"/>
  <c r="AW36" i="1"/>
  <c r="BB36" i="1" s="1"/>
  <c r="AW23" i="1"/>
  <c r="BB23" i="1" s="1"/>
  <c r="AW37" i="1"/>
  <c r="BB37" i="1" s="1"/>
  <c r="AW33" i="1"/>
  <c r="BB33" i="1" s="1"/>
  <c r="AW32" i="1"/>
  <c r="BB32" i="1" s="1"/>
  <c r="BC27" i="1"/>
  <c r="BD27" i="1" s="1"/>
  <c r="BC38" i="1"/>
  <c r="BD38" i="1" s="1"/>
  <c r="BB14" i="1" l="1"/>
  <c r="BC14" i="1" s="1"/>
  <c r="BD14" i="1" s="1"/>
  <c r="BB29" i="1"/>
  <c r="BC29" i="1" s="1"/>
  <c r="BD29" i="1" s="1"/>
  <c r="BB22" i="1"/>
  <c r="BC22" i="1" s="1"/>
  <c r="BD22" i="1" s="1"/>
  <c r="BB5" i="1"/>
  <c r="BC5" i="1" s="1"/>
  <c r="BD5" i="1" s="1"/>
  <c r="BB16" i="1"/>
  <c r="BC16" i="1" s="1"/>
  <c r="BD16" i="1" s="1"/>
  <c r="BB15" i="1"/>
  <c r="BC15" i="1" s="1"/>
  <c r="BD15" i="1" s="1"/>
  <c r="BB6" i="1"/>
  <c r="BC6" i="1" s="1"/>
  <c r="BD6" i="1" s="1"/>
  <c r="BB7" i="1"/>
  <c r="BC7" i="1" s="1"/>
  <c r="BD7" i="1" s="1"/>
  <c r="BB8" i="1"/>
  <c r="BC8" i="1" s="1"/>
  <c r="BD8" i="1" s="1"/>
  <c r="BB12" i="1"/>
  <c r="BC12" i="1" s="1"/>
  <c r="BD12" i="1" s="1"/>
  <c r="BB13" i="1"/>
  <c r="BC13" i="1" s="1"/>
  <c r="BD13" i="1" s="1"/>
  <c r="BB11" i="1"/>
  <c r="BC11" i="1" s="1"/>
  <c r="BD11" i="1" s="1"/>
  <c r="BB9" i="1"/>
  <c r="BB10" i="1"/>
  <c r="BC10" i="1" s="1"/>
  <c r="BD10" i="1" s="1"/>
  <c r="BB4" i="1"/>
  <c r="BC4" i="1" s="1"/>
  <c r="BD4" i="1" s="1"/>
  <c r="BC32" i="1"/>
  <c r="BD32" i="1" s="1"/>
  <c r="BC21" i="1"/>
  <c r="BD21" i="1" s="1"/>
  <c r="BC28" i="1"/>
  <c r="BD28" i="1" s="1"/>
  <c r="BC35" i="1"/>
  <c r="BD35" i="1" s="1"/>
  <c r="BC26" i="1"/>
  <c r="BD26" i="1" s="1"/>
  <c r="BC31" i="1"/>
  <c r="BD31" i="1" s="1"/>
  <c r="BC36" i="1"/>
  <c r="BD36" i="1" s="1"/>
  <c r="BC24" i="1"/>
  <c r="BD24" i="1" s="1"/>
  <c r="BC34" i="1"/>
  <c r="BD34" i="1" s="1"/>
  <c r="BC37" i="1"/>
  <c r="BD37" i="1" s="1"/>
  <c r="BC23" i="1"/>
  <c r="BD23" i="1" s="1"/>
  <c r="BC19" i="1"/>
  <c r="BD19" i="1" s="1"/>
  <c r="BC20" i="1"/>
  <c r="BD20" i="1" s="1"/>
  <c r="BC25" i="1"/>
  <c r="BD25" i="1" s="1"/>
  <c r="BC17" i="1"/>
  <c r="BD17" i="1" s="1"/>
  <c r="BC30" i="1"/>
  <c r="BD30" i="1" s="1"/>
  <c r="BC9" i="1" l="1"/>
  <c r="BD9" i="1" s="1"/>
  <c r="BB42" i="1"/>
  <c r="BC18" i="1"/>
  <c r="BD18" i="1" s="1"/>
  <c r="BC33" i="1"/>
  <c r="BD33" i="1" s="1"/>
  <c r="BB41" i="1"/>
  <c r="BA41" i="1" l="1"/>
  <c r="AV41" i="1"/>
  <c r="AX42" i="1" l="1"/>
  <c r="AX41" i="1"/>
  <c r="AX43" i="1" l="1"/>
  <c r="Z41" i="1" l="1"/>
  <c r="AG41" i="1" l="1"/>
  <c r="AU41" i="1"/>
  <c r="AW41" i="1"/>
  <c r="AK41" i="1"/>
  <c r="BC41" i="1" l="1"/>
  <c r="BD41" i="1" l="1"/>
  <c r="Z42" i="1" l="1"/>
  <c r="AV42" i="1" l="1"/>
  <c r="AU43" i="1"/>
  <c r="AG42" i="1"/>
  <c r="AU42" i="1"/>
  <c r="AK42" i="1"/>
  <c r="AW42" i="1" l="1"/>
  <c r="AW43" i="1" s="1"/>
  <c r="BB43" i="1" l="1"/>
  <c r="BC42" i="1"/>
  <c r="BD42" i="1" l="1"/>
  <c r="BD43" i="1" s="1"/>
  <c r="Z43" i="1"/>
  <c r="AG43" i="1"/>
  <c r="AK43" i="1"/>
  <c r="AV43" i="1"/>
  <c r="BA43" i="1"/>
  <c r="BC43" i="1"/>
</calcChain>
</file>

<file path=xl/sharedStrings.xml><?xml version="1.0" encoding="utf-8"?>
<sst xmlns="http://schemas.openxmlformats.org/spreadsheetml/2006/main" count="295" uniqueCount="212">
  <si>
    <t>上海</t>
  </si>
  <si>
    <t>320681198911257029</t>
  </si>
  <si>
    <t>370883199010065887</t>
  </si>
  <si>
    <t>310230198502244987</t>
  </si>
  <si>
    <t>320626197411023016</t>
  </si>
  <si>
    <t>310113198111034825</t>
  </si>
  <si>
    <t>32068119890825242X</t>
  </si>
  <si>
    <t>320681198311146835</t>
  </si>
  <si>
    <t>310107198106192557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</si>
  <si>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</si>
  <si>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</si>
  <si>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</si>
  <si>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</si>
  <si>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</si>
  <si>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</si>
  <si>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</si>
  <si>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</si>
  <si>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</si>
  <si>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</si>
  <si>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</si>
  <si>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</si>
  <si>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</si>
  <si>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</si>
  <si>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</si>
  <si>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</si>
  <si>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</si>
  <si>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</si>
  <si>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</si>
  <si>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</si>
  <si>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</si>
  <si>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</si>
  <si>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</si>
  <si>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</si>
  <si>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</si>
  <si>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</si>
  <si>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</si>
  <si>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</si>
  <si>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</si>
  <si>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</si>
  <si>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</si>
  <si>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</si>
  <si>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</si>
  <si>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</si>
  <si>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</si>
  <si>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</si>
  <si>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</si>
  <si>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</si>
  <si>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</si>
  <si>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</si>
  <si>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</si>
  <si>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</si>
  <si>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</si>
  <si>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</si>
  <si>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</si>
  <si>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</si>
  <si>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</si>
  <si>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</si>
  <si>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</si>
  <si>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</si>
  <si>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</si>
  <si>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</si>
  <si>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</si>
  <si>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</si>
  <si>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</si>
  <si>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</si>
  <si>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</si>
  <si>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</si>
  <si>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</si>
  <si>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</si>
  <si>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</si>
  <si>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</si>
  <si>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</si>
  <si>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</si>
  <si>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</si>
  <si>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</si>
  <si>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</si>
  <si>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</si>
  <si>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</si>
  <si>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</si>
  <si>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</si>
  <si>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</si>
  <si>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</si>
  <si>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</si>
  <si>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</si>
  <si>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</si>
  <si>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</si>
  <si>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</si>
  <si>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</si>
  <si>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</si>
  <si>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</si>
  <si>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</si>
  <si>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</si>
  <si>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</si>
  <si>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</si>
  <si>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</si>
  <si>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</si>
  <si>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2" type="noConversion"/>
  </si>
  <si>
    <t>Employee No.</t>
  </si>
  <si>
    <t>Total</t>
    <phoneticPr fontId="2" type="noConversion"/>
  </si>
  <si>
    <t>320681199806210215</t>
  </si>
  <si>
    <t>310230198208264565</t>
  </si>
  <si>
    <t>320681198001296045</t>
  </si>
  <si>
    <t>纵向攻击团队</t>
    <phoneticPr fontId="2" type="noConversion"/>
  </si>
  <si>
    <t>高温费及清凉饮料费
（6-9月）</t>
  </si>
  <si>
    <t>劳防用品</t>
  </si>
  <si>
    <t>310108198612173363</t>
  </si>
  <si>
    <t>320681198812140829</t>
  </si>
  <si>
    <t>310113198812035548</t>
  </si>
  <si>
    <t>310113198309114628</t>
  </si>
  <si>
    <t>310109198006192026</t>
  </si>
  <si>
    <t>310113197707080027</t>
  </si>
  <si>
    <t>310113199401265319</t>
  </si>
  <si>
    <t>310102198702193618</t>
  </si>
  <si>
    <t>31011319860815411X</t>
  </si>
  <si>
    <t>310110198605095645</t>
  </si>
  <si>
    <t>310230197802072529</t>
  </si>
  <si>
    <t>320681200309147011</t>
  </si>
  <si>
    <t>其他费用</t>
    <phoneticPr fontId="2" type="noConversion"/>
  </si>
  <si>
    <t>纵向团队合计</t>
    <phoneticPr fontId="2" type="noConversion"/>
  </si>
  <si>
    <t>营业厅合计</t>
    <phoneticPr fontId="2" type="noConversion"/>
  </si>
  <si>
    <t>总计</t>
    <phoneticPr fontId="2" type="noConversion"/>
  </si>
  <si>
    <t>陈云</t>
  </si>
  <si>
    <t>龚林花</t>
  </si>
  <si>
    <t>顾文君</t>
  </si>
  <si>
    <t>顾燕</t>
  </si>
  <si>
    <t>金霞</t>
  </si>
  <si>
    <t>李娟</t>
  </si>
  <si>
    <t>沈娟娟</t>
  </si>
  <si>
    <t>宋莉莉</t>
  </si>
  <si>
    <t>王海婷</t>
  </si>
  <si>
    <t>夏士梅</t>
  </si>
  <si>
    <t>杨晨晖</t>
  </si>
  <si>
    <t>殷颖</t>
  </si>
  <si>
    <t>张海荣</t>
  </si>
  <si>
    <t>张杰</t>
  </si>
  <si>
    <t>赵杭顺</t>
  </si>
  <si>
    <t>周海松</t>
  </si>
  <si>
    <t>周伟丰</t>
  </si>
  <si>
    <t>效能补贴</t>
    <phoneticPr fontId="4" type="noConversion"/>
  </si>
  <si>
    <t>34080219811208081X</t>
  </si>
  <si>
    <t>341127198508043038</t>
  </si>
  <si>
    <t>叶挺</t>
  </si>
  <si>
    <t>WB038749</t>
  </si>
  <si>
    <t>WB007457</t>
  </si>
  <si>
    <t>王艳</t>
  </si>
  <si>
    <t>342222199402106028</t>
  </si>
  <si>
    <t>WB068630</t>
  </si>
  <si>
    <t>林峰</t>
  </si>
  <si>
    <t>茅柳</t>
  </si>
  <si>
    <t>沙玉莲</t>
  </si>
  <si>
    <t>王凌波</t>
  </si>
  <si>
    <t>320681198005016055</t>
  </si>
  <si>
    <t>翁杰</t>
  </si>
  <si>
    <t>32068119830326361X</t>
  </si>
  <si>
    <t>郁金华</t>
  </si>
  <si>
    <t>320681197812267024</t>
  </si>
  <si>
    <t>朱娟</t>
  </si>
  <si>
    <t>310113198511225727</t>
  </si>
  <si>
    <t>姚嘉豪</t>
  </si>
  <si>
    <t>310113199804301716</t>
  </si>
  <si>
    <t>陆燕</t>
  </si>
  <si>
    <t>310113197802064324</t>
  </si>
  <si>
    <t>成瀛</t>
  </si>
  <si>
    <t>140103198304204830</t>
  </si>
  <si>
    <t>340223199003157228</t>
  </si>
  <si>
    <t>张欢</t>
  </si>
  <si>
    <t>340321199602189283</t>
  </si>
  <si>
    <t>310115197811118649</t>
  </si>
  <si>
    <t>WB007293</t>
  </si>
  <si>
    <t>WB023775</t>
  </si>
  <si>
    <t>WB030437</t>
  </si>
  <si>
    <t>WB033013</t>
  </si>
  <si>
    <t>WB054275</t>
  </si>
  <si>
    <t>WB007248</t>
  </si>
  <si>
    <t>WB007254</t>
  </si>
  <si>
    <t>WB022966</t>
  </si>
  <si>
    <t>WB016859</t>
  </si>
  <si>
    <t>WB016826</t>
  </si>
  <si>
    <t>WB044433</t>
  </si>
  <si>
    <t>WB039094</t>
  </si>
  <si>
    <t>WB009624</t>
  </si>
  <si>
    <t>WB009626</t>
  </si>
  <si>
    <t>WB009627</t>
  </si>
  <si>
    <t>WB009631</t>
  </si>
  <si>
    <t>WB030237</t>
  </si>
  <si>
    <t>朱琳</t>
    <phoneticPr fontId="4" type="noConversion"/>
  </si>
  <si>
    <t>WB016896</t>
  </si>
  <si>
    <t>WB007244</t>
  </si>
  <si>
    <t>WB007262</t>
  </si>
  <si>
    <t>WB026438</t>
  </si>
  <si>
    <t>WB027558</t>
  </si>
  <si>
    <t>WB036282</t>
  </si>
  <si>
    <t>WB044295</t>
  </si>
  <si>
    <t>WB046059</t>
  </si>
  <si>
    <t>WB053301</t>
  </si>
  <si>
    <t>WB007259</t>
  </si>
  <si>
    <t>WB045138</t>
  </si>
  <si>
    <t>WB044028</t>
  </si>
  <si>
    <t>WB041713</t>
  </si>
  <si>
    <t>WB050058</t>
  </si>
  <si>
    <t>WB048620</t>
  </si>
  <si>
    <t>魏玲</t>
    <phoneticPr fontId="4" type="noConversion"/>
  </si>
  <si>
    <t>王佳睿</t>
    <phoneticPr fontId="4" type="noConversion"/>
  </si>
  <si>
    <t>WB045407</t>
    <phoneticPr fontId="4" type="noConversion"/>
  </si>
  <si>
    <t>张枚</t>
    <phoneticPr fontId="4" type="noConversion"/>
  </si>
  <si>
    <t>钱善晖</t>
    <phoneticPr fontId="4" type="noConversion"/>
  </si>
  <si>
    <t>朱焱炎</t>
    <phoneticPr fontId="4" type="noConversion"/>
  </si>
  <si>
    <t>本月多收，下月退</t>
    <phoneticPr fontId="4" type="noConversion"/>
  </si>
  <si>
    <t>工伤利率调整，1月多收2月退</t>
  </si>
  <si>
    <r>
      <t>工伤利率</t>
    </r>
    <r>
      <rPr>
        <sz val="8"/>
        <color rgb="FFFF0000"/>
        <rFont val="等线"/>
        <family val="1"/>
        <charset val="134"/>
      </rPr>
      <t>调整</t>
    </r>
    <r>
      <rPr>
        <sz val="8"/>
        <color rgb="FFFF0000"/>
        <rFont val="阿里巴巴普惠体 R"/>
        <family val="1"/>
        <charset val="134"/>
      </rPr>
      <t>，1月多收2月退</t>
    </r>
    <phoneticPr fontId="4" type="noConversion"/>
  </si>
  <si>
    <t>工伤利率调整，1月多收2月退</t>
    <phoneticPr fontId="4" type="noConversion"/>
  </si>
  <si>
    <t>上月垫付，本月已收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</si>
</sst>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1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11"/>
      <color theme="1"/>
      <name val="等线"/>
      <family val="3"/>
      <charset val="134"/>
      <scheme val="minor"/>
    </font>
    <font>
      <sz val="8"/>
      <name val="黑体"/>
      <family val="3"/>
      <charset val="134"/>
    </font>
    <font>
      <sz val="8"/>
      <color rgb="FFFF0000"/>
      <name val="等线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6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4" fillId="0" borderId="0"/>
  </cellStyleXfs>
  <cellXfs count="50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77" fontId="12" fillId="0" borderId="1" xfId="0" applyNumberFormat="1" applyFont="1" applyFill="1" applyBorder="1" applyAlignment="1">
      <alignment horizontal="left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 applyFill="1">
      <alignment vertical="center"/>
    </xf>
    <xf numFmtId="43" fontId="13" fillId="5" borderId="0" xfId="3" applyFont="1" applyFill="1">
      <alignment vertical="center"/>
    </xf>
    <xf numFmtId="0" fontId="8" fillId="7" borderId="1" xfId="2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43" fontId="13" fillId="9" borderId="0" xfId="3" applyFont="1" applyFill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Fill="1" applyBorder="1" applyAlignment="1">
      <alignment horizontal="center" vertical="center"/>
    </xf>
    <xf numFmtId="176" fontId="7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9" borderId="1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43" fontId="13" fillId="0" borderId="0" xfId="3" applyFont="1" applyFill="1" applyAlignment="1">
      <alignment horizontal="center" vertical="center"/>
    </xf>
    <xf numFmtId="43" fontId="13" fillId="9" borderId="0" xfId="3" applyFont="1" applyFill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</cellXfs>
  <cellStyles count="15">
    <cellStyle name="标题 1 6 2 2 2" xfId="9" xr:uid="{00000000-0005-0000-0000-000031000000}"/>
    <cellStyle name="常规" xfId="0" builtinId="0"/>
    <cellStyle name="常规 10" xfId="1" xr:uid="{B17AAEC0-0117-4516-8992-3E2BB5542A72}"/>
    <cellStyle name="常规 2" xfId="2" xr:uid="{3C626691-D912-4232-846D-025E50E52262}"/>
    <cellStyle name="常规 27 2" xfId="14" xr:uid="{F7431358-3F99-4FED-8EDF-CC0C355B318A}"/>
    <cellStyle name="常规 28" xfId="7" xr:uid="{1D19ED5A-BB9D-4FC5-A6C0-940160FFE2C8}"/>
    <cellStyle name="常规 3" xfId="5" xr:uid="{00000000-0005-0000-0000-000033000000}"/>
    <cellStyle name="常规 3 2" xfId="11" xr:uid="{00000000-0005-0000-0000-000033000000}"/>
    <cellStyle name="常规 4" xfId="6" xr:uid="{00000000-0005-0000-0000-000033000000}"/>
    <cellStyle name="常规 5" xfId="8" xr:uid="{00000000-0005-0000-0000-000036000000}"/>
    <cellStyle name="常规 6" xfId="4" xr:uid="{00000000-0005-0000-0000-00000D000000}"/>
    <cellStyle name="常规 7" xfId="12" xr:uid="{00000000-0005-0000-0000-000039000000}"/>
    <cellStyle name="常规 8" xfId="10" xr:uid="{00000000-0005-0000-0000-00003A000000}"/>
    <cellStyle name="千位分隔" xfId="3" builtinId="3"/>
    <cellStyle name="千位分隔 2" xfId="13" xr:uid="{00000000-0005-0000-0000-00003A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idan.luo/Desktop/1&#26376;&#24067;&#21015;&#21513;&#24037;&#36164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布列吉绩效清单"/>
      <sheetName val="布列吉基础数据"/>
    </sheetNames>
    <sheetDataSet>
      <sheetData sheetId="0" refreshError="1">
        <row r="7">
          <cell r="F7" t="str">
            <v>魏玲</v>
          </cell>
          <cell r="G7">
            <v>1030</v>
          </cell>
          <cell r="H7">
            <v>2503</v>
          </cell>
          <cell r="I7">
            <v>3839.7</v>
          </cell>
          <cell r="J7">
            <v>630</v>
          </cell>
          <cell r="K7">
            <v>0</v>
          </cell>
          <cell r="X7">
            <v>147</v>
          </cell>
        </row>
        <row r="8">
          <cell r="F8" t="str">
            <v>朱焱炎</v>
          </cell>
          <cell r="G8">
            <v>950</v>
          </cell>
          <cell r="H8">
            <v>7992</v>
          </cell>
          <cell r="I8">
            <v>1625.3</v>
          </cell>
          <cell r="J8">
            <v>630</v>
          </cell>
          <cell r="K8">
            <v>0</v>
          </cell>
          <cell r="X8">
            <v>211</v>
          </cell>
        </row>
        <row r="9">
          <cell r="F9" t="str">
            <v>王海婷</v>
          </cell>
          <cell r="G9">
            <v>1200</v>
          </cell>
          <cell r="H9">
            <v>4517</v>
          </cell>
          <cell r="I9">
            <v>4819.1000000000004</v>
          </cell>
          <cell r="J9">
            <v>630</v>
          </cell>
          <cell r="K9">
            <v>0</v>
          </cell>
          <cell r="X9">
            <v>211</v>
          </cell>
        </row>
        <row r="10">
          <cell r="F10" t="str">
            <v>金霞</v>
          </cell>
          <cell r="G10">
            <v>1030</v>
          </cell>
          <cell r="H10">
            <v>3174</v>
          </cell>
          <cell r="I10">
            <v>3932.5</v>
          </cell>
          <cell r="J10">
            <v>601.03</v>
          </cell>
          <cell r="K10">
            <v>-47.36</v>
          </cell>
          <cell r="X10">
            <v>162</v>
          </cell>
        </row>
        <row r="11">
          <cell r="F11" t="str">
            <v>殷颖</v>
          </cell>
          <cell r="G11">
            <v>1300</v>
          </cell>
          <cell r="H11">
            <v>2740</v>
          </cell>
          <cell r="I11">
            <v>1477.5</v>
          </cell>
          <cell r="J11">
            <v>630</v>
          </cell>
          <cell r="K11">
            <v>0</v>
          </cell>
          <cell r="X11">
            <v>110</v>
          </cell>
        </row>
        <row r="12">
          <cell r="F12" t="str">
            <v>夏士梅</v>
          </cell>
          <cell r="G12">
            <v>1030</v>
          </cell>
          <cell r="H12">
            <v>3552</v>
          </cell>
          <cell r="I12">
            <v>3599.6</v>
          </cell>
          <cell r="J12">
            <v>630</v>
          </cell>
          <cell r="K12">
            <v>0</v>
          </cell>
          <cell r="X12">
            <v>164</v>
          </cell>
        </row>
        <row r="13">
          <cell r="F13" t="str">
            <v>杨晨晖</v>
          </cell>
          <cell r="G13">
            <v>1030</v>
          </cell>
          <cell r="H13">
            <v>3984</v>
          </cell>
          <cell r="I13">
            <v>3425</v>
          </cell>
          <cell r="J13">
            <v>630</v>
          </cell>
          <cell r="K13">
            <v>0</v>
          </cell>
          <cell r="X13">
            <v>169</v>
          </cell>
        </row>
        <row r="14">
          <cell r="F14" t="str">
            <v>成瀛</v>
          </cell>
          <cell r="G14">
            <v>1300</v>
          </cell>
          <cell r="H14">
            <v>2816</v>
          </cell>
          <cell r="I14">
            <v>4467.2</v>
          </cell>
          <cell r="J14">
            <v>630</v>
          </cell>
          <cell r="K14">
            <v>-1500</v>
          </cell>
          <cell r="X14">
            <v>142</v>
          </cell>
        </row>
        <row r="15">
          <cell r="F15" t="str">
            <v>陆燕</v>
          </cell>
          <cell r="G15">
            <v>1400</v>
          </cell>
          <cell r="H15">
            <v>21464</v>
          </cell>
          <cell r="I15">
            <v>2359.1</v>
          </cell>
          <cell r="J15">
            <v>630</v>
          </cell>
          <cell r="K15">
            <v>0</v>
          </cell>
          <cell r="X15">
            <v>504</v>
          </cell>
        </row>
        <row r="16">
          <cell r="F16" t="str">
            <v>朱琳</v>
          </cell>
          <cell r="G16">
            <v>1080</v>
          </cell>
          <cell r="H16">
            <v>0</v>
          </cell>
          <cell r="I16">
            <v>15400.3</v>
          </cell>
          <cell r="X16">
            <v>330</v>
          </cell>
        </row>
        <row r="17">
          <cell r="F17" t="str">
            <v>赵杭顺</v>
          </cell>
          <cell r="G17">
            <v>1030</v>
          </cell>
          <cell r="H17">
            <v>4334</v>
          </cell>
          <cell r="I17">
            <v>5378.5</v>
          </cell>
          <cell r="J17">
            <v>630</v>
          </cell>
          <cell r="K17">
            <v>-1000</v>
          </cell>
          <cell r="X17">
            <v>195</v>
          </cell>
        </row>
        <row r="18">
          <cell r="F18" t="str">
            <v>张杰</v>
          </cell>
          <cell r="G18">
            <v>1300</v>
          </cell>
          <cell r="H18">
            <v>8084.1</v>
          </cell>
          <cell r="I18">
            <v>12091.5</v>
          </cell>
          <cell r="J18">
            <v>630</v>
          </cell>
          <cell r="K18">
            <v>0</v>
          </cell>
          <cell r="X18">
            <v>430</v>
          </cell>
        </row>
        <row r="19">
          <cell r="F19" t="str">
            <v>顾文君</v>
          </cell>
          <cell r="G19">
            <v>1300</v>
          </cell>
          <cell r="H19">
            <v>9432</v>
          </cell>
          <cell r="I19">
            <v>2422.1</v>
          </cell>
          <cell r="J19">
            <v>630</v>
          </cell>
          <cell r="K19">
            <v>0</v>
          </cell>
          <cell r="X19">
            <v>263</v>
          </cell>
        </row>
        <row r="20">
          <cell r="F20" t="str">
            <v>李娟</v>
          </cell>
          <cell r="G20">
            <v>1030</v>
          </cell>
          <cell r="H20">
            <v>2557.5</v>
          </cell>
          <cell r="I20">
            <v>3958.5</v>
          </cell>
          <cell r="J20">
            <v>630</v>
          </cell>
          <cell r="K20">
            <v>-800</v>
          </cell>
          <cell r="X20">
            <v>135</v>
          </cell>
        </row>
        <row r="21">
          <cell r="F21" t="str">
            <v>朱娟</v>
          </cell>
          <cell r="G21">
            <v>970</v>
          </cell>
          <cell r="H21">
            <v>13237.83</v>
          </cell>
          <cell r="I21">
            <v>3848</v>
          </cell>
          <cell r="J21">
            <v>630</v>
          </cell>
          <cell r="K21">
            <v>-100</v>
          </cell>
          <cell r="X21">
            <v>359</v>
          </cell>
        </row>
        <row r="22">
          <cell r="F22" t="str">
            <v>叶挺</v>
          </cell>
          <cell r="G22">
            <v>800</v>
          </cell>
          <cell r="H22">
            <v>11286</v>
          </cell>
          <cell r="I22">
            <v>4942.05</v>
          </cell>
          <cell r="J22">
            <v>630</v>
          </cell>
          <cell r="K22">
            <v>0</v>
          </cell>
          <cell r="X22">
            <v>341</v>
          </cell>
        </row>
        <row r="23">
          <cell r="F23" t="str">
            <v>张欢</v>
          </cell>
          <cell r="G23">
            <v>950</v>
          </cell>
          <cell r="H23">
            <v>2104</v>
          </cell>
          <cell r="I23">
            <v>1751.5</v>
          </cell>
          <cell r="J23">
            <v>630</v>
          </cell>
          <cell r="K23">
            <v>-1000</v>
          </cell>
          <cell r="X23">
            <v>76</v>
          </cell>
        </row>
        <row r="24">
          <cell r="F24" t="str">
            <v>张枚</v>
          </cell>
          <cell r="G24">
            <v>1030</v>
          </cell>
          <cell r="H24">
            <v>2618</v>
          </cell>
          <cell r="I24">
            <v>3135.35</v>
          </cell>
          <cell r="J24">
            <v>630</v>
          </cell>
          <cell r="K24">
            <v>-1000</v>
          </cell>
          <cell r="X24">
            <v>116</v>
          </cell>
        </row>
        <row r="25">
          <cell r="F25" t="str">
            <v>王佳睿</v>
          </cell>
          <cell r="G25">
            <v>900</v>
          </cell>
          <cell r="H25">
            <v>2403.8000000000002</v>
          </cell>
          <cell r="I25">
            <v>2965</v>
          </cell>
          <cell r="J25">
            <v>630</v>
          </cell>
          <cell r="K25">
            <v>-604.35</v>
          </cell>
          <cell r="X25">
            <v>113</v>
          </cell>
        </row>
        <row r="26">
          <cell r="F26" t="str">
            <v>姚嘉豪</v>
          </cell>
          <cell r="G26">
            <v>800</v>
          </cell>
          <cell r="H26">
            <v>4068.8500000000004</v>
          </cell>
          <cell r="I26">
            <v>3536.3</v>
          </cell>
          <cell r="J26">
            <v>630</v>
          </cell>
          <cell r="K26">
            <v>-500</v>
          </cell>
          <cell r="X26">
            <v>158</v>
          </cell>
        </row>
        <row r="27">
          <cell r="F27" t="str">
            <v>王艳</v>
          </cell>
          <cell r="G27">
            <v>800</v>
          </cell>
          <cell r="H27">
            <v>16992</v>
          </cell>
          <cell r="I27">
            <v>6131.25</v>
          </cell>
          <cell r="J27">
            <v>630</v>
          </cell>
          <cell r="K27">
            <v>0</v>
          </cell>
          <cell r="X27">
            <v>478</v>
          </cell>
        </row>
        <row r="28">
          <cell r="F28" t="str">
            <v>钱善晖</v>
          </cell>
          <cell r="G28">
            <v>1030</v>
          </cell>
          <cell r="H28">
            <v>6096.9</v>
          </cell>
          <cell r="I28">
            <v>436.5</v>
          </cell>
          <cell r="J28">
            <v>630</v>
          </cell>
          <cell r="K28">
            <v>0</v>
          </cell>
          <cell r="X28">
            <v>151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A012-4619-4A2C-9909-911932A34662}">
  <dimension ref="A1:BG44"/>
  <sheetViews>
    <sheetView tabSelected="1" zoomScale="90" zoomScaleNormal="90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B3" sqref="B3:B38"/>
    </sheetView>
  </sheetViews>
  <sheetFormatPr defaultColWidth="8.6640625" defaultRowHeight="16.2" x14ac:dyDescent="0.25"/>
  <cols>
    <col min="1" max="1" width="7.109375" style="31" customWidth="1"/>
    <col min="2" max="2" width="7.6640625" style="31" bestFit="1" customWidth="1"/>
    <col min="3" max="3" width="8.77734375" style="31" bestFit="1" customWidth="1"/>
    <col min="4" max="4" width="5.6640625" style="31" bestFit="1" customWidth="1"/>
    <col min="5" max="5" width="23.33203125" style="31" customWidth="1"/>
    <col min="6" max="6" width="12" style="31" bestFit="1" customWidth="1"/>
    <col min="7" max="7" width="10.5546875" style="31" bestFit="1" customWidth="1"/>
    <col min="8" max="8" width="6.44140625" style="31" bestFit="1" customWidth="1"/>
    <col min="9" max="9" width="10.44140625" style="31" bestFit="1" customWidth="1"/>
    <col min="10" max="10" width="9.5546875" style="31" bestFit="1" customWidth="1"/>
    <col min="11" max="11" width="23.44140625" style="31" customWidth="1"/>
    <col min="12" max="12" width="25.77734375" style="31" customWidth="1"/>
    <col min="13" max="13" width="16.33203125" style="31" customWidth="1"/>
    <col min="14" max="14" width="12.88671875" style="31" customWidth="1"/>
    <col min="15" max="15" width="12" style="31" customWidth="1"/>
    <col min="16" max="16" width="11.5546875" style="31" customWidth="1"/>
    <col min="17" max="17" width="6.5546875" style="31" bestFit="1" customWidth="1"/>
    <col min="18" max="18" width="11.6640625" style="31" bestFit="1" customWidth="1"/>
    <col min="19" max="19" width="8" style="31" bestFit="1" customWidth="1"/>
    <col min="20" max="20" width="9.5546875" style="31" customWidth="1"/>
    <col min="21" max="21" width="8.33203125" style="31" customWidth="1"/>
    <col min="22" max="22" width="6.77734375" style="31" bestFit="1" customWidth="1"/>
    <col min="23" max="23" width="13.33203125" style="31" customWidth="1"/>
    <col min="24" max="24" width="10.44140625" style="31" customWidth="1"/>
    <col min="25" max="25" width="9.5546875" style="31" customWidth="1"/>
    <col min="26" max="26" width="14.5546875" style="31" customWidth="1"/>
    <col min="27" max="27" width="10.44140625" style="31" bestFit="1" customWidth="1"/>
    <col min="28" max="28" width="12.88671875" style="31" bestFit="1" customWidth="1"/>
    <col min="29" max="30" width="10.109375" style="31" bestFit="1" customWidth="1"/>
    <col min="31" max="32" width="9.6640625" style="31" bestFit="1" customWidth="1"/>
    <col min="33" max="33" width="16" style="31" bestFit="1" customWidth="1"/>
    <col min="34" max="34" width="11.109375" style="31" bestFit="1" customWidth="1"/>
    <col min="35" max="35" width="9.21875" style="31" bestFit="1" customWidth="1"/>
    <col min="36" max="36" width="10.33203125" style="31" bestFit="1" customWidth="1"/>
    <col min="37" max="37" width="16.21875" style="31" customWidth="1"/>
    <col min="38" max="38" width="10.44140625" style="31" bestFit="1" customWidth="1"/>
    <col min="39" max="39" width="8.88671875" style="31" bestFit="1" customWidth="1"/>
    <col min="40" max="41" width="9.5546875" style="31" customWidth="1"/>
    <col min="42" max="42" width="10" style="31" bestFit="1" customWidth="1"/>
    <col min="43" max="43" width="9.77734375" style="31" bestFit="1" customWidth="1"/>
    <col min="44" max="44" width="6.5546875" style="31" bestFit="1" customWidth="1"/>
    <col min="45" max="45" width="8.88671875" style="31" bestFit="1" customWidth="1"/>
    <col min="46" max="46" width="10.77734375" style="31" bestFit="1" customWidth="1"/>
    <col min="47" max="47" width="16" style="31" bestFit="1" customWidth="1"/>
    <col min="48" max="48" width="16.6640625" style="31" customWidth="1"/>
    <col min="49" max="49" width="14.5546875" style="31" customWidth="1"/>
    <col min="50" max="51" width="19.77734375" style="31" customWidth="1"/>
    <col min="52" max="52" width="39.5546875" style="31" customWidth="1"/>
    <col min="53" max="53" width="13.33203125" style="31" customWidth="1"/>
    <col min="54" max="54" width="17" style="31" customWidth="1"/>
    <col min="55" max="55" width="14.6640625" style="31" customWidth="1"/>
    <col min="56" max="56" width="17.6640625" style="31" customWidth="1"/>
    <col min="57" max="57" width="9.109375" style="31" bestFit="1" customWidth="1"/>
    <col min="58" max="16384" width="8.6640625" style="31"/>
  </cols>
  <sheetData>
    <row r="1" spans="1:59" s="10" customFormat="1" ht="26.1" customHeight="1" x14ac:dyDescent="0.3">
      <c r="A1" s="1" t="s">
        <v>94</v>
      </c>
      <c r="B1" s="2" t="s">
        <v>93</v>
      </c>
      <c r="C1" s="38" t="s">
        <v>95</v>
      </c>
      <c r="D1" s="38" t="s">
        <v>92</v>
      </c>
      <c r="E1" s="38" t="s">
        <v>91</v>
      </c>
      <c r="F1" s="1" t="s">
        <v>90</v>
      </c>
      <c r="G1" s="1" t="s">
        <v>89</v>
      </c>
      <c r="H1" s="1" t="s">
        <v>88</v>
      </c>
      <c r="I1" s="1" t="s">
        <v>87</v>
      </c>
      <c r="J1" s="3" t="s">
        <v>86</v>
      </c>
      <c r="K1" s="1" t="s">
        <v>85</v>
      </c>
      <c r="L1" s="1" t="s">
        <v>84</v>
      </c>
      <c r="M1" s="47" t="s">
        <v>83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9"/>
      <c r="Z1" s="4" t="s">
        <v>82</v>
      </c>
      <c r="AA1" s="3" t="s">
        <v>81</v>
      </c>
      <c r="AB1" s="3" t="s">
        <v>80</v>
      </c>
      <c r="AC1" s="3" t="s">
        <v>79</v>
      </c>
      <c r="AD1" s="3" t="s">
        <v>78</v>
      </c>
      <c r="AE1" s="3" t="s">
        <v>77</v>
      </c>
      <c r="AF1" s="3" t="s">
        <v>76</v>
      </c>
      <c r="AG1" s="4" t="s">
        <v>75</v>
      </c>
      <c r="AH1" s="3" t="s">
        <v>74</v>
      </c>
      <c r="AI1" s="3" t="s">
        <v>73</v>
      </c>
      <c r="AJ1" s="3" t="s">
        <v>72</v>
      </c>
      <c r="AK1" s="4" t="s">
        <v>71</v>
      </c>
      <c r="AL1" s="3" t="s">
        <v>70</v>
      </c>
      <c r="AM1" s="3" t="s">
        <v>69</v>
      </c>
      <c r="AN1" s="3" t="s">
        <v>68</v>
      </c>
      <c r="AO1" s="3" t="s">
        <v>67</v>
      </c>
      <c r="AP1" s="3" t="s">
        <v>66</v>
      </c>
      <c r="AQ1" s="3" t="s">
        <v>65</v>
      </c>
      <c r="AR1" s="3" t="s">
        <v>64</v>
      </c>
      <c r="AS1" s="3" t="s">
        <v>63</v>
      </c>
      <c r="AT1" s="3" t="s">
        <v>62</v>
      </c>
      <c r="AU1" s="4" t="s">
        <v>61</v>
      </c>
      <c r="AV1" s="4" t="s">
        <v>60</v>
      </c>
      <c r="AW1" s="5" t="s">
        <v>59</v>
      </c>
      <c r="AX1" s="6" t="s">
        <v>211</v>
      </c>
      <c r="AY1" s="6" t="s">
        <v>207</v>
      </c>
      <c r="AZ1" s="7" t="s">
        <v>58</v>
      </c>
      <c r="BA1" s="5" t="s">
        <v>57</v>
      </c>
      <c r="BB1" s="8" t="s">
        <v>96</v>
      </c>
      <c r="BC1" s="5" t="s">
        <v>56</v>
      </c>
      <c r="BD1" s="5" t="s">
        <v>55</v>
      </c>
      <c r="BE1" s="9"/>
    </row>
    <row r="2" spans="1:59" s="9" customFormat="1" ht="40.799999999999997" x14ac:dyDescent="0.25">
      <c r="A2" s="11" t="s">
        <v>54</v>
      </c>
      <c r="B2" s="12" t="s">
        <v>53</v>
      </c>
      <c r="C2" s="11" t="s">
        <v>97</v>
      </c>
      <c r="D2" s="11" t="s">
        <v>52</v>
      </c>
      <c r="E2" s="11" t="s">
        <v>51</v>
      </c>
      <c r="F2" s="11" t="s">
        <v>50</v>
      </c>
      <c r="G2" s="11" t="s">
        <v>49</v>
      </c>
      <c r="H2" s="11" t="s">
        <v>48</v>
      </c>
      <c r="I2" s="11" t="s">
        <v>47</v>
      </c>
      <c r="J2" s="13" t="s">
        <v>46</v>
      </c>
      <c r="K2" s="11" t="s">
        <v>45</v>
      </c>
      <c r="L2" s="11" t="s">
        <v>44</v>
      </c>
      <c r="M2" s="11" t="s">
        <v>43</v>
      </c>
      <c r="N2" s="11" t="s">
        <v>42</v>
      </c>
      <c r="O2" s="11" t="s">
        <v>41</v>
      </c>
      <c r="P2" s="11" t="s">
        <v>138</v>
      </c>
      <c r="Q2" s="11" t="s">
        <v>40</v>
      </c>
      <c r="R2" s="11" t="s">
        <v>103</v>
      </c>
      <c r="S2" s="11" t="s">
        <v>39</v>
      </c>
      <c r="T2" s="11" t="s">
        <v>38</v>
      </c>
      <c r="U2" s="11" t="s">
        <v>117</v>
      </c>
      <c r="V2" s="11" t="s">
        <v>37</v>
      </c>
      <c r="W2" s="11" t="s">
        <v>104</v>
      </c>
      <c r="X2" s="11" t="s">
        <v>36</v>
      </c>
      <c r="Y2" s="11" t="s">
        <v>35</v>
      </c>
      <c r="Z2" s="14" t="s">
        <v>34</v>
      </c>
      <c r="AA2" s="13" t="s">
        <v>24</v>
      </c>
      <c r="AB2" s="13" t="s">
        <v>33</v>
      </c>
      <c r="AC2" s="13" t="s">
        <v>32</v>
      </c>
      <c r="AD2" s="13" t="s">
        <v>31</v>
      </c>
      <c r="AE2" s="13" t="s">
        <v>23</v>
      </c>
      <c r="AF2" s="13" t="s">
        <v>30</v>
      </c>
      <c r="AG2" s="14" t="s">
        <v>29</v>
      </c>
      <c r="AH2" s="13" t="s">
        <v>28</v>
      </c>
      <c r="AI2" s="13" t="s">
        <v>27</v>
      </c>
      <c r="AJ2" s="13" t="s">
        <v>26</v>
      </c>
      <c r="AK2" s="14" t="s">
        <v>25</v>
      </c>
      <c r="AL2" s="13" t="s">
        <v>24</v>
      </c>
      <c r="AM2" s="13" t="s">
        <v>23</v>
      </c>
      <c r="AN2" s="13" t="s">
        <v>22</v>
      </c>
      <c r="AO2" s="13" t="s">
        <v>21</v>
      </c>
      <c r="AP2" s="13" t="s">
        <v>20</v>
      </c>
      <c r="AQ2" s="13" t="s">
        <v>19</v>
      </c>
      <c r="AR2" s="13" t="s">
        <v>18</v>
      </c>
      <c r="AS2" s="13" t="s">
        <v>17</v>
      </c>
      <c r="AT2" s="13" t="s">
        <v>16</v>
      </c>
      <c r="AU2" s="14" t="s">
        <v>15</v>
      </c>
      <c r="AV2" s="14" t="s">
        <v>14</v>
      </c>
      <c r="AW2" s="14" t="s">
        <v>13</v>
      </c>
      <c r="AX2" s="6"/>
      <c r="AY2" s="6"/>
      <c r="AZ2" s="15" t="s">
        <v>12</v>
      </c>
      <c r="BA2" s="5" t="s">
        <v>11</v>
      </c>
      <c r="BB2" s="8" t="s">
        <v>98</v>
      </c>
      <c r="BC2" s="5" t="s">
        <v>10</v>
      </c>
      <c r="BD2" s="5" t="s">
        <v>9</v>
      </c>
    </row>
    <row r="3" spans="1:59" s="30" customFormat="1" ht="15" customHeight="1" x14ac:dyDescent="0.25">
      <c r="A3" s="16">
        <f>ROW()-2</f>
        <v>1</v>
      </c>
      <c r="B3" s="17">
        <v>2502</v>
      </c>
      <c r="C3" s="17" t="s">
        <v>187</v>
      </c>
      <c r="D3" s="39" t="s">
        <v>137</v>
      </c>
      <c r="E3" s="18" t="s">
        <v>8</v>
      </c>
      <c r="F3" s="19">
        <v>45444</v>
      </c>
      <c r="G3" s="19">
        <v>45808</v>
      </c>
      <c r="H3" s="16"/>
      <c r="I3" s="20" t="s">
        <v>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>
        <f t="shared" ref="Z3:Z13" si="0">SUM(J3:Y3)</f>
        <v>0</v>
      </c>
      <c r="AA3" s="23">
        <v>13804</v>
      </c>
      <c r="AB3" s="24">
        <v>1104.32</v>
      </c>
      <c r="AC3" s="24">
        <v>276.08</v>
      </c>
      <c r="AD3" s="24">
        <v>69.02</v>
      </c>
      <c r="AE3" s="23">
        <v>13804</v>
      </c>
      <c r="AF3" s="23">
        <v>966</v>
      </c>
      <c r="AG3" s="22">
        <f t="shared" ref="AG3:AG13" si="1">AB3+AC3+AD3+AF3</f>
        <v>2415.42</v>
      </c>
      <c r="AH3" s="25"/>
      <c r="AI3" s="25"/>
      <c r="AJ3" s="25"/>
      <c r="AK3" s="22">
        <f t="shared" ref="AK3:AK38" si="2">Z3-AG3-AH3</f>
        <v>-2415.42</v>
      </c>
      <c r="AL3" s="23">
        <v>13804</v>
      </c>
      <c r="AM3" s="23">
        <v>13804</v>
      </c>
      <c r="AN3" s="23">
        <f t="shared" ref="AN3:AN13" si="3">ROUND(AL3*16%,2)</f>
        <v>2208.64</v>
      </c>
      <c r="AO3" s="23">
        <f>ROUND(AL3*9%,2)</f>
        <v>1242.3599999999999</v>
      </c>
      <c r="AP3" s="23">
        <f t="shared" ref="AP3:AP13" si="4">ROUND(AL3*0.5%,2)</f>
        <v>69.02</v>
      </c>
      <c r="AQ3" s="23">
        <v>27.61</v>
      </c>
      <c r="AR3" s="23"/>
      <c r="AS3" s="23">
        <f t="shared" ref="AS3:AS38" si="5">ROUND(AM3*7%,0)</f>
        <v>966</v>
      </c>
      <c r="AT3" s="23">
        <f t="shared" ref="AT3:AT38" si="6">ROUND(IF(AL3&lt;24366,AL3*1.5%,24366*1.5%),2)</f>
        <v>207.06</v>
      </c>
      <c r="AU3" s="22">
        <f t="shared" ref="AU3:AU38" si="7">SUM(AN3:AT3)</f>
        <v>4720.6900000000005</v>
      </c>
      <c r="AV3" s="22">
        <v>256</v>
      </c>
      <c r="AW3" s="22">
        <f t="shared" ref="AW3:AW38" si="8">AU3+Z3+AI3-AJ3+AV3</f>
        <v>4976.6900000000005</v>
      </c>
      <c r="AX3" s="26"/>
      <c r="AY3" s="26">
        <v>-7.73</v>
      </c>
      <c r="AZ3" s="27" t="s">
        <v>209</v>
      </c>
      <c r="BA3" s="22">
        <v>255</v>
      </c>
      <c r="BB3" s="28">
        <f>ROUND(AW3+BA3+AY3+AX3,2)</f>
        <v>5223.96</v>
      </c>
      <c r="BC3" s="22">
        <f t="shared" ref="BC3:BC38" si="9">ROUND(BB3*6%,2)</f>
        <v>313.44</v>
      </c>
      <c r="BD3" s="22">
        <f t="shared" ref="BD3:BD38" si="10">ROUND(SUM(BB3:BC3),2)</f>
        <v>5537.4</v>
      </c>
      <c r="BE3" s="29" t="s">
        <v>102</v>
      </c>
      <c r="BG3" s="29"/>
    </row>
    <row r="4" spans="1:59" s="30" customFormat="1" ht="15" customHeight="1" x14ac:dyDescent="0.25">
      <c r="A4" s="16">
        <f t="shared" ref="A4:A38" si="11">ROW()-2</f>
        <v>2</v>
      </c>
      <c r="B4" s="17">
        <v>2502</v>
      </c>
      <c r="C4" s="17" t="s">
        <v>188</v>
      </c>
      <c r="D4" s="39" t="s">
        <v>124</v>
      </c>
      <c r="E4" s="18" t="s">
        <v>5</v>
      </c>
      <c r="F4" s="19">
        <v>45444</v>
      </c>
      <c r="G4" s="19">
        <v>45808</v>
      </c>
      <c r="H4" s="16"/>
      <c r="I4" s="20" t="s">
        <v>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2">
        <f t="shared" si="0"/>
        <v>0</v>
      </c>
      <c r="AA4" s="23">
        <v>10363</v>
      </c>
      <c r="AB4" s="24">
        <v>829.04</v>
      </c>
      <c r="AC4" s="24">
        <v>207.26</v>
      </c>
      <c r="AD4" s="24">
        <v>51.82</v>
      </c>
      <c r="AE4" s="23">
        <v>10363</v>
      </c>
      <c r="AF4" s="23">
        <v>725</v>
      </c>
      <c r="AG4" s="22">
        <f t="shared" si="1"/>
        <v>1813.12</v>
      </c>
      <c r="AH4" s="25"/>
      <c r="AI4" s="25"/>
      <c r="AJ4" s="25"/>
      <c r="AK4" s="22">
        <f t="shared" si="2"/>
        <v>-1813.12</v>
      </c>
      <c r="AL4" s="23">
        <v>10363</v>
      </c>
      <c r="AM4" s="23">
        <v>10363</v>
      </c>
      <c r="AN4" s="23">
        <f t="shared" si="3"/>
        <v>1658.08</v>
      </c>
      <c r="AO4" s="23">
        <v>932.68</v>
      </c>
      <c r="AP4" s="23">
        <f t="shared" si="4"/>
        <v>51.82</v>
      </c>
      <c r="AQ4" s="23">
        <v>20.73</v>
      </c>
      <c r="AR4" s="23"/>
      <c r="AS4" s="23">
        <f t="shared" si="5"/>
        <v>725</v>
      </c>
      <c r="AT4" s="23">
        <f t="shared" si="6"/>
        <v>155.44999999999999</v>
      </c>
      <c r="AU4" s="22">
        <f t="shared" si="7"/>
        <v>3543.7599999999998</v>
      </c>
      <c r="AV4" s="22">
        <v>174</v>
      </c>
      <c r="AW4" s="22">
        <f t="shared" si="8"/>
        <v>3717.7599999999998</v>
      </c>
      <c r="AX4" s="26"/>
      <c r="AY4" s="26">
        <v>-5.8000000000000007</v>
      </c>
      <c r="AZ4" s="27" t="s">
        <v>209</v>
      </c>
      <c r="BA4" s="22">
        <v>255</v>
      </c>
      <c r="BB4" s="28">
        <f>ROUND(AW4+BA4+AY4+AX4,2)</f>
        <v>3966.96</v>
      </c>
      <c r="BC4" s="22">
        <f t="shared" si="9"/>
        <v>238.02</v>
      </c>
      <c r="BD4" s="22">
        <f t="shared" si="10"/>
        <v>4204.9799999999996</v>
      </c>
      <c r="BE4" s="29" t="s">
        <v>102</v>
      </c>
      <c r="BG4" s="29"/>
    </row>
    <row r="5" spans="1:59" s="30" customFormat="1" ht="15" customHeight="1" x14ac:dyDescent="0.25">
      <c r="A5" s="16">
        <f t="shared" si="11"/>
        <v>3</v>
      </c>
      <c r="B5" s="17">
        <v>2502</v>
      </c>
      <c r="C5" s="17" t="s">
        <v>189</v>
      </c>
      <c r="D5" s="39" t="s">
        <v>127</v>
      </c>
      <c r="E5" s="18" t="s">
        <v>6</v>
      </c>
      <c r="F5" s="19">
        <v>45444</v>
      </c>
      <c r="G5" s="19">
        <v>45808</v>
      </c>
      <c r="H5" s="16"/>
      <c r="I5" s="20" t="s">
        <v>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2">
        <f t="shared" si="0"/>
        <v>0</v>
      </c>
      <c r="AA5" s="23">
        <v>11829</v>
      </c>
      <c r="AB5" s="24">
        <v>946.32</v>
      </c>
      <c r="AC5" s="24">
        <v>236.58</v>
      </c>
      <c r="AD5" s="24">
        <v>59.15</v>
      </c>
      <c r="AE5" s="23">
        <v>11829</v>
      </c>
      <c r="AF5" s="23">
        <v>828</v>
      </c>
      <c r="AG5" s="22">
        <f t="shared" si="1"/>
        <v>2070.0500000000002</v>
      </c>
      <c r="AH5" s="25"/>
      <c r="AI5" s="25"/>
      <c r="AJ5" s="25"/>
      <c r="AK5" s="22">
        <f t="shared" si="2"/>
        <v>-2070.0500000000002</v>
      </c>
      <c r="AL5" s="23">
        <v>11829</v>
      </c>
      <c r="AM5" s="23">
        <v>11829</v>
      </c>
      <c r="AN5" s="23">
        <f t="shared" si="3"/>
        <v>1892.64</v>
      </c>
      <c r="AO5" s="23">
        <v>1064.6199999999999</v>
      </c>
      <c r="AP5" s="23">
        <f t="shared" si="4"/>
        <v>59.15</v>
      </c>
      <c r="AQ5" s="23">
        <v>23.66</v>
      </c>
      <c r="AR5" s="23"/>
      <c r="AS5" s="23">
        <f t="shared" si="5"/>
        <v>828</v>
      </c>
      <c r="AT5" s="23">
        <f t="shared" si="6"/>
        <v>177.44</v>
      </c>
      <c r="AU5" s="22">
        <f t="shared" si="7"/>
        <v>4045.51</v>
      </c>
      <c r="AV5" s="22">
        <v>141</v>
      </c>
      <c r="AW5" s="22">
        <f t="shared" si="8"/>
        <v>4186.51</v>
      </c>
      <c r="AX5" s="26"/>
      <c r="AY5" s="26">
        <v>-6.620000000000001</v>
      </c>
      <c r="AZ5" s="27" t="s">
        <v>209</v>
      </c>
      <c r="BA5" s="22">
        <v>255</v>
      </c>
      <c r="BB5" s="28">
        <f>ROUND(AW5+BA5+AY5+AX5,2)</f>
        <v>4434.8900000000003</v>
      </c>
      <c r="BC5" s="22">
        <f t="shared" si="9"/>
        <v>266.08999999999997</v>
      </c>
      <c r="BD5" s="22">
        <f t="shared" si="10"/>
        <v>4700.9799999999996</v>
      </c>
      <c r="BE5" s="29" t="s">
        <v>102</v>
      </c>
      <c r="BG5" s="29"/>
    </row>
    <row r="6" spans="1:59" s="30" customFormat="1" ht="15" customHeight="1" x14ac:dyDescent="0.25">
      <c r="A6" s="16">
        <f t="shared" si="11"/>
        <v>4</v>
      </c>
      <c r="B6" s="17">
        <v>2502</v>
      </c>
      <c r="C6" s="17" t="s">
        <v>190</v>
      </c>
      <c r="D6" s="39" t="s">
        <v>121</v>
      </c>
      <c r="E6" s="18" t="s">
        <v>1</v>
      </c>
      <c r="F6" s="19">
        <v>45444</v>
      </c>
      <c r="G6" s="19">
        <v>45808</v>
      </c>
      <c r="H6" s="16"/>
      <c r="I6" s="20" t="s">
        <v>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2">
        <f t="shared" si="0"/>
        <v>0</v>
      </c>
      <c r="AA6" s="23">
        <v>11367</v>
      </c>
      <c r="AB6" s="24">
        <v>909.36</v>
      </c>
      <c r="AC6" s="24">
        <v>227.34</v>
      </c>
      <c r="AD6" s="24">
        <v>56.84</v>
      </c>
      <c r="AE6" s="23">
        <v>11367</v>
      </c>
      <c r="AF6" s="23">
        <v>796</v>
      </c>
      <c r="AG6" s="22">
        <f t="shared" si="1"/>
        <v>1989.54</v>
      </c>
      <c r="AH6" s="25"/>
      <c r="AI6" s="25"/>
      <c r="AJ6" s="25"/>
      <c r="AK6" s="22">
        <f t="shared" si="2"/>
        <v>-1989.54</v>
      </c>
      <c r="AL6" s="23">
        <v>11367</v>
      </c>
      <c r="AM6" s="23">
        <v>11367</v>
      </c>
      <c r="AN6" s="23">
        <f t="shared" si="3"/>
        <v>1818.72</v>
      </c>
      <c r="AO6" s="23">
        <v>1023.04</v>
      </c>
      <c r="AP6" s="23">
        <f t="shared" si="4"/>
        <v>56.84</v>
      </c>
      <c r="AQ6" s="23">
        <v>22.73</v>
      </c>
      <c r="AR6" s="23"/>
      <c r="AS6" s="23">
        <f t="shared" si="5"/>
        <v>796</v>
      </c>
      <c r="AT6" s="23">
        <f t="shared" si="6"/>
        <v>170.51</v>
      </c>
      <c r="AU6" s="22">
        <f t="shared" si="7"/>
        <v>3887.84</v>
      </c>
      <c r="AV6" s="22">
        <v>168</v>
      </c>
      <c r="AW6" s="22">
        <f t="shared" si="8"/>
        <v>4055.84</v>
      </c>
      <c r="AX6" s="26"/>
      <c r="AY6" s="26">
        <v>-6.370000000000001</v>
      </c>
      <c r="AZ6" s="27" t="s">
        <v>209</v>
      </c>
      <c r="BA6" s="22">
        <v>255</v>
      </c>
      <c r="BB6" s="28">
        <f>ROUND(AW6+BA6+AY6+AX6,2)</f>
        <v>4304.47</v>
      </c>
      <c r="BC6" s="22">
        <f t="shared" si="9"/>
        <v>258.27</v>
      </c>
      <c r="BD6" s="22">
        <f t="shared" si="10"/>
        <v>4562.74</v>
      </c>
      <c r="BE6" s="29" t="s">
        <v>102</v>
      </c>
      <c r="BG6" s="29"/>
    </row>
    <row r="7" spans="1:59" s="30" customFormat="1" ht="15" customHeight="1" x14ac:dyDescent="0.25">
      <c r="A7" s="16">
        <f t="shared" si="11"/>
        <v>5</v>
      </c>
      <c r="B7" s="17">
        <v>2502</v>
      </c>
      <c r="C7" s="17" t="s">
        <v>191</v>
      </c>
      <c r="D7" s="39" t="s">
        <v>133</v>
      </c>
      <c r="E7" s="18" t="s">
        <v>7</v>
      </c>
      <c r="F7" s="19">
        <v>45444</v>
      </c>
      <c r="G7" s="19">
        <v>45808</v>
      </c>
      <c r="H7" s="16"/>
      <c r="I7" s="20" t="s">
        <v>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>
        <f t="shared" si="0"/>
        <v>0</v>
      </c>
      <c r="AA7" s="23">
        <v>11730</v>
      </c>
      <c r="AB7" s="24">
        <v>938.4</v>
      </c>
      <c r="AC7" s="24">
        <v>234.6</v>
      </c>
      <c r="AD7" s="24">
        <v>58.65</v>
      </c>
      <c r="AE7" s="23">
        <v>11730</v>
      </c>
      <c r="AF7" s="23">
        <v>821</v>
      </c>
      <c r="AG7" s="22">
        <f t="shared" si="1"/>
        <v>2052.65</v>
      </c>
      <c r="AH7" s="25"/>
      <c r="AI7" s="25"/>
      <c r="AJ7" s="25"/>
      <c r="AK7" s="22">
        <f t="shared" si="2"/>
        <v>-2052.65</v>
      </c>
      <c r="AL7" s="23">
        <v>11730</v>
      </c>
      <c r="AM7" s="23">
        <v>11730</v>
      </c>
      <c r="AN7" s="23">
        <f t="shared" si="3"/>
        <v>1876.8</v>
      </c>
      <c r="AO7" s="23">
        <f t="shared" ref="AO7:AO12" si="12">ROUND(AL7*9%,2)</f>
        <v>1055.7</v>
      </c>
      <c r="AP7" s="23">
        <f t="shared" si="4"/>
        <v>58.65</v>
      </c>
      <c r="AQ7" s="23">
        <v>23.46</v>
      </c>
      <c r="AR7" s="23"/>
      <c r="AS7" s="23">
        <f t="shared" si="5"/>
        <v>821</v>
      </c>
      <c r="AT7" s="23">
        <f t="shared" si="6"/>
        <v>175.95</v>
      </c>
      <c r="AU7" s="22">
        <f t="shared" si="7"/>
        <v>4011.56</v>
      </c>
      <c r="AV7" s="22">
        <v>157</v>
      </c>
      <c r="AW7" s="22">
        <f t="shared" si="8"/>
        <v>4168.5599999999995</v>
      </c>
      <c r="AX7" s="26"/>
      <c r="AY7" s="26">
        <v>-6.57</v>
      </c>
      <c r="AZ7" s="27" t="s">
        <v>209</v>
      </c>
      <c r="BA7" s="22">
        <v>255</v>
      </c>
      <c r="BB7" s="28">
        <f>ROUND(AW7+BA7+AY7+AX7,2)</f>
        <v>4416.99</v>
      </c>
      <c r="BC7" s="22">
        <f t="shared" si="9"/>
        <v>265.02</v>
      </c>
      <c r="BD7" s="22">
        <f t="shared" si="10"/>
        <v>4682.01</v>
      </c>
      <c r="BE7" s="29" t="s">
        <v>102</v>
      </c>
      <c r="BG7" s="29"/>
    </row>
    <row r="8" spans="1:59" s="30" customFormat="1" ht="15" customHeight="1" x14ac:dyDescent="0.25">
      <c r="A8" s="16">
        <f t="shared" si="11"/>
        <v>6</v>
      </c>
      <c r="B8" s="17">
        <v>2502</v>
      </c>
      <c r="C8" s="17" t="s">
        <v>192</v>
      </c>
      <c r="D8" s="39" t="s">
        <v>122</v>
      </c>
      <c r="E8" s="18" t="s">
        <v>3</v>
      </c>
      <c r="F8" s="19">
        <v>45444</v>
      </c>
      <c r="G8" s="19">
        <v>45808</v>
      </c>
      <c r="H8" s="16"/>
      <c r="I8" s="20" t="s">
        <v>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2">
        <f t="shared" si="0"/>
        <v>0</v>
      </c>
      <c r="AA8" s="23">
        <v>7963</v>
      </c>
      <c r="AB8" s="24">
        <v>637.04</v>
      </c>
      <c r="AC8" s="24">
        <v>159.26</v>
      </c>
      <c r="AD8" s="24">
        <v>39.82</v>
      </c>
      <c r="AE8" s="23">
        <v>7963</v>
      </c>
      <c r="AF8" s="23">
        <v>557</v>
      </c>
      <c r="AG8" s="22">
        <f t="shared" si="1"/>
        <v>1393.12</v>
      </c>
      <c r="AH8" s="25"/>
      <c r="AI8" s="25"/>
      <c r="AJ8" s="25"/>
      <c r="AK8" s="22">
        <f t="shared" si="2"/>
        <v>-1393.12</v>
      </c>
      <c r="AL8" s="23">
        <v>7963</v>
      </c>
      <c r="AM8" s="23">
        <v>7963</v>
      </c>
      <c r="AN8" s="23">
        <f t="shared" si="3"/>
        <v>1274.08</v>
      </c>
      <c r="AO8" s="23">
        <v>716.68</v>
      </c>
      <c r="AP8" s="23">
        <f t="shared" si="4"/>
        <v>39.82</v>
      </c>
      <c r="AQ8" s="23">
        <v>15.93</v>
      </c>
      <c r="AR8" s="23"/>
      <c r="AS8" s="23">
        <f t="shared" si="5"/>
        <v>557</v>
      </c>
      <c r="AT8" s="23">
        <f t="shared" si="6"/>
        <v>119.45</v>
      </c>
      <c r="AU8" s="22">
        <f t="shared" si="7"/>
        <v>2722.9599999999996</v>
      </c>
      <c r="AV8" s="22">
        <v>156</v>
      </c>
      <c r="AW8" s="22">
        <f t="shared" si="8"/>
        <v>2878.9599999999996</v>
      </c>
      <c r="AX8" s="26"/>
      <c r="AY8" s="26">
        <v>-4.4600000000000009</v>
      </c>
      <c r="AZ8" s="27" t="s">
        <v>209</v>
      </c>
      <c r="BA8" s="22">
        <v>255</v>
      </c>
      <c r="BB8" s="28">
        <f>ROUND(AW8+BA8+AY8+AX8,2)</f>
        <v>3129.5</v>
      </c>
      <c r="BC8" s="22">
        <f t="shared" si="9"/>
        <v>187.77</v>
      </c>
      <c r="BD8" s="22">
        <f t="shared" si="10"/>
        <v>3317.27</v>
      </c>
      <c r="BE8" s="29" t="s">
        <v>102</v>
      </c>
      <c r="BG8" s="29"/>
    </row>
    <row r="9" spans="1:59" s="30" customFormat="1" ht="15" customHeight="1" x14ac:dyDescent="0.25">
      <c r="A9" s="16">
        <f t="shared" si="11"/>
        <v>7</v>
      </c>
      <c r="B9" s="17">
        <v>2502</v>
      </c>
      <c r="C9" s="17" t="s">
        <v>193</v>
      </c>
      <c r="D9" s="39" t="s">
        <v>128</v>
      </c>
      <c r="E9" s="18" t="s">
        <v>2</v>
      </c>
      <c r="F9" s="19">
        <v>45444</v>
      </c>
      <c r="G9" s="19">
        <v>45808</v>
      </c>
      <c r="H9" s="16"/>
      <c r="I9" s="20" t="s">
        <v>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2">
        <f t="shared" si="0"/>
        <v>0</v>
      </c>
      <c r="AA9" s="23">
        <v>11386</v>
      </c>
      <c r="AB9" s="24">
        <v>910.88</v>
      </c>
      <c r="AC9" s="24">
        <v>227.72</v>
      </c>
      <c r="AD9" s="24">
        <v>56.93</v>
      </c>
      <c r="AE9" s="23">
        <v>11386</v>
      </c>
      <c r="AF9" s="23">
        <v>797</v>
      </c>
      <c r="AG9" s="22">
        <f t="shared" si="1"/>
        <v>1992.53</v>
      </c>
      <c r="AH9" s="25"/>
      <c r="AI9" s="25"/>
      <c r="AJ9" s="25"/>
      <c r="AK9" s="22">
        <f t="shared" si="2"/>
        <v>-1992.53</v>
      </c>
      <c r="AL9" s="23">
        <v>11386</v>
      </c>
      <c r="AM9" s="23">
        <v>11386</v>
      </c>
      <c r="AN9" s="23">
        <f t="shared" si="3"/>
        <v>1821.76</v>
      </c>
      <c r="AO9" s="23">
        <f t="shared" si="12"/>
        <v>1024.74</v>
      </c>
      <c r="AP9" s="23">
        <f t="shared" si="4"/>
        <v>56.93</v>
      </c>
      <c r="AQ9" s="23">
        <v>22.77</v>
      </c>
      <c r="AR9" s="23"/>
      <c r="AS9" s="23">
        <f t="shared" si="5"/>
        <v>797</v>
      </c>
      <c r="AT9" s="23">
        <f t="shared" si="6"/>
        <v>170.79</v>
      </c>
      <c r="AU9" s="22">
        <f t="shared" si="7"/>
        <v>3893.99</v>
      </c>
      <c r="AV9" s="22">
        <v>172</v>
      </c>
      <c r="AW9" s="22">
        <f t="shared" si="8"/>
        <v>4065.99</v>
      </c>
      <c r="AX9" s="26"/>
      <c r="AY9" s="26">
        <v>-6.379999999999999</v>
      </c>
      <c r="AZ9" s="27" t="s">
        <v>209</v>
      </c>
      <c r="BA9" s="22">
        <v>255</v>
      </c>
      <c r="BB9" s="28">
        <f>ROUND(AW9+BA9+AY9+AX9,2)</f>
        <v>4314.6099999999997</v>
      </c>
      <c r="BC9" s="22">
        <f t="shared" si="9"/>
        <v>258.88</v>
      </c>
      <c r="BD9" s="22">
        <f t="shared" si="10"/>
        <v>4573.49</v>
      </c>
      <c r="BE9" s="29" t="s">
        <v>102</v>
      </c>
      <c r="BG9" s="29"/>
    </row>
    <row r="10" spans="1:59" s="30" customFormat="1" ht="15" customHeight="1" x14ac:dyDescent="0.25">
      <c r="A10" s="16">
        <f t="shared" si="11"/>
        <v>8</v>
      </c>
      <c r="B10" s="17">
        <v>2502</v>
      </c>
      <c r="C10" s="17" t="s">
        <v>194</v>
      </c>
      <c r="D10" s="39" t="s">
        <v>147</v>
      </c>
      <c r="E10" s="18" t="s">
        <v>99</v>
      </c>
      <c r="F10" s="19">
        <v>45444</v>
      </c>
      <c r="G10" s="19">
        <v>45808</v>
      </c>
      <c r="H10" s="16"/>
      <c r="I10" s="20" t="s">
        <v>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>
        <f t="shared" si="0"/>
        <v>0</v>
      </c>
      <c r="AA10" s="23">
        <v>7546</v>
      </c>
      <c r="AB10" s="24">
        <v>603.67999999999995</v>
      </c>
      <c r="AC10" s="24">
        <v>150.91999999999999</v>
      </c>
      <c r="AD10" s="24">
        <v>37.729999999999997</v>
      </c>
      <c r="AE10" s="23">
        <v>7546</v>
      </c>
      <c r="AF10" s="23">
        <v>528</v>
      </c>
      <c r="AG10" s="22">
        <f t="shared" si="1"/>
        <v>1320.33</v>
      </c>
      <c r="AH10" s="25"/>
      <c r="AI10" s="25"/>
      <c r="AJ10" s="25"/>
      <c r="AK10" s="22">
        <f t="shared" si="2"/>
        <v>-1320.33</v>
      </c>
      <c r="AL10" s="23">
        <v>7546</v>
      </c>
      <c r="AM10" s="23">
        <v>7546</v>
      </c>
      <c r="AN10" s="23">
        <f t="shared" si="3"/>
        <v>1207.3599999999999</v>
      </c>
      <c r="AO10" s="23">
        <f t="shared" si="12"/>
        <v>679.14</v>
      </c>
      <c r="AP10" s="23">
        <f t="shared" si="4"/>
        <v>37.729999999999997</v>
      </c>
      <c r="AQ10" s="23">
        <v>15.09</v>
      </c>
      <c r="AR10" s="23"/>
      <c r="AS10" s="23">
        <f t="shared" si="5"/>
        <v>528</v>
      </c>
      <c r="AT10" s="23">
        <f t="shared" si="6"/>
        <v>113.19</v>
      </c>
      <c r="AU10" s="22">
        <f t="shared" si="7"/>
        <v>2580.5099999999998</v>
      </c>
      <c r="AV10" s="22">
        <v>87</v>
      </c>
      <c r="AW10" s="22">
        <f t="shared" si="8"/>
        <v>2667.5099999999998</v>
      </c>
      <c r="AX10" s="26"/>
      <c r="AY10" s="26">
        <v>-4.2300000000000004</v>
      </c>
      <c r="AZ10" s="27" t="s">
        <v>209</v>
      </c>
      <c r="BA10" s="22">
        <v>255</v>
      </c>
      <c r="BB10" s="28">
        <f>ROUND(AW10+BA10+AY10+AX10,2)</f>
        <v>2918.28</v>
      </c>
      <c r="BC10" s="22">
        <f t="shared" si="9"/>
        <v>175.1</v>
      </c>
      <c r="BD10" s="22">
        <f t="shared" si="10"/>
        <v>3093.38</v>
      </c>
      <c r="BE10" s="29" t="s">
        <v>102</v>
      </c>
      <c r="BG10" s="29"/>
    </row>
    <row r="11" spans="1:59" s="30" customFormat="1" ht="15" customHeight="1" x14ac:dyDescent="0.25">
      <c r="A11" s="16">
        <f t="shared" si="11"/>
        <v>9</v>
      </c>
      <c r="B11" s="17">
        <v>2502</v>
      </c>
      <c r="C11" s="17" t="s">
        <v>195</v>
      </c>
      <c r="D11" s="39" t="s">
        <v>148</v>
      </c>
      <c r="E11" s="18" t="s">
        <v>100</v>
      </c>
      <c r="F11" s="19">
        <v>45444</v>
      </c>
      <c r="G11" s="19">
        <v>45808</v>
      </c>
      <c r="H11" s="16"/>
      <c r="I11" s="20" t="s">
        <v>0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2">
        <f t="shared" si="0"/>
        <v>0</v>
      </c>
      <c r="AA11" s="23">
        <v>7594</v>
      </c>
      <c r="AB11" s="24">
        <v>607.52</v>
      </c>
      <c r="AC11" s="24">
        <v>151.88</v>
      </c>
      <c r="AD11" s="24">
        <v>37.97</v>
      </c>
      <c r="AE11" s="23">
        <v>7594</v>
      </c>
      <c r="AF11" s="23">
        <v>532</v>
      </c>
      <c r="AG11" s="22">
        <f t="shared" si="1"/>
        <v>1329.37</v>
      </c>
      <c r="AH11" s="25"/>
      <c r="AI11" s="25"/>
      <c r="AJ11" s="25"/>
      <c r="AK11" s="22">
        <f t="shared" si="2"/>
        <v>-1329.37</v>
      </c>
      <c r="AL11" s="23">
        <v>7594</v>
      </c>
      <c r="AM11" s="23">
        <v>7594</v>
      </c>
      <c r="AN11" s="23">
        <f t="shared" si="3"/>
        <v>1215.04</v>
      </c>
      <c r="AO11" s="23">
        <f t="shared" si="12"/>
        <v>683.46</v>
      </c>
      <c r="AP11" s="23">
        <f t="shared" si="4"/>
        <v>37.97</v>
      </c>
      <c r="AQ11" s="23">
        <v>15.19</v>
      </c>
      <c r="AR11" s="23"/>
      <c r="AS11" s="23">
        <f t="shared" si="5"/>
        <v>532</v>
      </c>
      <c r="AT11" s="23">
        <f t="shared" si="6"/>
        <v>113.91</v>
      </c>
      <c r="AU11" s="22">
        <f t="shared" si="7"/>
        <v>2597.5699999999997</v>
      </c>
      <c r="AV11" s="22">
        <v>129</v>
      </c>
      <c r="AW11" s="22">
        <f t="shared" si="8"/>
        <v>2726.5699999999997</v>
      </c>
      <c r="AX11" s="26"/>
      <c r="AY11" s="26">
        <v>-4.2500000000000018</v>
      </c>
      <c r="AZ11" s="27" t="s">
        <v>209</v>
      </c>
      <c r="BA11" s="22">
        <v>255</v>
      </c>
      <c r="BB11" s="28">
        <f>ROUND(AW11+BA11+AY11+AX11,2)</f>
        <v>2977.32</v>
      </c>
      <c r="BC11" s="22">
        <f t="shared" si="9"/>
        <v>178.64</v>
      </c>
      <c r="BD11" s="22">
        <f t="shared" si="10"/>
        <v>3155.96</v>
      </c>
      <c r="BE11" s="29" t="s">
        <v>102</v>
      </c>
      <c r="BG11" s="29"/>
    </row>
    <row r="12" spans="1:59" s="30" customFormat="1" ht="15" customHeight="1" x14ac:dyDescent="0.25">
      <c r="A12" s="16">
        <f t="shared" si="11"/>
        <v>10</v>
      </c>
      <c r="B12" s="17">
        <v>2502</v>
      </c>
      <c r="C12" s="17" t="s">
        <v>196</v>
      </c>
      <c r="D12" s="39" t="s">
        <v>149</v>
      </c>
      <c r="E12" s="18" t="s">
        <v>101</v>
      </c>
      <c r="F12" s="19">
        <v>45444</v>
      </c>
      <c r="G12" s="19">
        <v>45808</v>
      </c>
      <c r="H12" s="16"/>
      <c r="I12" s="20" t="s">
        <v>0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2">
        <f t="shared" si="0"/>
        <v>0</v>
      </c>
      <c r="AA12" s="23">
        <v>11264</v>
      </c>
      <c r="AB12" s="24">
        <v>901.12</v>
      </c>
      <c r="AC12" s="24">
        <v>225.28</v>
      </c>
      <c r="AD12" s="24">
        <v>56.32</v>
      </c>
      <c r="AE12" s="23">
        <v>11264</v>
      </c>
      <c r="AF12" s="23">
        <v>788</v>
      </c>
      <c r="AG12" s="22">
        <f t="shared" si="1"/>
        <v>1970.72</v>
      </c>
      <c r="AH12" s="25"/>
      <c r="AI12" s="25"/>
      <c r="AJ12" s="25"/>
      <c r="AK12" s="22">
        <f t="shared" si="2"/>
        <v>-1970.72</v>
      </c>
      <c r="AL12" s="23">
        <v>11264</v>
      </c>
      <c r="AM12" s="23">
        <v>11264</v>
      </c>
      <c r="AN12" s="23">
        <f t="shared" si="3"/>
        <v>1802.24</v>
      </c>
      <c r="AO12" s="23">
        <f t="shared" si="12"/>
        <v>1013.76</v>
      </c>
      <c r="AP12" s="23">
        <f t="shared" si="4"/>
        <v>56.32</v>
      </c>
      <c r="AQ12" s="23">
        <v>22.53</v>
      </c>
      <c r="AR12" s="23"/>
      <c r="AS12" s="23">
        <f t="shared" si="5"/>
        <v>788</v>
      </c>
      <c r="AT12" s="23">
        <f t="shared" si="6"/>
        <v>168.96</v>
      </c>
      <c r="AU12" s="22">
        <f t="shared" si="7"/>
        <v>3851.8100000000004</v>
      </c>
      <c r="AV12" s="22">
        <v>170</v>
      </c>
      <c r="AW12" s="22">
        <f t="shared" si="8"/>
        <v>4021.8100000000004</v>
      </c>
      <c r="AX12" s="26"/>
      <c r="AY12" s="26">
        <v>-6.3099999999999987</v>
      </c>
      <c r="AZ12" s="27" t="s">
        <v>209</v>
      </c>
      <c r="BA12" s="22">
        <v>255</v>
      </c>
      <c r="BB12" s="28">
        <f>ROUND(AW12+BA12+AY12+AX12,2)</f>
        <v>4270.5</v>
      </c>
      <c r="BC12" s="22">
        <f t="shared" si="9"/>
        <v>256.23</v>
      </c>
      <c r="BD12" s="22">
        <f t="shared" si="10"/>
        <v>4526.7299999999996</v>
      </c>
      <c r="BE12" s="29" t="s">
        <v>102</v>
      </c>
      <c r="BG12" s="29"/>
    </row>
    <row r="13" spans="1:59" s="30" customFormat="1" ht="15" customHeight="1" x14ac:dyDescent="0.25">
      <c r="A13" s="16">
        <f t="shared" si="11"/>
        <v>11</v>
      </c>
      <c r="B13" s="17">
        <v>2502</v>
      </c>
      <c r="C13" s="17" t="s">
        <v>197</v>
      </c>
      <c r="D13" s="39" t="s">
        <v>150</v>
      </c>
      <c r="E13" s="18" t="s">
        <v>151</v>
      </c>
      <c r="F13" s="19">
        <v>45444</v>
      </c>
      <c r="G13" s="19">
        <v>45808</v>
      </c>
      <c r="H13" s="16"/>
      <c r="I13" s="20" t="s">
        <v>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2">
        <f t="shared" si="0"/>
        <v>0</v>
      </c>
      <c r="AA13" s="23">
        <v>11463</v>
      </c>
      <c r="AB13" s="24">
        <v>917.04</v>
      </c>
      <c r="AC13" s="24">
        <v>229.26</v>
      </c>
      <c r="AD13" s="24">
        <v>57.32</v>
      </c>
      <c r="AE13" s="23">
        <v>11463</v>
      </c>
      <c r="AF13" s="23">
        <v>802</v>
      </c>
      <c r="AG13" s="22">
        <f t="shared" si="1"/>
        <v>2005.62</v>
      </c>
      <c r="AH13" s="25"/>
      <c r="AI13" s="25"/>
      <c r="AJ13" s="25"/>
      <c r="AK13" s="22">
        <f t="shared" si="2"/>
        <v>-2005.62</v>
      </c>
      <c r="AL13" s="23">
        <v>11463</v>
      </c>
      <c r="AM13" s="23">
        <v>11463</v>
      </c>
      <c r="AN13" s="23">
        <f t="shared" si="3"/>
        <v>1834.08</v>
      </c>
      <c r="AO13" s="23">
        <v>1031.68</v>
      </c>
      <c r="AP13" s="23">
        <f t="shared" si="4"/>
        <v>57.32</v>
      </c>
      <c r="AQ13" s="23">
        <v>22.93</v>
      </c>
      <c r="AR13" s="23"/>
      <c r="AS13" s="23">
        <f t="shared" si="5"/>
        <v>802</v>
      </c>
      <c r="AT13" s="23">
        <f t="shared" si="6"/>
        <v>171.95</v>
      </c>
      <c r="AU13" s="22">
        <f t="shared" si="7"/>
        <v>3919.96</v>
      </c>
      <c r="AV13" s="22">
        <v>310</v>
      </c>
      <c r="AW13" s="22">
        <f t="shared" si="8"/>
        <v>4229.96</v>
      </c>
      <c r="AX13" s="26"/>
      <c r="AY13" s="26">
        <v>-6.4200000000000017</v>
      </c>
      <c r="AZ13" s="27" t="s">
        <v>209</v>
      </c>
      <c r="BA13" s="22">
        <v>255</v>
      </c>
      <c r="BB13" s="28">
        <f>ROUND(AW13+BA13+AY13+AX13,2)</f>
        <v>4478.54</v>
      </c>
      <c r="BC13" s="22">
        <f t="shared" si="9"/>
        <v>268.70999999999998</v>
      </c>
      <c r="BD13" s="22">
        <f t="shared" si="10"/>
        <v>4747.25</v>
      </c>
      <c r="BE13" s="29" t="s">
        <v>102</v>
      </c>
      <c r="BG13" s="29"/>
    </row>
    <row r="14" spans="1:59" s="30" customFormat="1" ht="15" customHeight="1" x14ac:dyDescent="0.25">
      <c r="A14" s="16">
        <f t="shared" si="11"/>
        <v>12</v>
      </c>
      <c r="B14" s="17">
        <v>2502</v>
      </c>
      <c r="C14" s="17" t="s">
        <v>200</v>
      </c>
      <c r="D14" s="34" t="s">
        <v>154</v>
      </c>
      <c r="E14" s="18" t="s">
        <v>155</v>
      </c>
      <c r="F14" s="19">
        <v>45444</v>
      </c>
      <c r="G14" s="19">
        <v>45808</v>
      </c>
      <c r="H14" s="16"/>
      <c r="I14" s="20" t="s">
        <v>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43"/>
      <c r="Z14" s="22">
        <f>SUM(J14:Y14)</f>
        <v>0</v>
      </c>
      <c r="AA14" s="23">
        <v>7384</v>
      </c>
      <c r="AB14" s="24">
        <v>590.72</v>
      </c>
      <c r="AC14" s="24">
        <v>147.68</v>
      </c>
      <c r="AD14" s="24">
        <v>36.92</v>
      </c>
      <c r="AE14" s="23">
        <v>6573</v>
      </c>
      <c r="AF14" s="23">
        <v>460</v>
      </c>
      <c r="AG14" s="22">
        <f>AB14+AC14+AD14+AF14</f>
        <v>1235.3200000000002</v>
      </c>
      <c r="AH14" s="25"/>
      <c r="AI14" s="25"/>
      <c r="AJ14" s="25"/>
      <c r="AK14" s="22">
        <f t="shared" si="2"/>
        <v>-1235.3200000000002</v>
      </c>
      <c r="AL14" s="23">
        <v>7384</v>
      </c>
      <c r="AM14" s="23">
        <v>6573</v>
      </c>
      <c r="AN14" s="23">
        <f>ROUND(AL14*16%,2)</f>
        <v>1181.44</v>
      </c>
      <c r="AO14" s="23">
        <f>ROUND(AL14*9%,2)</f>
        <v>664.56</v>
      </c>
      <c r="AP14" s="23">
        <f>ROUND(AL14*0.5%,2)</f>
        <v>36.92</v>
      </c>
      <c r="AQ14" s="23">
        <v>14.77</v>
      </c>
      <c r="AR14" s="23"/>
      <c r="AS14" s="23">
        <f t="shared" si="5"/>
        <v>460</v>
      </c>
      <c r="AT14" s="23">
        <f t="shared" si="6"/>
        <v>110.76</v>
      </c>
      <c r="AU14" s="22">
        <f t="shared" si="7"/>
        <v>2468.4500000000003</v>
      </c>
      <c r="AV14" s="22">
        <v>190</v>
      </c>
      <c r="AW14" s="22">
        <f t="shared" si="8"/>
        <v>2658.4500000000003</v>
      </c>
      <c r="AX14" s="36"/>
      <c r="AY14" s="26">
        <v>-4.129999999999999</v>
      </c>
      <c r="AZ14" s="27" t="s">
        <v>209</v>
      </c>
      <c r="BA14" s="22">
        <v>255</v>
      </c>
      <c r="BB14" s="28">
        <f>ROUND(AW14+BA14+AY14+AX14,2)</f>
        <v>2909.32</v>
      </c>
      <c r="BC14" s="22">
        <f t="shared" si="9"/>
        <v>174.56</v>
      </c>
      <c r="BD14" s="22">
        <f t="shared" si="10"/>
        <v>3083.88</v>
      </c>
      <c r="BE14" s="29" t="s">
        <v>102</v>
      </c>
      <c r="BG14" s="29"/>
    </row>
    <row r="15" spans="1:59" s="30" customFormat="1" ht="15" customHeight="1" x14ac:dyDescent="0.25">
      <c r="A15" s="16">
        <f t="shared" si="11"/>
        <v>13</v>
      </c>
      <c r="B15" s="17">
        <v>2502</v>
      </c>
      <c r="C15" s="17" t="s">
        <v>198</v>
      </c>
      <c r="D15" s="34" t="s">
        <v>152</v>
      </c>
      <c r="E15" s="18" t="s">
        <v>153</v>
      </c>
      <c r="F15" s="19">
        <v>45444</v>
      </c>
      <c r="G15" s="19">
        <v>45808</v>
      </c>
      <c r="H15" s="16"/>
      <c r="I15" s="20" t="s">
        <v>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43"/>
      <c r="Z15" s="22">
        <f t="shared" ref="Z15" si="13">SUM(J15:Y15)</f>
        <v>0</v>
      </c>
      <c r="AA15" s="23">
        <v>8179</v>
      </c>
      <c r="AB15" s="24">
        <v>654.32000000000005</v>
      </c>
      <c r="AC15" s="24">
        <v>163.58000000000001</v>
      </c>
      <c r="AD15" s="24">
        <v>40.9</v>
      </c>
      <c r="AE15" s="23">
        <v>8179</v>
      </c>
      <c r="AF15" s="23">
        <v>573</v>
      </c>
      <c r="AG15" s="22">
        <f t="shared" ref="AG15" si="14">AB15+AC15+AD15+AF15</f>
        <v>1431.8000000000002</v>
      </c>
      <c r="AH15" s="25"/>
      <c r="AI15" s="25"/>
      <c r="AJ15" s="25"/>
      <c r="AK15" s="22">
        <f t="shared" si="2"/>
        <v>-1431.8000000000002</v>
      </c>
      <c r="AL15" s="23">
        <v>8179</v>
      </c>
      <c r="AM15" s="23">
        <v>8179</v>
      </c>
      <c r="AN15" s="23">
        <f t="shared" ref="AN15" si="15">ROUND(AL15*16%,2)</f>
        <v>1308.6400000000001</v>
      </c>
      <c r="AO15" s="23">
        <v>736.12</v>
      </c>
      <c r="AP15" s="23">
        <f t="shared" ref="AP15" si="16">ROUND(AL15*0.5%,2)</f>
        <v>40.9</v>
      </c>
      <c r="AQ15" s="23">
        <v>16.36</v>
      </c>
      <c r="AR15" s="23"/>
      <c r="AS15" s="23">
        <f t="shared" si="5"/>
        <v>573</v>
      </c>
      <c r="AT15" s="23">
        <f t="shared" si="6"/>
        <v>122.69</v>
      </c>
      <c r="AU15" s="22">
        <f t="shared" si="7"/>
        <v>2797.7100000000005</v>
      </c>
      <c r="AV15" s="22">
        <v>205</v>
      </c>
      <c r="AW15" s="22">
        <f t="shared" si="8"/>
        <v>3002.7100000000005</v>
      </c>
      <c r="AX15" s="26"/>
      <c r="AY15" s="26">
        <v>-4.5800000000000018</v>
      </c>
      <c r="AZ15" s="27" t="s">
        <v>209</v>
      </c>
      <c r="BA15" s="22">
        <v>255</v>
      </c>
      <c r="BB15" s="28">
        <f>ROUND(AW15+BA15+AY15+AX15,2)</f>
        <v>3253.13</v>
      </c>
      <c r="BC15" s="22">
        <f t="shared" si="9"/>
        <v>195.19</v>
      </c>
      <c r="BD15" s="22">
        <f t="shared" si="10"/>
        <v>3448.32</v>
      </c>
      <c r="BE15" s="29" t="s">
        <v>102</v>
      </c>
      <c r="BG15" s="29"/>
    </row>
    <row r="16" spans="1:59" s="30" customFormat="1" ht="15" customHeight="1" x14ac:dyDescent="0.25">
      <c r="A16" s="16">
        <f t="shared" si="11"/>
        <v>14</v>
      </c>
      <c r="B16" s="17">
        <v>2502</v>
      </c>
      <c r="C16" s="17" t="s">
        <v>199</v>
      </c>
      <c r="D16" s="34" t="s">
        <v>136</v>
      </c>
      <c r="E16" s="18" t="s">
        <v>4</v>
      </c>
      <c r="F16" s="19">
        <v>45444</v>
      </c>
      <c r="G16" s="19">
        <v>45808</v>
      </c>
      <c r="H16" s="16"/>
      <c r="I16" s="20" t="s">
        <v>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2">
        <f>SUM(J16:Y16)</f>
        <v>0</v>
      </c>
      <c r="AA16" s="23">
        <v>7384</v>
      </c>
      <c r="AB16" s="24">
        <v>590.72</v>
      </c>
      <c r="AC16" s="24">
        <v>147.68</v>
      </c>
      <c r="AD16" s="24">
        <v>36.92</v>
      </c>
      <c r="AE16" s="23">
        <v>4848</v>
      </c>
      <c r="AF16" s="23">
        <v>339</v>
      </c>
      <c r="AG16" s="22">
        <f>AB16+AC16+AD16+AF16</f>
        <v>1114.3200000000002</v>
      </c>
      <c r="AH16" s="25"/>
      <c r="AI16" s="25"/>
      <c r="AJ16" s="25"/>
      <c r="AK16" s="22">
        <f t="shared" si="2"/>
        <v>-1114.3200000000002</v>
      </c>
      <c r="AL16" s="23">
        <v>7384</v>
      </c>
      <c r="AM16" s="23">
        <v>4848</v>
      </c>
      <c r="AN16" s="23">
        <f>ROUND(AL16*16%,2)</f>
        <v>1181.44</v>
      </c>
      <c r="AO16" s="23">
        <f>ROUND(AL16*9%,2)</f>
        <v>664.56</v>
      </c>
      <c r="AP16" s="23">
        <f>ROUND(AL16*0.5%,2)</f>
        <v>36.92</v>
      </c>
      <c r="AQ16" s="23">
        <v>14.77</v>
      </c>
      <c r="AR16" s="23"/>
      <c r="AS16" s="23">
        <f t="shared" si="5"/>
        <v>339</v>
      </c>
      <c r="AT16" s="23">
        <f t="shared" si="6"/>
        <v>110.76</v>
      </c>
      <c r="AU16" s="22">
        <f t="shared" si="7"/>
        <v>2347.4500000000003</v>
      </c>
      <c r="AV16" s="22">
        <v>92</v>
      </c>
      <c r="AW16" s="22">
        <f t="shared" si="8"/>
        <v>2439.4500000000003</v>
      </c>
      <c r="AX16" s="36"/>
      <c r="AY16" s="26">
        <v>-4.129999999999999</v>
      </c>
      <c r="AZ16" s="27" t="s">
        <v>209</v>
      </c>
      <c r="BA16" s="22">
        <v>255</v>
      </c>
      <c r="BB16" s="28">
        <f>ROUND(AW16+BA16+AY16+AX16,2)</f>
        <v>2690.32</v>
      </c>
      <c r="BC16" s="22">
        <f t="shared" si="9"/>
        <v>161.41999999999999</v>
      </c>
      <c r="BD16" s="22">
        <f t="shared" si="10"/>
        <v>2851.74</v>
      </c>
      <c r="BE16" s="29" t="s">
        <v>102</v>
      </c>
      <c r="BG16" s="29"/>
    </row>
    <row r="17" spans="1:59" s="30" customFormat="1" ht="15" customHeight="1" x14ac:dyDescent="0.25">
      <c r="A17" s="16">
        <f t="shared" si="11"/>
        <v>15</v>
      </c>
      <c r="B17" s="17">
        <v>2502</v>
      </c>
      <c r="C17" s="17" t="s">
        <v>142</v>
      </c>
      <c r="D17" s="16" t="s">
        <v>141</v>
      </c>
      <c r="E17" s="18" t="s">
        <v>139</v>
      </c>
      <c r="F17" s="19">
        <v>45413</v>
      </c>
      <c r="G17" s="19">
        <v>45777</v>
      </c>
      <c r="H17" s="16"/>
      <c r="I17" s="20" t="s">
        <v>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40"/>
      <c r="Z17" s="22">
        <f t="shared" ref="Z17:Z37" si="17">SUM(J17:Y17)</f>
        <v>0</v>
      </c>
      <c r="AA17" s="23">
        <v>9889</v>
      </c>
      <c r="AB17" s="24">
        <v>791.12</v>
      </c>
      <c r="AC17" s="24">
        <v>197.78</v>
      </c>
      <c r="AD17" s="24">
        <v>49.45</v>
      </c>
      <c r="AE17" s="23">
        <v>9889</v>
      </c>
      <c r="AF17" s="23">
        <v>692</v>
      </c>
      <c r="AG17" s="22">
        <f t="shared" ref="AG17:AG38" si="18">AB17+AC17+AD17+AF17</f>
        <v>1730.35</v>
      </c>
      <c r="AH17" s="25"/>
      <c r="AI17" s="25"/>
      <c r="AJ17" s="25"/>
      <c r="AK17" s="22">
        <f t="shared" si="2"/>
        <v>-1730.35</v>
      </c>
      <c r="AL17" s="23">
        <v>9889</v>
      </c>
      <c r="AM17" s="23">
        <v>9889</v>
      </c>
      <c r="AN17" s="23">
        <f t="shared" ref="AN17:AN38" si="19">ROUND(AL17*16%,2)</f>
        <v>1582.24</v>
      </c>
      <c r="AO17" s="23">
        <v>890.02</v>
      </c>
      <c r="AP17" s="23">
        <f t="shared" ref="AP17:AP38" si="20">ROUND(AL17*0.5%,2)</f>
        <v>49.45</v>
      </c>
      <c r="AQ17" s="23">
        <v>19.78</v>
      </c>
      <c r="AR17" s="23"/>
      <c r="AS17" s="23">
        <f t="shared" si="5"/>
        <v>692</v>
      </c>
      <c r="AT17" s="23">
        <f t="shared" si="6"/>
        <v>148.34</v>
      </c>
      <c r="AU17" s="22">
        <f t="shared" si="7"/>
        <v>3381.8300000000004</v>
      </c>
      <c r="AV17" s="22">
        <f>VLOOKUP(D17,[1]布列吉绩效清单!$F$7:$X$28,19,0)</f>
        <v>341</v>
      </c>
      <c r="AW17" s="22">
        <f t="shared" si="8"/>
        <v>3722.8300000000004</v>
      </c>
      <c r="AX17" s="26"/>
      <c r="AY17" s="26">
        <v>-5.5399999999999991</v>
      </c>
      <c r="AZ17" s="27" t="s">
        <v>209</v>
      </c>
      <c r="BA17" s="22">
        <v>255</v>
      </c>
      <c r="BB17" s="28">
        <f>ROUND(AW17+BA17+AY17+AX17,2)</f>
        <v>3972.29</v>
      </c>
      <c r="BC17" s="22">
        <f t="shared" si="9"/>
        <v>238.34</v>
      </c>
      <c r="BD17" s="22">
        <f t="shared" si="10"/>
        <v>4210.63</v>
      </c>
      <c r="BG17" s="29"/>
    </row>
    <row r="18" spans="1:59" s="30" customFormat="1" ht="15" customHeight="1" x14ac:dyDescent="0.25">
      <c r="A18" s="16">
        <f t="shared" si="11"/>
        <v>16</v>
      </c>
      <c r="B18" s="17">
        <v>2502</v>
      </c>
      <c r="C18" s="17" t="s">
        <v>143</v>
      </c>
      <c r="D18" s="16" t="s">
        <v>205</v>
      </c>
      <c r="E18" s="18" t="s">
        <v>140</v>
      </c>
      <c r="F18" s="19">
        <v>45413</v>
      </c>
      <c r="G18" s="19">
        <v>45777</v>
      </c>
      <c r="H18" s="16"/>
      <c r="I18" s="20" t="s">
        <v>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40"/>
      <c r="Z18" s="22">
        <f t="shared" si="17"/>
        <v>0</v>
      </c>
      <c r="AA18" s="23">
        <v>7788</v>
      </c>
      <c r="AB18" s="24">
        <v>623.04</v>
      </c>
      <c r="AC18" s="24">
        <v>155.76</v>
      </c>
      <c r="AD18" s="24">
        <v>38.94</v>
      </c>
      <c r="AE18" s="23">
        <v>7788</v>
      </c>
      <c r="AF18" s="23">
        <v>545</v>
      </c>
      <c r="AG18" s="22">
        <f t="shared" si="18"/>
        <v>1362.74</v>
      </c>
      <c r="AH18" s="25"/>
      <c r="AI18" s="25"/>
      <c r="AJ18" s="25"/>
      <c r="AK18" s="22">
        <f t="shared" si="2"/>
        <v>-1362.74</v>
      </c>
      <c r="AL18" s="23">
        <v>7788</v>
      </c>
      <c r="AM18" s="23">
        <v>7788</v>
      </c>
      <c r="AN18" s="23">
        <f t="shared" si="19"/>
        <v>1246.08</v>
      </c>
      <c r="AO18" s="23">
        <f t="shared" ref="AO18:AO38" si="21">ROUND(AL18*9%,2)</f>
        <v>700.92</v>
      </c>
      <c r="AP18" s="23">
        <f t="shared" si="20"/>
        <v>38.94</v>
      </c>
      <c r="AQ18" s="23">
        <v>15.58</v>
      </c>
      <c r="AR18" s="23"/>
      <c r="AS18" s="23">
        <f t="shared" si="5"/>
        <v>545</v>
      </c>
      <c r="AT18" s="23">
        <f t="shared" si="6"/>
        <v>116.82</v>
      </c>
      <c r="AU18" s="22">
        <f t="shared" si="7"/>
        <v>2663.34</v>
      </c>
      <c r="AV18" s="22">
        <f>VLOOKUP(D18,[1]布列吉绩效清单!$F$7:$X$28,19,0)</f>
        <v>151</v>
      </c>
      <c r="AW18" s="22">
        <f t="shared" si="8"/>
        <v>2814.34</v>
      </c>
      <c r="AX18" s="26"/>
      <c r="AY18" s="26">
        <v>-4.3600000000000012</v>
      </c>
      <c r="AZ18" s="27" t="s">
        <v>209</v>
      </c>
      <c r="BA18" s="22">
        <v>255</v>
      </c>
      <c r="BB18" s="28">
        <f>ROUND(AW18+BA18+AY18+AX18,2)</f>
        <v>3064.98</v>
      </c>
      <c r="BC18" s="22">
        <f t="shared" si="9"/>
        <v>183.9</v>
      </c>
      <c r="BD18" s="22">
        <f t="shared" si="10"/>
        <v>3248.88</v>
      </c>
      <c r="BG18" s="29"/>
    </row>
    <row r="19" spans="1:59" s="30" customFormat="1" ht="15" customHeight="1" x14ac:dyDescent="0.25">
      <c r="A19" s="16">
        <f t="shared" si="11"/>
        <v>17</v>
      </c>
      <c r="B19" s="17">
        <v>2502</v>
      </c>
      <c r="C19" s="17" t="s">
        <v>146</v>
      </c>
      <c r="D19" s="16" t="s">
        <v>144</v>
      </c>
      <c r="E19" s="18" t="s">
        <v>145</v>
      </c>
      <c r="F19" s="19">
        <v>45427</v>
      </c>
      <c r="G19" s="19">
        <v>46521</v>
      </c>
      <c r="H19" s="16"/>
      <c r="I19" s="20" t="s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40"/>
      <c r="Z19" s="22">
        <f t="shared" si="17"/>
        <v>0</v>
      </c>
      <c r="AA19" s="23">
        <v>7384</v>
      </c>
      <c r="AB19" s="24">
        <v>590.72</v>
      </c>
      <c r="AC19" s="24">
        <v>147.68</v>
      </c>
      <c r="AD19" s="24">
        <v>36.92</v>
      </c>
      <c r="AE19" s="35">
        <v>2690</v>
      </c>
      <c r="AF19" s="23">
        <v>188</v>
      </c>
      <c r="AG19" s="22">
        <f t="shared" si="18"/>
        <v>963.32</v>
      </c>
      <c r="AH19" s="25"/>
      <c r="AI19" s="25"/>
      <c r="AJ19" s="25"/>
      <c r="AK19" s="22">
        <f t="shared" si="2"/>
        <v>-963.32</v>
      </c>
      <c r="AL19" s="23">
        <v>7384</v>
      </c>
      <c r="AM19" s="23">
        <v>2690</v>
      </c>
      <c r="AN19" s="23">
        <f t="shared" si="19"/>
        <v>1181.44</v>
      </c>
      <c r="AO19" s="23">
        <f t="shared" si="21"/>
        <v>664.56</v>
      </c>
      <c r="AP19" s="23">
        <f t="shared" si="20"/>
        <v>36.92</v>
      </c>
      <c r="AQ19" s="23">
        <v>14.77</v>
      </c>
      <c r="AR19" s="23"/>
      <c r="AS19" s="23">
        <f t="shared" si="5"/>
        <v>188</v>
      </c>
      <c r="AT19" s="23">
        <f t="shared" si="6"/>
        <v>110.76</v>
      </c>
      <c r="AU19" s="22">
        <f t="shared" si="7"/>
        <v>2196.4500000000003</v>
      </c>
      <c r="AV19" s="22">
        <f>VLOOKUP(D19,[1]布列吉绩效清单!$F$7:$X$28,19,0)</f>
        <v>478</v>
      </c>
      <c r="AW19" s="22">
        <f t="shared" si="8"/>
        <v>2674.4500000000003</v>
      </c>
      <c r="AX19" s="36"/>
      <c r="AY19" s="26">
        <v>-4.129999999999999</v>
      </c>
      <c r="AZ19" s="27" t="s">
        <v>209</v>
      </c>
      <c r="BA19" s="22">
        <v>255</v>
      </c>
      <c r="BB19" s="28">
        <f>ROUND(AW19+BA19+AY19+AX19,2)</f>
        <v>2925.32</v>
      </c>
      <c r="BC19" s="22">
        <f t="shared" si="9"/>
        <v>175.52</v>
      </c>
      <c r="BD19" s="22">
        <f t="shared" si="10"/>
        <v>3100.84</v>
      </c>
      <c r="BG19" s="29"/>
    </row>
    <row r="20" spans="1:59" s="30" customFormat="1" ht="15" customHeight="1" x14ac:dyDescent="0.25">
      <c r="A20" s="16">
        <f t="shared" si="11"/>
        <v>18</v>
      </c>
      <c r="B20" s="17">
        <v>2502</v>
      </c>
      <c r="C20" s="17" t="s">
        <v>168</v>
      </c>
      <c r="D20" s="16" t="s">
        <v>129</v>
      </c>
      <c r="E20" s="18" t="s">
        <v>107</v>
      </c>
      <c r="F20" s="19">
        <v>45444</v>
      </c>
      <c r="G20" s="19">
        <v>45808</v>
      </c>
      <c r="H20" s="16"/>
      <c r="I20" s="20" t="s">
        <v>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40"/>
      <c r="Z20" s="22">
        <f t="shared" si="17"/>
        <v>0</v>
      </c>
      <c r="AA20" s="23">
        <v>7661</v>
      </c>
      <c r="AB20" s="24">
        <v>612.88</v>
      </c>
      <c r="AC20" s="24">
        <v>153.22</v>
      </c>
      <c r="AD20" s="24">
        <v>38.31</v>
      </c>
      <c r="AE20" s="23">
        <v>7661</v>
      </c>
      <c r="AF20" s="23">
        <v>536</v>
      </c>
      <c r="AG20" s="22">
        <f t="shared" si="18"/>
        <v>1340.41</v>
      </c>
      <c r="AH20" s="25"/>
      <c r="AI20" s="25"/>
      <c r="AJ20" s="25"/>
      <c r="AK20" s="22">
        <f t="shared" si="2"/>
        <v>-1340.41</v>
      </c>
      <c r="AL20" s="23">
        <v>7661</v>
      </c>
      <c r="AM20" s="23">
        <v>7661</v>
      </c>
      <c r="AN20" s="23">
        <f t="shared" si="19"/>
        <v>1225.76</v>
      </c>
      <c r="AO20" s="23">
        <v>689.5</v>
      </c>
      <c r="AP20" s="23">
        <f t="shared" si="20"/>
        <v>38.31</v>
      </c>
      <c r="AQ20" s="23">
        <v>15.32</v>
      </c>
      <c r="AR20" s="23"/>
      <c r="AS20" s="23">
        <f t="shared" si="5"/>
        <v>536</v>
      </c>
      <c r="AT20" s="23">
        <f t="shared" si="6"/>
        <v>114.92</v>
      </c>
      <c r="AU20" s="22">
        <f t="shared" si="7"/>
        <v>2619.81</v>
      </c>
      <c r="AV20" s="22">
        <f>VLOOKUP(D20,[1]布列吉绩效清单!$F$7:$X$28,19,0)</f>
        <v>211</v>
      </c>
      <c r="AW20" s="22">
        <f t="shared" si="8"/>
        <v>2830.81</v>
      </c>
      <c r="AX20" s="26"/>
      <c r="AY20" s="26">
        <v>-4.2899999999999991</v>
      </c>
      <c r="AZ20" s="27" t="s">
        <v>209</v>
      </c>
      <c r="BA20" s="22">
        <v>255</v>
      </c>
      <c r="BB20" s="28">
        <f>ROUND(AW20+BA20+AY20+AX20,2)</f>
        <v>3081.52</v>
      </c>
      <c r="BC20" s="22">
        <f t="shared" si="9"/>
        <v>184.89</v>
      </c>
      <c r="BD20" s="22">
        <f t="shared" si="10"/>
        <v>3266.41</v>
      </c>
      <c r="BG20" s="29"/>
    </row>
    <row r="21" spans="1:59" s="30" customFormat="1" ht="15" customHeight="1" x14ac:dyDescent="0.25">
      <c r="A21" s="16">
        <f t="shared" si="11"/>
        <v>19</v>
      </c>
      <c r="B21" s="17">
        <v>2502</v>
      </c>
      <c r="C21" s="17" t="s">
        <v>169</v>
      </c>
      <c r="D21" s="16" t="s">
        <v>134</v>
      </c>
      <c r="E21" s="18" t="s">
        <v>113</v>
      </c>
      <c r="F21" s="19">
        <v>45444</v>
      </c>
      <c r="G21" s="19">
        <v>45808</v>
      </c>
      <c r="H21" s="16"/>
      <c r="I21" s="20" t="s">
        <v>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40"/>
      <c r="Z21" s="22">
        <f t="shared" si="17"/>
        <v>0</v>
      </c>
      <c r="AA21" s="23">
        <v>17497</v>
      </c>
      <c r="AB21" s="24">
        <v>1399.76</v>
      </c>
      <c r="AC21" s="24">
        <v>349.94</v>
      </c>
      <c r="AD21" s="24">
        <v>87.49</v>
      </c>
      <c r="AE21" s="23">
        <v>17497</v>
      </c>
      <c r="AF21" s="23">
        <v>1225</v>
      </c>
      <c r="AG21" s="22">
        <f t="shared" si="18"/>
        <v>3062.19</v>
      </c>
      <c r="AH21" s="25"/>
      <c r="AI21" s="25"/>
      <c r="AJ21" s="25"/>
      <c r="AK21" s="22">
        <f t="shared" si="2"/>
        <v>-3062.19</v>
      </c>
      <c r="AL21" s="23">
        <v>17497</v>
      </c>
      <c r="AM21" s="23">
        <v>17497</v>
      </c>
      <c r="AN21" s="23">
        <f t="shared" si="19"/>
        <v>2799.52</v>
      </c>
      <c r="AO21" s="23">
        <v>1574.74</v>
      </c>
      <c r="AP21" s="23">
        <f t="shared" si="20"/>
        <v>87.49</v>
      </c>
      <c r="AQ21" s="23">
        <v>34.99</v>
      </c>
      <c r="AR21" s="23"/>
      <c r="AS21" s="23">
        <f t="shared" si="5"/>
        <v>1225</v>
      </c>
      <c r="AT21" s="23">
        <f t="shared" si="6"/>
        <v>262.45999999999998</v>
      </c>
      <c r="AU21" s="22">
        <f t="shared" si="7"/>
        <v>5984.2</v>
      </c>
      <c r="AV21" s="22">
        <f>VLOOKUP(D21,[1]布列吉绩效清单!$F$7:$X$28,19,0)</f>
        <v>430</v>
      </c>
      <c r="AW21" s="22">
        <f t="shared" si="8"/>
        <v>6414.2</v>
      </c>
      <c r="AX21" s="26"/>
      <c r="AY21" s="26">
        <v>-9.7999999999999972</v>
      </c>
      <c r="AZ21" s="27" t="s">
        <v>209</v>
      </c>
      <c r="BA21" s="22">
        <v>255</v>
      </c>
      <c r="BB21" s="28">
        <f>ROUND(AW21+BA21+AY21+AX21,2)</f>
        <v>6659.4</v>
      </c>
      <c r="BC21" s="22">
        <f t="shared" si="9"/>
        <v>399.56</v>
      </c>
      <c r="BD21" s="22">
        <f t="shared" si="10"/>
        <v>7058.96</v>
      </c>
      <c r="BG21" s="29"/>
    </row>
    <row r="22" spans="1:59" s="30" customFormat="1" ht="15" customHeight="1" x14ac:dyDescent="0.25">
      <c r="A22" s="16">
        <f t="shared" si="11"/>
        <v>20</v>
      </c>
      <c r="B22" s="17">
        <v>2502</v>
      </c>
      <c r="C22" s="17" t="s">
        <v>170</v>
      </c>
      <c r="D22" s="16" t="s">
        <v>126</v>
      </c>
      <c r="E22" s="18" t="s">
        <v>115</v>
      </c>
      <c r="F22" s="19">
        <v>45444</v>
      </c>
      <c r="G22" s="19">
        <v>45808</v>
      </c>
      <c r="H22" s="16"/>
      <c r="I22" s="20" t="s">
        <v>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40"/>
      <c r="Z22" s="22">
        <f t="shared" si="17"/>
        <v>0</v>
      </c>
      <c r="AA22" s="23">
        <v>10038</v>
      </c>
      <c r="AB22" s="24">
        <v>803.04</v>
      </c>
      <c r="AC22" s="24">
        <v>200.76</v>
      </c>
      <c r="AD22" s="24">
        <v>50.19</v>
      </c>
      <c r="AE22" s="23">
        <v>10038</v>
      </c>
      <c r="AF22" s="23">
        <v>703</v>
      </c>
      <c r="AG22" s="22">
        <f t="shared" si="18"/>
        <v>1756.99</v>
      </c>
      <c r="AH22" s="25"/>
      <c r="AI22" s="25"/>
      <c r="AJ22" s="25"/>
      <c r="AK22" s="22">
        <f t="shared" si="2"/>
        <v>-1756.99</v>
      </c>
      <c r="AL22" s="23">
        <v>10038</v>
      </c>
      <c r="AM22" s="23">
        <v>10038</v>
      </c>
      <c r="AN22" s="23">
        <f t="shared" si="19"/>
        <v>1606.08</v>
      </c>
      <c r="AO22" s="23">
        <f t="shared" si="21"/>
        <v>903.42</v>
      </c>
      <c r="AP22" s="23">
        <f t="shared" si="20"/>
        <v>50.19</v>
      </c>
      <c r="AQ22" s="23">
        <v>20.079999999999998</v>
      </c>
      <c r="AR22" s="23"/>
      <c r="AS22" s="23">
        <f t="shared" si="5"/>
        <v>703</v>
      </c>
      <c r="AT22" s="23">
        <f t="shared" si="6"/>
        <v>150.57</v>
      </c>
      <c r="AU22" s="22">
        <f t="shared" si="7"/>
        <v>3433.34</v>
      </c>
      <c r="AV22" s="22">
        <f>VLOOKUP(D22,[1]布列吉绩效清单!$F$7:$X$28,19,0)</f>
        <v>135</v>
      </c>
      <c r="AW22" s="22">
        <f t="shared" si="8"/>
        <v>3568.34</v>
      </c>
      <c r="AX22" s="26"/>
      <c r="AY22" s="26">
        <v>-5.620000000000001</v>
      </c>
      <c r="AZ22" s="27" t="s">
        <v>209</v>
      </c>
      <c r="BA22" s="22">
        <v>255</v>
      </c>
      <c r="BB22" s="28">
        <f>ROUND(AW22+BA22+AY22+AX22,2)</f>
        <v>3817.72</v>
      </c>
      <c r="BC22" s="22">
        <f t="shared" si="9"/>
        <v>229.06</v>
      </c>
      <c r="BD22" s="22">
        <f t="shared" si="10"/>
        <v>4046.78</v>
      </c>
      <c r="BG22" s="29"/>
    </row>
    <row r="23" spans="1:59" s="30" customFormat="1" ht="15" customHeight="1" x14ac:dyDescent="0.25">
      <c r="A23" s="16">
        <f t="shared" si="11"/>
        <v>21</v>
      </c>
      <c r="B23" s="17">
        <v>2502</v>
      </c>
      <c r="C23" s="17" t="s">
        <v>203</v>
      </c>
      <c r="D23" s="41" t="s">
        <v>202</v>
      </c>
      <c r="E23" s="18" t="s">
        <v>116</v>
      </c>
      <c r="F23" s="19">
        <v>45444</v>
      </c>
      <c r="G23" s="19">
        <v>45808</v>
      </c>
      <c r="H23" s="16"/>
      <c r="I23" s="20" t="s">
        <v>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40"/>
      <c r="Z23" s="22">
        <f t="shared" si="17"/>
        <v>0</v>
      </c>
      <c r="AA23" s="23">
        <v>7384</v>
      </c>
      <c r="AB23" s="24">
        <v>590.72</v>
      </c>
      <c r="AC23" s="24">
        <v>147.68</v>
      </c>
      <c r="AD23" s="24">
        <v>36.92</v>
      </c>
      <c r="AE23" s="23">
        <v>7375</v>
      </c>
      <c r="AF23" s="23">
        <v>516</v>
      </c>
      <c r="AG23" s="22">
        <f t="shared" si="18"/>
        <v>1291.3200000000002</v>
      </c>
      <c r="AH23" s="25"/>
      <c r="AI23" s="25"/>
      <c r="AJ23" s="25"/>
      <c r="AK23" s="22">
        <f t="shared" si="2"/>
        <v>-1291.3200000000002</v>
      </c>
      <c r="AL23" s="23">
        <v>7384</v>
      </c>
      <c r="AM23" s="23">
        <v>7375</v>
      </c>
      <c r="AN23" s="23">
        <f t="shared" si="19"/>
        <v>1181.44</v>
      </c>
      <c r="AO23" s="23">
        <v>664.56</v>
      </c>
      <c r="AP23" s="23">
        <f t="shared" si="20"/>
        <v>36.92</v>
      </c>
      <c r="AQ23" s="23">
        <v>14.77</v>
      </c>
      <c r="AR23" s="23"/>
      <c r="AS23" s="23">
        <f t="shared" si="5"/>
        <v>516</v>
      </c>
      <c r="AT23" s="23">
        <f t="shared" si="6"/>
        <v>110.76</v>
      </c>
      <c r="AU23" s="22">
        <f t="shared" si="7"/>
        <v>2524.4500000000003</v>
      </c>
      <c r="AV23" s="22">
        <f>VLOOKUP(D23,[1]布列吉绩效清单!$F$7:$X$28,19,0)</f>
        <v>113</v>
      </c>
      <c r="AW23" s="22">
        <f t="shared" si="8"/>
        <v>2637.4500000000003</v>
      </c>
      <c r="AX23" s="36"/>
      <c r="AY23" s="26">
        <v>-4.129999999999999</v>
      </c>
      <c r="AZ23" s="27" t="s">
        <v>209</v>
      </c>
      <c r="BA23" s="22">
        <v>255</v>
      </c>
      <c r="BB23" s="28">
        <f>ROUND(AW23+BA23+AY23+AX23,2)</f>
        <v>2888.32</v>
      </c>
      <c r="BC23" s="22">
        <f t="shared" si="9"/>
        <v>173.3</v>
      </c>
      <c r="BD23" s="22">
        <f t="shared" si="10"/>
        <v>3061.62</v>
      </c>
      <c r="BG23" s="29"/>
    </row>
    <row r="24" spans="1:59" s="30" customFormat="1" ht="15" customHeight="1" x14ac:dyDescent="0.25">
      <c r="A24" s="16">
        <f t="shared" si="11"/>
        <v>22</v>
      </c>
      <c r="B24" s="17">
        <v>2502</v>
      </c>
      <c r="C24" s="17" t="s">
        <v>171</v>
      </c>
      <c r="D24" s="16" t="s">
        <v>156</v>
      </c>
      <c r="E24" s="18" t="s">
        <v>157</v>
      </c>
      <c r="F24" s="19">
        <v>45444</v>
      </c>
      <c r="G24" s="19">
        <v>45808</v>
      </c>
      <c r="H24" s="16"/>
      <c r="I24" s="20" t="s">
        <v>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40"/>
      <c r="Z24" s="22">
        <f t="shared" si="17"/>
        <v>0</v>
      </c>
      <c r="AA24" s="23">
        <v>12999</v>
      </c>
      <c r="AB24" s="24">
        <v>1039.92</v>
      </c>
      <c r="AC24" s="24">
        <v>259.98</v>
      </c>
      <c r="AD24" s="24">
        <v>65</v>
      </c>
      <c r="AE24" s="23">
        <v>12999</v>
      </c>
      <c r="AF24" s="23">
        <v>910</v>
      </c>
      <c r="AG24" s="22">
        <f t="shared" si="18"/>
        <v>2274.9</v>
      </c>
      <c r="AH24" s="25"/>
      <c r="AI24" s="25"/>
      <c r="AJ24" s="25"/>
      <c r="AK24" s="22">
        <f t="shared" si="2"/>
        <v>-2274.9</v>
      </c>
      <c r="AL24" s="23">
        <v>12999</v>
      </c>
      <c r="AM24" s="23">
        <v>12999</v>
      </c>
      <c r="AN24" s="23">
        <f t="shared" si="19"/>
        <v>2079.84</v>
      </c>
      <c r="AO24" s="23">
        <v>1169.92</v>
      </c>
      <c r="AP24" s="23">
        <f t="shared" si="20"/>
        <v>65</v>
      </c>
      <c r="AQ24" s="23">
        <v>26</v>
      </c>
      <c r="AR24" s="23"/>
      <c r="AS24" s="23">
        <f t="shared" si="5"/>
        <v>910</v>
      </c>
      <c r="AT24" s="23">
        <f t="shared" si="6"/>
        <v>194.99</v>
      </c>
      <c r="AU24" s="22">
        <f t="shared" si="7"/>
        <v>4445.75</v>
      </c>
      <c r="AV24" s="22">
        <f>VLOOKUP(D24,[1]布列吉绩效清单!$F$7:$X$28,19,0)</f>
        <v>359</v>
      </c>
      <c r="AW24" s="22">
        <f t="shared" si="8"/>
        <v>4804.75</v>
      </c>
      <c r="AX24" s="26"/>
      <c r="AY24" s="26">
        <v>-7.2800000000000011</v>
      </c>
      <c r="AZ24" s="27" t="s">
        <v>209</v>
      </c>
      <c r="BA24" s="22">
        <v>255</v>
      </c>
      <c r="BB24" s="28">
        <f>ROUND(AW24+BA24+AY24+AX24,2)</f>
        <v>5052.47</v>
      </c>
      <c r="BC24" s="22">
        <f t="shared" si="9"/>
        <v>303.14999999999998</v>
      </c>
      <c r="BD24" s="22">
        <f t="shared" si="10"/>
        <v>5355.62</v>
      </c>
      <c r="BG24" s="29"/>
    </row>
    <row r="25" spans="1:59" s="30" customFormat="1" ht="15" customHeight="1" x14ac:dyDescent="0.25">
      <c r="A25" s="16">
        <f t="shared" si="11"/>
        <v>23</v>
      </c>
      <c r="B25" s="17">
        <v>2502</v>
      </c>
      <c r="C25" s="17" t="s">
        <v>172</v>
      </c>
      <c r="D25" s="16" t="s">
        <v>158</v>
      </c>
      <c r="E25" s="18" t="s">
        <v>159</v>
      </c>
      <c r="F25" s="19">
        <v>45444</v>
      </c>
      <c r="G25" s="19">
        <v>45808</v>
      </c>
      <c r="H25" s="16"/>
      <c r="I25" s="20" t="s">
        <v>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40"/>
      <c r="Z25" s="22">
        <f t="shared" si="17"/>
        <v>0</v>
      </c>
      <c r="AA25" s="23">
        <v>7384</v>
      </c>
      <c r="AB25" s="24">
        <v>590.72</v>
      </c>
      <c r="AC25" s="24">
        <v>147.68</v>
      </c>
      <c r="AD25" s="24">
        <v>36.92</v>
      </c>
      <c r="AE25" s="23">
        <v>3607</v>
      </c>
      <c r="AF25" s="23">
        <v>252</v>
      </c>
      <c r="AG25" s="22">
        <f t="shared" si="18"/>
        <v>1027.3200000000002</v>
      </c>
      <c r="AH25" s="25"/>
      <c r="AI25" s="25"/>
      <c r="AJ25" s="25"/>
      <c r="AK25" s="22">
        <f t="shared" si="2"/>
        <v>-1027.3200000000002</v>
      </c>
      <c r="AL25" s="23">
        <v>7384</v>
      </c>
      <c r="AM25" s="23">
        <v>3607</v>
      </c>
      <c r="AN25" s="23">
        <f t="shared" si="19"/>
        <v>1181.44</v>
      </c>
      <c r="AO25" s="23">
        <f t="shared" si="21"/>
        <v>664.56</v>
      </c>
      <c r="AP25" s="23">
        <f t="shared" si="20"/>
        <v>36.92</v>
      </c>
      <c r="AQ25" s="23">
        <v>14.77</v>
      </c>
      <c r="AR25" s="23"/>
      <c r="AS25" s="23">
        <f t="shared" si="5"/>
        <v>252</v>
      </c>
      <c r="AT25" s="23">
        <f t="shared" si="6"/>
        <v>110.76</v>
      </c>
      <c r="AU25" s="22">
        <f t="shared" si="7"/>
        <v>2260.4500000000003</v>
      </c>
      <c r="AV25" s="22">
        <f>VLOOKUP(D25,[1]布列吉绩效清单!$F$7:$X$28,19,0)</f>
        <v>158</v>
      </c>
      <c r="AW25" s="22">
        <f t="shared" si="8"/>
        <v>2418.4500000000003</v>
      </c>
      <c r="AX25" s="36"/>
      <c r="AY25" s="26">
        <v>-4.129999999999999</v>
      </c>
      <c r="AZ25" s="27" t="s">
        <v>209</v>
      </c>
      <c r="BA25" s="22">
        <v>255</v>
      </c>
      <c r="BB25" s="28">
        <f>ROUND(AW25+BA25+AY25+AX25,2)</f>
        <v>2669.32</v>
      </c>
      <c r="BC25" s="22">
        <f t="shared" si="9"/>
        <v>160.16</v>
      </c>
      <c r="BD25" s="22">
        <f t="shared" si="10"/>
        <v>2829.48</v>
      </c>
      <c r="BG25" s="29"/>
    </row>
    <row r="26" spans="1:59" s="30" customFormat="1" ht="15" customHeight="1" x14ac:dyDescent="0.25">
      <c r="A26" s="16">
        <f t="shared" si="11"/>
        <v>24</v>
      </c>
      <c r="B26" s="17">
        <v>2502</v>
      </c>
      <c r="C26" s="17" t="s">
        <v>173</v>
      </c>
      <c r="D26" s="16" t="s">
        <v>201</v>
      </c>
      <c r="E26" s="18" t="s">
        <v>105</v>
      </c>
      <c r="F26" s="19">
        <v>45444</v>
      </c>
      <c r="G26" s="19">
        <v>45808</v>
      </c>
      <c r="H26" s="16"/>
      <c r="I26" s="20" t="s">
        <v>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40"/>
      <c r="Z26" s="22">
        <f t="shared" si="17"/>
        <v>0</v>
      </c>
      <c r="AA26" s="23">
        <v>7384</v>
      </c>
      <c r="AB26" s="24">
        <v>590.72</v>
      </c>
      <c r="AC26" s="24">
        <v>147.68</v>
      </c>
      <c r="AD26" s="24">
        <v>36.92</v>
      </c>
      <c r="AE26" s="23">
        <v>6207</v>
      </c>
      <c r="AF26" s="23">
        <v>434</v>
      </c>
      <c r="AG26" s="22">
        <f t="shared" si="18"/>
        <v>1209.3200000000002</v>
      </c>
      <c r="AH26" s="25"/>
      <c r="AI26" s="25"/>
      <c r="AJ26" s="25"/>
      <c r="AK26" s="22">
        <f t="shared" si="2"/>
        <v>-1209.3200000000002</v>
      </c>
      <c r="AL26" s="23">
        <v>7384</v>
      </c>
      <c r="AM26" s="23">
        <v>6207</v>
      </c>
      <c r="AN26" s="23">
        <f t="shared" si="19"/>
        <v>1181.44</v>
      </c>
      <c r="AO26" s="23">
        <f t="shared" si="21"/>
        <v>664.56</v>
      </c>
      <c r="AP26" s="23">
        <f t="shared" si="20"/>
        <v>36.92</v>
      </c>
      <c r="AQ26" s="23">
        <v>14.77</v>
      </c>
      <c r="AR26" s="23"/>
      <c r="AS26" s="23">
        <f t="shared" si="5"/>
        <v>434</v>
      </c>
      <c r="AT26" s="23">
        <f t="shared" si="6"/>
        <v>110.76</v>
      </c>
      <c r="AU26" s="22">
        <f t="shared" si="7"/>
        <v>2442.4500000000003</v>
      </c>
      <c r="AV26" s="22">
        <f>VLOOKUP(D26,[1]布列吉绩效清单!$F$7:$X$28,19,0)</f>
        <v>147</v>
      </c>
      <c r="AW26" s="22">
        <f t="shared" si="8"/>
        <v>2589.4500000000003</v>
      </c>
      <c r="AX26" s="36"/>
      <c r="AY26" s="26">
        <v>-4.129999999999999</v>
      </c>
      <c r="AZ26" s="27" t="s">
        <v>210</v>
      </c>
      <c r="BA26" s="22">
        <v>255</v>
      </c>
      <c r="BB26" s="28">
        <f>ROUND(AW26+BA26+AY26+AX26,2)</f>
        <v>2840.32</v>
      </c>
      <c r="BC26" s="22">
        <f t="shared" si="9"/>
        <v>170.42</v>
      </c>
      <c r="BD26" s="22">
        <f t="shared" si="10"/>
        <v>3010.74</v>
      </c>
      <c r="BG26" s="29"/>
    </row>
    <row r="27" spans="1:59" s="30" customFormat="1" ht="15" customHeight="1" x14ac:dyDescent="0.25">
      <c r="A27" s="16">
        <f t="shared" si="11"/>
        <v>25</v>
      </c>
      <c r="B27" s="17">
        <v>2502</v>
      </c>
      <c r="C27" s="17" t="s">
        <v>174</v>
      </c>
      <c r="D27" s="39" t="s">
        <v>206</v>
      </c>
      <c r="E27" s="18" t="s">
        <v>106</v>
      </c>
      <c r="F27" s="19">
        <v>45444</v>
      </c>
      <c r="G27" s="19">
        <v>45808</v>
      </c>
      <c r="H27" s="16"/>
      <c r="I27" s="20" t="s">
        <v>0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40"/>
      <c r="Z27" s="22">
        <f t="shared" si="17"/>
        <v>0</v>
      </c>
      <c r="AA27" s="23">
        <v>7384</v>
      </c>
      <c r="AB27" s="24">
        <v>590.72</v>
      </c>
      <c r="AC27" s="24">
        <v>147.68</v>
      </c>
      <c r="AD27" s="24">
        <v>36.92</v>
      </c>
      <c r="AE27" s="23">
        <v>4997</v>
      </c>
      <c r="AF27" s="23">
        <v>350</v>
      </c>
      <c r="AG27" s="22">
        <f t="shared" si="18"/>
        <v>1125.3200000000002</v>
      </c>
      <c r="AH27" s="25"/>
      <c r="AI27" s="25"/>
      <c r="AJ27" s="25"/>
      <c r="AK27" s="22">
        <f t="shared" si="2"/>
        <v>-1125.3200000000002</v>
      </c>
      <c r="AL27" s="23">
        <v>7384</v>
      </c>
      <c r="AM27" s="23">
        <v>4997</v>
      </c>
      <c r="AN27" s="23">
        <f t="shared" si="19"/>
        <v>1181.44</v>
      </c>
      <c r="AO27" s="23">
        <f t="shared" si="21"/>
        <v>664.56</v>
      </c>
      <c r="AP27" s="23">
        <f t="shared" si="20"/>
        <v>36.92</v>
      </c>
      <c r="AQ27" s="23">
        <v>14.77</v>
      </c>
      <c r="AR27" s="23"/>
      <c r="AS27" s="23">
        <f t="shared" si="5"/>
        <v>350</v>
      </c>
      <c r="AT27" s="23">
        <f t="shared" si="6"/>
        <v>110.76</v>
      </c>
      <c r="AU27" s="22">
        <f t="shared" si="7"/>
        <v>2358.4500000000003</v>
      </c>
      <c r="AV27" s="22">
        <f>VLOOKUP(D27,[1]布列吉绩效清单!$F$7:$X$28,19,0)</f>
        <v>211</v>
      </c>
      <c r="AW27" s="22">
        <f t="shared" si="8"/>
        <v>2569.4500000000003</v>
      </c>
      <c r="AX27" s="36"/>
      <c r="AY27" s="26">
        <v>-4.129999999999999</v>
      </c>
      <c r="AZ27" s="27" t="s">
        <v>210</v>
      </c>
      <c r="BA27" s="22">
        <v>255</v>
      </c>
      <c r="BB27" s="28">
        <f>ROUND(AW27+BA27+AY27+AX27,2)</f>
        <v>2820.32</v>
      </c>
      <c r="BC27" s="22">
        <f t="shared" si="9"/>
        <v>169.22</v>
      </c>
      <c r="BD27" s="22">
        <f t="shared" si="10"/>
        <v>2989.54</v>
      </c>
      <c r="BG27" s="29"/>
    </row>
    <row r="28" spans="1:59" s="30" customFormat="1" ht="15" customHeight="1" x14ac:dyDescent="0.25">
      <c r="A28" s="16">
        <f t="shared" si="11"/>
        <v>26</v>
      </c>
      <c r="B28" s="17">
        <v>2502</v>
      </c>
      <c r="C28" s="17" t="s">
        <v>175</v>
      </c>
      <c r="D28" s="16" t="s">
        <v>135</v>
      </c>
      <c r="E28" s="18" t="s">
        <v>112</v>
      </c>
      <c r="F28" s="19">
        <v>45444</v>
      </c>
      <c r="G28" s="19">
        <v>45808</v>
      </c>
      <c r="H28" s="16"/>
      <c r="I28" s="20" t="s">
        <v>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40"/>
      <c r="Z28" s="22">
        <f t="shared" si="17"/>
        <v>0</v>
      </c>
      <c r="AA28" s="23">
        <v>11395</v>
      </c>
      <c r="AB28" s="24">
        <v>911.6</v>
      </c>
      <c r="AC28" s="24">
        <v>227.9</v>
      </c>
      <c r="AD28" s="24">
        <v>56.98</v>
      </c>
      <c r="AE28" s="23">
        <v>11395</v>
      </c>
      <c r="AF28" s="23">
        <v>798</v>
      </c>
      <c r="AG28" s="22">
        <f t="shared" si="18"/>
        <v>1994.48</v>
      </c>
      <c r="AH28" s="25"/>
      <c r="AI28" s="25"/>
      <c r="AJ28" s="25"/>
      <c r="AK28" s="22">
        <f t="shared" si="2"/>
        <v>-1994.48</v>
      </c>
      <c r="AL28" s="23">
        <v>11395</v>
      </c>
      <c r="AM28" s="23">
        <v>11395</v>
      </c>
      <c r="AN28" s="23">
        <f t="shared" si="19"/>
        <v>1823.2</v>
      </c>
      <c r="AO28" s="23">
        <v>1025.56</v>
      </c>
      <c r="AP28" s="23">
        <f t="shared" si="20"/>
        <v>56.98</v>
      </c>
      <c r="AQ28" s="23">
        <v>22.79</v>
      </c>
      <c r="AR28" s="23"/>
      <c r="AS28" s="23">
        <f t="shared" si="5"/>
        <v>798</v>
      </c>
      <c r="AT28" s="23">
        <f t="shared" si="6"/>
        <v>170.93</v>
      </c>
      <c r="AU28" s="22">
        <f t="shared" si="7"/>
        <v>3897.46</v>
      </c>
      <c r="AV28" s="22">
        <f>VLOOKUP(D28,[1]布列吉绩效清单!$F$7:$X$28,19,0)</f>
        <v>195</v>
      </c>
      <c r="AW28" s="22">
        <f t="shared" si="8"/>
        <v>4092.46</v>
      </c>
      <c r="AX28" s="26"/>
      <c r="AY28" s="26">
        <v>-6.3800000000000026</v>
      </c>
      <c r="AZ28" s="27" t="s">
        <v>210</v>
      </c>
      <c r="BA28" s="22">
        <v>255</v>
      </c>
      <c r="BB28" s="28">
        <f>ROUND(AW28+BA28+AY28+AX28,2)</f>
        <v>4341.08</v>
      </c>
      <c r="BC28" s="22">
        <f t="shared" si="9"/>
        <v>260.45999999999998</v>
      </c>
      <c r="BD28" s="22">
        <f t="shared" si="10"/>
        <v>4601.54</v>
      </c>
      <c r="BG28" s="29"/>
    </row>
    <row r="29" spans="1:59" s="30" customFormat="1" ht="15" customHeight="1" x14ac:dyDescent="0.25">
      <c r="A29" s="16">
        <f t="shared" si="11"/>
        <v>27</v>
      </c>
      <c r="B29" s="17">
        <v>2502</v>
      </c>
      <c r="C29" s="17" t="s">
        <v>176</v>
      </c>
      <c r="D29" s="16" t="s">
        <v>160</v>
      </c>
      <c r="E29" s="18" t="s">
        <v>161</v>
      </c>
      <c r="F29" s="19">
        <v>45444</v>
      </c>
      <c r="G29" s="19">
        <v>45808</v>
      </c>
      <c r="H29" s="16"/>
      <c r="I29" s="20" t="s">
        <v>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40"/>
      <c r="Z29" s="22">
        <f t="shared" si="17"/>
        <v>0</v>
      </c>
      <c r="AA29" s="23">
        <v>7384</v>
      </c>
      <c r="AB29" s="24">
        <v>590.72</v>
      </c>
      <c r="AC29" s="24">
        <v>147.68</v>
      </c>
      <c r="AD29" s="24">
        <v>36.92</v>
      </c>
      <c r="AE29" s="23">
        <v>6844</v>
      </c>
      <c r="AF29" s="23">
        <v>479</v>
      </c>
      <c r="AG29" s="22">
        <f t="shared" si="18"/>
        <v>1254.3200000000002</v>
      </c>
      <c r="AH29" s="25"/>
      <c r="AI29" s="25"/>
      <c r="AJ29" s="25"/>
      <c r="AK29" s="22">
        <f t="shared" si="2"/>
        <v>-1254.3200000000002</v>
      </c>
      <c r="AL29" s="23">
        <v>7384</v>
      </c>
      <c r="AM29" s="23">
        <v>6844</v>
      </c>
      <c r="AN29" s="23">
        <f t="shared" si="19"/>
        <v>1181.44</v>
      </c>
      <c r="AO29" s="23">
        <f t="shared" si="21"/>
        <v>664.56</v>
      </c>
      <c r="AP29" s="23">
        <f t="shared" si="20"/>
        <v>36.92</v>
      </c>
      <c r="AQ29" s="23">
        <v>14.77</v>
      </c>
      <c r="AR29" s="23"/>
      <c r="AS29" s="23">
        <f t="shared" si="5"/>
        <v>479</v>
      </c>
      <c r="AT29" s="23">
        <f t="shared" si="6"/>
        <v>110.76</v>
      </c>
      <c r="AU29" s="22">
        <f t="shared" si="7"/>
        <v>2487.4500000000003</v>
      </c>
      <c r="AV29" s="22">
        <f>VLOOKUP(D29,[1]布列吉绩效清单!$F$7:$X$28,19,0)</f>
        <v>504</v>
      </c>
      <c r="AW29" s="22">
        <f t="shared" si="8"/>
        <v>2991.4500000000003</v>
      </c>
      <c r="AX29" s="36"/>
      <c r="AY29" s="26">
        <v>-4.129999999999999</v>
      </c>
      <c r="AZ29" s="27" t="s">
        <v>208</v>
      </c>
      <c r="BA29" s="22">
        <v>255</v>
      </c>
      <c r="BB29" s="28">
        <f>ROUND(AW29+BA29+AY29+AX29,2)</f>
        <v>3242.32</v>
      </c>
      <c r="BC29" s="22">
        <f t="shared" si="9"/>
        <v>194.54</v>
      </c>
      <c r="BD29" s="22">
        <f t="shared" si="10"/>
        <v>3436.86</v>
      </c>
      <c r="BG29" s="29"/>
    </row>
    <row r="30" spans="1:59" s="30" customFormat="1" ht="15" customHeight="1" x14ac:dyDescent="0.25">
      <c r="A30" s="16">
        <f t="shared" si="11"/>
        <v>28</v>
      </c>
      <c r="B30" s="17">
        <v>2502</v>
      </c>
      <c r="C30" s="17" t="s">
        <v>177</v>
      </c>
      <c r="D30" s="16" t="s">
        <v>162</v>
      </c>
      <c r="E30" s="18" t="s">
        <v>163</v>
      </c>
      <c r="F30" s="19">
        <v>45444</v>
      </c>
      <c r="G30" s="19">
        <v>45808</v>
      </c>
      <c r="H30" s="16"/>
      <c r="I30" s="20" t="s">
        <v>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40"/>
      <c r="Z30" s="22">
        <f t="shared" si="17"/>
        <v>0</v>
      </c>
      <c r="AA30" s="23">
        <v>7384</v>
      </c>
      <c r="AB30" s="24">
        <v>590.72</v>
      </c>
      <c r="AC30" s="24">
        <v>147.68</v>
      </c>
      <c r="AD30" s="24">
        <v>36.92</v>
      </c>
      <c r="AE30" s="23">
        <v>5131</v>
      </c>
      <c r="AF30" s="23">
        <v>359</v>
      </c>
      <c r="AG30" s="22">
        <f t="shared" si="18"/>
        <v>1134.3200000000002</v>
      </c>
      <c r="AH30" s="25"/>
      <c r="AI30" s="25"/>
      <c r="AJ30" s="25"/>
      <c r="AK30" s="22">
        <f t="shared" si="2"/>
        <v>-1134.3200000000002</v>
      </c>
      <c r="AL30" s="23">
        <v>7384</v>
      </c>
      <c r="AM30" s="23">
        <v>5131</v>
      </c>
      <c r="AN30" s="23">
        <f t="shared" si="19"/>
        <v>1181.44</v>
      </c>
      <c r="AO30" s="23">
        <f t="shared" si="21"/>
        <v>664.56</v>
      </c>
      <c r="AP30" s="23">
        <f t="shared" si="20"/>
        <v>36.92</v>
      </c>
      <c r="AQ30" s="23">
        <v>14.77</v>
      </c>
      <c r="AR30" s="23"/>
      <c r="AS30" s="23">
        <f t="shared" si="5"/>
        <v>359</v>
      </c>
      <c r="AT30" s="23">
        <f t="shared" si="6"/>
        <v>110.76</v>
      </c>
      <c r="AU30" s="22">
        <f t="shared" si="7"/>
        <v>2367.4500000000003</v>
      </c>
      <c r="AV30" s="22">
        <f>VLOOKUP(D30,[1]布列吉绩效清单!$F$7:$X$28,19,0)</f>
        <v>142</v>
      </c>
      <c r="AW30" s="22">
        <f t="shared" si="8"/>
        <v>2509.4500000000003</v>
      </c>
      <c r="AX30" s="36"/>
      <c r="AY30" s="26">
        <v>-4.129999999999999</v>
      </c>
      <c r="AZ30" s="27" t="s">
        <v>210</v>
      </c>
      <c r="BA30" s="22">
        <v>255</v>
      </c>
      <c r="BB30" s="28">
        <f>ROUND(AW30+BA30+AY30+AX30,2)</f>
        <v>2760.32</v>
      </c>
      <c r="BC30" s="22">
        <f t="shared" si="9"/>
        <v>165.62</v>
      </c>
      <c r="BD30" s="22">
        <f t="shared" si="10"/>
        <v>2925.94</v>
      </c>
      <c r="BG30" s="29"/>
    </row>
    <row r="31" spans="1:59" s="30" customFormat="1" ht="15" customHeight="1" x14ac:dyDescent="0.25">
      <c r="A31" s="16">
        <f t="shared" si="11"/>
        <v>29</v>
      </c>
      <c r="B31" s="17">
        <v>2502</v>
      </c>
      <c r="C31" s="17" t="s">
        <v>178</v>
      </c>
      <c r="D31" s="16" t="s">
        <v>204</v>
      </c>
      <c r="E31" s="18" t="s">
        <v>164</v>
      </c>
      <c r="F31" s="19">
        <v>45444</v>
      </c>
      <c r="G31" s="19">
        <v>45808</v>
      </c>
      <c r="H31" s="16"/>
      <c r="I31" s="20" t="s">
        <v>0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40"/>
      <c r="Z31" s="22">
        <f t="shared" si="17"/>
        <v>0</v>
      </c>
      <c r="AA31" s="23">
        <v>7384</v>
      </c>
      <c r="AB31" s="24">
        <v>590.72</v>
      </c>
      <c r="AC31" s="24">
        <v>147.68</v>
      </c>
      <c r="AD31" s="24">
        <v>36.92</v>
      </c>
      <c r="AE31" s="23">
        <v>4082</v>
      </c>
      <c r="AF31" s="23">
        <v>286</v>
      </c>
      <c r="AG31" s="22">
        <f t="shared" si="18"/>
        <v>1061.3200000000002</v>
      </c>
      <c r="AH31" s="25"/>
      <c r="AI31" s="25"/>
      <c r="AJ31" s="25"/>
      <c r="AK31" s="22">
        <f t="shared" si="2"/>
        <v>-1061.3200000000002</v>
      </c>
      <c r="AL31" s="23">
        <v>7384</v>
      </c>
      <c r="AM31" s="23">
        <v>4082</v>
      </c>
      <c r="AN31" s="23">
        <f t="shared" si="19"/>
        <v>1181.44</v>
      </c>
      <c r="AO31" s="23">
        <f t="shared" si="21"/>
        <v>664.56</v>
      </c>
      <c r="AP31" s="23">
        <f t="shared" si="20"/>
        <v>36.92</v>
      </c>
      <c r="AQ31" s="23">
        <v>14.77</v>
      </c>
      <c r="AR31" s="23"/>
      <c r="AS31" s="23">
        <f t="shared" si="5"/>
        <v>286</v>
      </c>
      <c r="AT31" s="23">
        <f t="shared" si="6"/>
        <v>110.76</v>
      </c>
      <c r="AU31" s="22">
        <f t="shared" si="7"/>
        <v>2294.4500000000003</v>
      </c>
      <c r="AV31" s="22">
        <f>VLOOKUP(D31,[1]布列吉绩效清单!$F$7:$X$28,19,0)</f>
        <v>116</v>
      </c>
      <c r="AW31" s="22">
        <f t="shared" si="8"/>
        <v>2410.4500000000003</v>
      </c>
      <c r="AX31" s="36"/>
      <c r="AY31" s="26">
        <v>-4.129999999999999</v>
      </c>
      <c r="AZ31" s="27" t="s">
        <v>210</v>
      </c>
      <c r="BA31" s="22">
        <v>255</v>
      </c>
      <c r="BB31" s="28">
        <f>ROUND(AW31+BA31+AY31+AX31,2)</f>
        <v>2661.32</v>
      </c>
      <c r="BC31" s="22">
        <f t="shared" si="9"/>
        <v>159.68</v>
      </c>
      <c r="BD31" s="22">
        <f t="shared" si="10"/>
        <v>2821</v>
      </c>
      <c r="BG31" s="29"/>
    </row>
    <row r="32" spans="1:59" s="30" customFormat="1" ht="14.4" customHeight="1" x14ac:dyDescent="0.25">
      <c r="A32" s="16">
        <f t="shared" si="11"/>
        <v>30</v>
      </c>
      <c r="B32" s="17">
        <v>2502</v>
      </c>
      <c r="C32" s="17" t="s">
        <v>179</v>
      </c>
      <c r="D32" s="16" t="s">
        <v>165</v>
      </c>
      <c r="E32" s="18" t="s">
        <v>166</v>
      </c>
      <c r="F32" s="19">
        <v>45444</v>
      </c>
      <c r="G32" s="19">
        <v>45808</v>
      </c>
      <c r="H32" s="16"/>
      <c r="I32" s="20" t="s">
        <v>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40"/>
      <c r="Z32" s="22">
        <f t="shared" si="17"/>
        <v>0</v>
      </c>
      <c r="AA32" s="23">
        <v>7384</v>
      </c>
      <c r="AB32" s="24">
        <v>590.72</v>
      </c>
      <c r="AC32" s="24">
        <v>147.68</v>
      </c>
      <c r="AD32" s="24">
        <v>36.92</v>
      </c>
      <c r="AE32" s="23">
        <v>4035</v>
      </c>
      <c r="AF32" s="23">
        <v>282</v>
      </c>
      <c r="AG32" s="22">
        <f t="shared" si="18"/>
        <v>1057.3200000000002</v>
      </c>
      <c r="AH32" s="25"/>
      <c r="AI32" s="25"/>
      <c r="AJ32" s="25"/>
      <c r="AK32" s="22">
        <f t="shared" si="2"/>
        <v>-1057.3200000000002</v>
      </c>
      <c r="AL32" s="23">
        <v>7384</v>
      </c>
      <c r="AM32" s="23">
        <v>4035</v>
      </c>
      <c r="AN32" s="23">
        <f t="shared" si="19"/>
        <v>1181.44</v>
      </c>
      <c r="AO32" s="23">
        <f t="shared" si="21"/>
        <v>664.56</v>
      </c>
      <c r="AP32" s="23">
        <f t="shared" si="20"/>
        <v>36.92</v>
      </c>
      <c r="AQ32" s="23">
        <v>14.77</v>
      </c>
      <c r="AR32" s="23"/>
      <c r="AS32" s="23">
        <f t="shared" si="5"/>
        <v>282</v>
      </c>
      <c r="AT32" s="23">
        <f t="shared" si="6"/>
        <v>110.76</v>
      </c>
      <c r="AU32" s="22">
        <f t="shared" si="7"/>
        <v>2290.4500000000003</v>
      </c>
      <c r="AV32" s="22">
        <f>VLOOKUP(D32,[1]布列吉绩效清单!$F$7:$X$28,19,0)</f>
        <v>76</v>
      </c>
      <c r="AW32" s="22">
        <f t="shared" si="8"/>
        <v>2366.4500000000003</v>
      </c>
      <c r="AX32" s="36"/>
      <c r="AY32" s="26">
        <v>-4.129999999999999</v>
      </c>
      <c r="AZ32" s="27" t="s">
        <v>209</v>
      </c>
      <c r="BA32" s="22">
        <v>255</v>
      </c>
      <c r="BB32" s="28">
        <f>ROUND(AW32+BA32+AY32+AX32,2)</f>
        <v>2617.3200000000002</v>
      </c>
      <c r="BC32" s="22">
        <f t="shared" si="9"/>
        <v>157.04</v>
      </c>
      <c r="BD32" s="22">
        <f t="shared" si="10"/>
        <v>2774.36</v>
      </c>
      <c r="BG32" s="29"/>
    </row>
    <row r="33" spans="1:59" s="30" customFormat="1" ht="15" customHeight="1" x14ac:dyDescent="0.25">
      <c r="A33" s="16">
        <f t="shared" si="11"/>
        <v>31</v>
      </c>
      <c r="B33" s="17">
        <v>2502</v>
      </c>
      <c r="C33" s="17" t="s">
        <v>180</v>
      </c>
      <c r="D33" s="16" t="s">
        <v>125</v>
      </c>
      <c r="E33" s="18" t="s">
        <v>108</v>
      </c>
      <c r="F33" s="19">
        <v>45444</v>
      </c>
      <c r="G33" s="19">
        <v>45808</v>
      </c>
      <c r="H33" s="16"/>
      <c r="I33" s="20" t="s">
        <v>0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40"/>
      <c r="Z33" s="22">
        <f t="shared" si="17"/>
        <v>0</v>
      </c>
      <c r="AA33" s="23">
        <v>7384</v>
      </c>
      <c r="AB33" s="24">
        <v>590.72</v>
      </c>
      <c r="AC33" s="24">
        <v>147.68</v>
      </c>
      <c r="AD33" s="24">
        <v>36.92</v>
      </c>
      <c r="AE33" s="23">
        <v>7287</v>
      </c>
      <c r="AF33" s="23">
        <v>510</v>
      </c>
      <c r="AG33" s="22">
        <f t="shared" si="18"/>
        <v>1285.3200000000002</v>
      </c>
      <c r="AH33" s="25"/>
      <c r="AI33" s="25"/>
      <c r="AJ33" s="25"/>
      <c r="AK33" s="22">
        <f t="shared" si="2"/>
        <v>-1285.3200000000002</v>
      </c>
      <c r="AL33" s="23">
        <v>7384</v>
      </c>
      <c r="AM33" s="23">
        <v>7287</v>
      </c>
      <c r="AN33" s="23">
        <f t="shared" si="19"/>
        <v>1181.44</v>
      </c>
      <c r="AO33" s="23">
        <f t="shared" si="21"/>
        <v>664.56</v>
      </c>
      <c r="AP33" s="23">
        <f t="shared" si="20"/>
        <v>36.92</v>
      </c>
      <c r="AQ33" s="23">
        <v>14.77</v>
      </c>
      <c r="AR33" s="23"/>
      <c r="AS33" s="23">
        <f t="shared" si="5"/>
        <v>510</v>
      </c>
      <c r="AT33" s="23">
        <f t="shared" si="6"/>
        <v>110.76</v>
      </c>
      <c r="AU33" s="22">
        <f t="shared" si="7"/>
        <v>2518.4500000000003</v>
      </c>
      <c r="AV33" s="22">
        <f>VLOOKUP(D33,[1]布列吉绩效清单!$F$7:$X$28,19,0)</f>
        <v>162</v>
      </c>
      <c r="AW33" s="22">
        <f t="shared" si="8"/>
        <v>2680.4500000000003</v>
      </c>
      <c r="AX33" s="36"/>
      <c r="AY33" s="26">
        <v>-4.129999999999999</v>
      </c>
      <c r="AZ33" s="27" t="s">
        <v>209</v>
      </c>
      <c r="BA33" s="22">
        <v>255</v>
      </c>
      <c r="BB33" s="28">
        <f>ROUND(AW33+BA33+AY33+AX33,2)</f>
        <v>2931.32</v>
      </c>
      <c r="BC33" s="22">
        <f t="shared" si="9"/>
        <v>175.88</v>
      </c>
      <c r="BD33" s="22">
        <f t="shared" si="10"/>
        <v>3107.2</v>
      </c>
      <c r="BG33" s="29"/>
    </row>
    <row r="34" spans="1:59" s="30" customFormat="1" ht="15" customHeight="1" x14ac:dyDescent="0.25">
      <c r="A34" s="16">
        <f t="shared" si="11"/>
        <v>32</v>
      </c>
      <c r="B34" s="17">
        <v>2502</v>
      </c>
      <c r="C34" s="17" t="s">
        <v>181</v>
      </c>
      <c r="D34" s="16" t="s">
        <v>132</v>
      </c>
      <c r="E34" s="18" t="s">
        <v>109</v>
      </c>
      <c r="F34" s="19">
        <v>45444</v>
      </c>
      <c r="G34" s="19">
        <v>45808</v>
      </c>
      <c r="H34" s="16"/>
      <c r="I34" s="20" t="s">
        <v>0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40"/>
      <c r="Z34" s="22">
        <f t="shared" si="17"/>
        <v>0</v>
      </c>
      <c r="AA34" s="23">
        <v>7384</v>
      </c>
      <c r="AB34" s="24">
        <v>590.72</v>
      </c>
      <c r="AC34" s="24">
        <v>147.68</v>
      </c>
      <c r="AD34" s="24">
        <v>36.92</v>
      </c>
      <c r="AE34" s="23">
        <v>6558</v>
      </c>
      <c r="AF34" s="23">
        <v>459</v>
      </c>
      <c r="AG34" s="22">
        <f t="shared" si="18"/>
        <v>1234.3200000000002</v>
      </c>
      <c r="AH34" s="25"/>
      <c r="AI34" s="25"/>
      <c r="AJ34" s="25"/>
      <c r="AK34" s="22">
        <f t="shared" si="2"/>
        <v>-1234.3200000000002</v>
      </c>
      <c r="AL34" s="23">
        <v>7384</v>
      </c>
      <c r="AM34" s="23">
        <v>6558</v>
      </c>
      <c r="AN34" s="23">
        <f t="shared" si="19"/>
        <v>1181.44</v>
      </c>
      <c r="AO34" s="23">
        <f t="shared" si="21"/>
        <v>664.56</v>
      </c>
      <c r="AP34" s="23">
        <f t="shared" si="20"/>
        <v>36.92</v>
      </c>
      <c r="AQ34" s="23">
        <v>14.77</v>
      </c>
      <c r="AR34" s="23"/>
      <c r="AS34" s="23">
        <f t="shared" si="5"/>
        <v>459</v>
      </c>
      <c r="AT34" s="23">
        <f t="shared" si="6"/>
        <v>110.76</v>
      </c>
      <c r="AU34" s="22">
        <f t="shared" si="7"/>
        <v>2467.4500000000003</v>
      </c>
      <c r="AV34" s="22">
        <f>VLOOKUP(D34,[1]布列吉绩效清单!$F$7:$X$28,19,0)</f>
        <v>110</v>
      </c>
      <c r="AW34" s="22">
        <f t="shared" si="8"/>
        <v>2577.4500000000003</v>
      </c>
      <c r="AX34" s="36"/>
      <c r="AY34" s="26">
        <v>-4.129999999999999</v>
      </c>
      <c r="AZ34" s="27" t="s">
        <v>209</v>
      </c>
      <c r="BA34" s="22">
        <v>255</v>
      </c>
      <c r="BB34" s="28">
        <f>ROUND(AW34+BA34+AY34+AX34,2)</f>
        <v>2828.32</v>
      </c>
      <c r="BC34" s="22">
        <f t="shared" si="9"/>
        <v>169.7</v>
      </c>
      <c r="BD34" s="22">
        <f t="shared" si="10"/>
        <v>2998.02</v>
      </c>
      <c r="BG34" s="29"/>
    </row>
    <row r="35" spans="1:59" s="30" customFormat="1" ht="15" customHeight="1" x14ac:dyDescent="0.25">
      <c r="A35" s="16">
        <f t="shared" si="11"/>
        <v>33</v>
      </c>
      <c r="B35" s="17">
        <v>2502</v>
      </c>
      <c r="C35" s="17" t="s">
        <v>182</v>
      </c>
      <c r="D35" s="16" t="s">
        <v>130</v>
      </c>
      <c r="E35" s="18" t="s">
        <v>110</v>
      </c>
      <c r="F35" s="19">
        <v>45444</v>
      </c>
      <c r="G35" s="19">
        <v>45808</v>
      </c>
      <c r="H35" s="16"/>
      <c r="I35" s="20" t="s">
        <v>0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40"/>
      <c r="Z35" s="22">
        <f t="shared" si="17"/>
        <v>0</v>
      </c>
      <c r="AA35" s="23">
        <v>7399</v>
      </c>
      <c r="AB35" s="24">
        <v>591.91999999999996</v>
      </c>
      <c r="AC35" s="24">
        <v>147.97999999999999</v>
      </c>
      <c r="AD35" s="24">
        <v>37</v>
      </c>
      <c r="AE35" s="23">
        <v>7399</v>
      </c>
      <c r="AF35" s="23">
        <v>518</v>
      </c>
      <c r="AG35" s="22">
        <f t="shared" si="18"/>
        <v>1294.9000000000001</v>
      </c>
      <c r="AH35" s="25"/>
      <c r="AI35" s="25"/>
      <c r="AJ35" s="25"/>
      <c r="AK35" s="22">
        <f t="shared" si="2"/>
        <v>-1294.9000000000001</v>
      </c>
      <c r="AL35" s="23">
        <v>7399</v>
      </c>
      <c r="AM35" s="23">
        <v>7399</v>
      </c>
      <c r="AN35" s="23">
        <f t="shared" si="19"/>
        <v>1183.8399999999999</v>
      </c>
      <c r="AO35" s="23">
        <v>665.92</v>
      </c>
      <c r="AP35" s="23">
        <f t="shared" si="20"/>
        <v>37</v>
      </c>
      <c r="AQ35" s="23">
        <v>14.8</v>
      </c>
      <c r="AR35" s="23"/>
      <c r="AS35" s="23">
        <f t="shared" si="5"/>
        <v>518</v>
      </c>
      <c r="AT35" s="23">
        <f t="shared" si="6"/>
        <v>110.99</v>
      </c>
      <c r="AU35" s="22">
        <f t="shared" si="7"/>
        <v>2530.5499999999993</v>
      </c>
      <c r="AV35" s="22">
        <f>VLOOKUP(D35,[1]布列吉绩效清单!$F$7:$X$28,19,0)</f>
        <v>164</v>
      </c>
      <c r="AW35" s="22">
        <f t="shared" si="8"/>
        <v>2694.5499999999993</v>
      </c>
      <c r="AX35" s="26"/>
      <c r="AY35" s="26">
        <v>-4.1400000000000006</v>
      </c>
      <c r="AZ35" s="27" t="s">
        <v>209</v>
      </c>
      <c r="BA35" s="22">
        <v>255</v>
      </c>
      <c r="BB35" s="28">
        <f>ROUND(AW35+BA35+AY35+AX35,2)</f>
        <v>2945.41</v>
      </c>
      <c r="BC35" s="22">
        <f t="shared" si="9"/>
        <v>176.72</v>
      </c>
      <c r="BD35" s="22">
        <f t="shared" si="10"/>
        <v>3122.13</v>
      </c>
      <c r="BG35" s="29"/>
    </row>
    <row r="36" spans="1:59" s="30" customFormat="1" ht="15" customHeight="1" x14ac:dyDescent="0.25">
      <c r="A36" s="16">
        <f t="shared" si="11"/>
        <v>34</v>
      </c>
      <c r="B36" s="17">
        <v>2502</v>
      </c>
      <c r="C36" s="17" t="s">
        <v>183</v>
      </c>
      <c r="D36" s="16" t="s">
        <v>131</v>
      </c>
      <c r="E36" s="18" t="s">
        <v>111</v>
      </c>
      <c r="F36" s="19">
        <v>45444</v>
      </c>
      <c r="G36" s="19">
        <v>45808</v>
      </c>
      <c r="H36" s="16"/>
      <c r="I36" s="20" t="s">
        <v>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40"/>
      <c r="Z36" s="22">
        <f t="shared" si="17"/>
        <v>0</v>
      </c>
      <c r="AA36" s="23">
        <v>7384</v>
      </c>
      <c r="AB36" s="24">
        <v>590.72</v>
      </c>
      <c r="AC36" s="24">
        <v>147.68</v>
      </c>
      <c r="AD36" s="24">
        <v>36.92</v>
      </c>
      <c r="AE36" s="23">
        <v>7155</v>
      </c>
      <c r="AF36" s="23">
        <v>501</v>
      </c>
      <c r="AG36" s="22">
        <f t="shared" si="18"/>
        <v>1276.3200000000002</v>
      </c>
      <c r="AH36" s="25"/>
      <c r="AI36" s="25"/>
      <c r="AJ36" s="25"/>
      <c r="AK36" s="22">
        <f t="shared" si="2"/>
        <v>-1276.3200000000002</v>
      </c>
      <c r="AL36" s="23">
        <v>7384</v>
      </c>
      <c r="AM36" s="23">
        <v>7155</v>
      </c>
      <c r="AN36" s="23">
        <f t="shared" si="19"/>
        <v>1181.44</v>
      </c>
      <c r="AO36" s="23">
        <f t="shared" si="21"/>
        <v>664.56</v>
      </c>
      <c r="AP36" s="23">
        <f t="shared" si="20"/>
        <v>36.92</v>
      </c>
      <c r="AQ36" s="23">
        <v>14.77</v>
      </c>
      <c r="AR36" s="23"/>
      <c r="AS36" s="23">
        <f t="shared" si="5"/>
        <v>501</v>
      </c>
      <c r="AT36" s="23">
        <f t="shared" si="6"/>
        <v>110.76</v>
      </c>
      <c r="AU36" s="22">
        <f t="shared" si="7"/>
        <v>2509.4500000000003</v>
      </c>
      <c r="AV36" s="22">
        <f>VLOOKUP(D36,[1]布列吉绩效清单!$F$7:$X$28,19,0)</f>
        <v>169</v>
      </c>
      <c r="AW36" s="22">
        <f t="shared" si="8"/>
        <v>2678.4500000000003</v>
      </c>
      <c r="AX36" s="36"/>
      <c r="AY36" s="26">
        <v>-4.129999999999999</v>
      </c>
      <c r="AZ36" s="27" t="s">
        <v>209</v>
      </c>
      <c r="BA36" s="22">
        <v>255</v>
      </c>
      <c r="BB36" s="28">
        <f>ROUND(AW36+BA36+AY36+AX36,2)</f>
        <v>2929.32</v>
      </c>
      <c r="BC36" s="22">
        <f t="shared" si="9"/>
        <v>175.76</v>
      </c>
      <c r="BD36" s="22">
        <f t="shared" si="10"/>
        <v>3105.08</v>
      </c>
      <c r="BG36" s="29"/>
    </row>
    <row r="37" spans="1:59" s="30" customFormat="1" ht="15" customHeight="1" x14ac:dyDescent="0.25">
      <c r="A37" s="16">
        <f t="shared" si="11"/>
        <v>35</v>
      </c>
      <c r="B37" s="17">
        <v>2502</v>
      </c>
      <c r="C37" s="17" t="s">
        <v>184</v>
      </c>
      <c r="D37" s="16" t="s">
        <v>123</v>
      </c>
      <c r="E37" s="18" t="s">
        <v>114</v>
      </c>
      <c r="F37" s="19">
        <v>45444</v>
      </c>
      <c r="G37" s="19">
        <v>45808</v>
      </c>
      <c r="H37" s="16"/>
      <c r="I37" s="20" t="s">
        <v>0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40"/>
      <c r="Z37" s="22">
        <f t="shared" si="17"/>
        <v>0</v>
      </c>
      <c r="AA37" s="23">
        <v>13189</v>
      </c>
      <c r="AB37" s="24">
        <v>1055.1199999999999</v>
      </c>
      <c r="AC37" s="24">
        <v>263.77999999999997</v>
      </c>
      <c r="AD37" s="24">
        <v>65.95</v>
      </c>
      <c r="AE37" s="23">
        <v>13189</v>
      </c>
      <c r="AF37" s="23">
        <v>923</v>
      </c>
      <c r="AG37" s="22">
        <f t="shared" si="18"/>
        <v>2307.85</v>
      </c>
      <c r="AH37" s="25"/>
      <c r="AI37" s="25"/>
      <c r="AJ37" s="25"/>
      <c r="AK37" s="22">
        <f t="shared" si="2"/>
        <v>-2307.85</v>
      </c>
      <c r="AL37" s="23">
        <v>13189</v>
      </c>
      <c r="AM37" s="23">
        <v>13189</v>
      </c>
      <c r="AN37" s="23">
        <f t="shared" si="19"/>
        <v>2110.2399999999998</v>
      </c>
      <c r="AO37" s="23">
        <v>1187.02</v>
      </c>
      <c r="AP37" s="23">
        <f t="shared" si="20"/>
        <v>65.95</v>
      </c>
      <c r="AQ37" s="23">
        <v>26.38</v>
      </c>
      <c r="AR37" s="23"/>
      <c r="AS37" s="23">
        <f t="shared" si="5"/>
        <v>923</v>
      </c>
      <c r="AT37" s="23">
        <f t="shared" si="6"/>
        <v>197.84</v>
      </c>
      <c r="AU37" s="22">
        <f t="shared" si="7"/>
        <v>4510.43</v>
      </c>
      <c r="AV37" s="22">
        <f>VLOOKUP(D37,[1]布列吉绩效清单!$F$7:$X$28,19,0)</f>
        <v>263</v>
      </c>
      <c r="AW37" s="22">
        <f t="shared" si="8"/>
        <v>4773.43</v>
      </c>
      <c r="AX37" s="26"/>
      <c r="AY37" s="26">
        <v>-7.379999999999999</v>
      </c>
      <c r="AZ37" s="27" t="s">
        <v>209</v>
      </c>
      <c r="BA37" s="22">
        <v>255</v>
      </c>
      <c r="BB37" s="28">
        <f>ROUND(AW37+BA37+AY37+AX37,2)</f>
        <v>5021.05</v>
      </c>
      <c r="BC37" s="22">
        <f t="shared" si="9"/>
        <v>301.26</v>
      </c>
      <c r="BD37" s="22">
        <f t="shared" si="10"/>
        <v>5322.31</v>
      </c>
      <c r="BG37" s="29"/>
    </row>
    <row r="38" spans="1:59" s="30" customFormat="1" ht="15" customHeight="1" x14ac:dyDescent="0.25">
      <c r="A38" s="16">
        <f t="shared" si="11"/>
        <v>36</v>
      </c>
      <c r="B38" s="17">
        <v>2502</v>
      </c>
      <c r="C38" s="17" t="s">
        <v>186</v>
      </c>
      <c r="D38" s="42" t="s">
        <v>185</v>
      </c>
      <c r="E38" s="18" t="s">
        <v>167</v>
      </c>
      <c r="F38" s="19">
        <v>45444</v>
      </c>
      <c r="G38" s="19">
        <v>45808</v>
      </c>
      <c r="H38" s="16"/>
      <c r="I38" s="20" t="s">
        <v>0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40"/>
      <c r="Z38" s="22">
        <f>SUM(J38:Y38)</f>
        <v>0</v>
      </c>
      <c r="AA38" s="23">
        <v>9758</v>
      </c>
      <c r="AB38" s="24">
        <v>780.64</v>
      </c>
      <c r="AC38" s="24">
        <v>195.16</v>
      </c>
      <c r="AD38" s="24">
        <v>48.79</v>
      </c>
      <c r="AE38" s="23">
        <v>9758</v>
      </c>
      <c r="AF38" s="23">
        <v>683</v>
      </c>
      <c r="AG38" s="22">
        <f t="shared" si="18"/>
        <v>1707.59</v>
      </c>
      <c r="AH38" s="25"/>
      <c r="AI38" s="25"/>
      <c r="AJ38" s="25"/>
      <c r="AK38" s="22">
        <f t="shared" si="2"/>
        <v>-1707.59</v>
      </c>
      <c r="AL38" s="23">
        <v>9758</v>
      </c>
      <c r="AM38" s="23">
        <v>9758</v>
      </c>
      <c r="AN38" s="23">
        <f t="shared" si="19"/>
        <v>1561.28</v>
      </c>
      <c r="AO38" s="23">
        <f t="shared" si="21"/>
        <v>878.22</v>
      </c>
      <c r="AP38" s="23">
        <f t="shared" si="20"/>
        <v>48.79</v>
      </c>
      <c r="AQ38" s="23">
        <v>19.52</v>
      </c>
      <c r="AR38" s="23"/>
      <c r="AS38" s="23">
        <f t="shared" si="5"/>
        <v>683</v>
      </c>
      <c r="AT38" s="23">
        <f t="shared" si="6"/>
        <v>146.37</v>
      </c>
      <c r="AU38" s="22">
        <f t="shared" si="7"/>
        <v>3337.18</v>
      </c>
      <c r="AV38" s="22">
        <f>VLOOKUP(D38,[1]布列吉绩效清单!$F$7:$X$28,19,0)</f>
        <v>330</v>
      </c>
      <c r="AW38" s="22">
        <f t="shared" si="8"/>
        <v>3667.18</v>
      </c>
      <c r="AX38" s="26"/>
      <c r="AY38" s="26">
        <v>-5.4600000000000009</v>
      </c>
      <c r="AZ38" s="27" t="s">
        <v>209</v>
      </c>
      <c r="BA38" s="22">
        <v>60</v>
      </c>
      <c r="BB38" s="28">
        <f>ROUND(AW38+BA38+AY38+AX38,2)</f>
        <v>3721.72</v>
      </c>
      <c r="BC38" s="22">
        <f t="shared" si="9"/>
        <v>223.3</v>
      </c>
      <c r="BD38" s="22">
        <f t="shared" si="10"/>
        <v>3945.02</v>
      </c>
      <c r="BG38" s="29"/>
    </row>
    <row r="39" spans="1:59" ht="15" customHeight="1" x14ac:dyDescent="0.25"/>
    <row r="40" spans="1:59" ht="15" customHeight="1" x14ac:dyDescent="0.25"/>
    <row r="41" spans="1:59" ht="15" customHeight="1" x14ac:dyDescent="0.25">
      <c r="A41" s="31" t="s">
        <v>118</v>
      </c>
      <c r="Z41" s="32">
        <f>SUBTOTAL(9,Z3:Z16)</f>
        <v>0</v>
      </c>
      <c r="AG41" s="32">
        <f>SUBTOTAL(9,AG3:AG16)</f>
        <v>24133.91</v>
      </c>
      <c r="AK41" s="32">
        <f>SUBTOTAL(9,AK3:AK16)</f>
        <v>-24133.91</v>
      </c>
      <c r="AU41" s="45">
        <f>SUBTOTAL(9,AU3:AU16)</f>
        <v>47389.76999999999</v>
      </c>
      <c r="AV41" s="45">
        <f>SUBTOTAL(9,AV3:AV16)</f>
        <v>2407</v>
      </c>
      <c r="AW41" s="45">
        <f>SUBTOTAL(9,AW3:AW16)</f>
        <v>49796.76999999999</v>
      </c>
      <c r="AX41" s="44">
        <f>SUBTOTAL(9,AX3:AX16)</f>
        <v>0</v>
      </c>
      <c r="AY41" s="44">
        <f>SUBTOTAL(9,AY3:AY16)</f>
        <v>-77.98</v>
      </c>
      <c r="BA41" s="32">
        <f>SUBTOTAL(9,BA3:BA16)</f>
        <v>3570</v>
      </c>
      <c r="BB41" s="33">
        <f>SUBTOTAL(9,BB3:BB16)</f>
        <v>53288.79</v>
      </c>
      <c r="BC41" s="32">
        <f>SUBTOTAL(9,BC3:BC16)</f>
        <v>3197.3399999999997</v>
      </c>
      <c r="BD41" s="32">
        <f>SUBTOTAL(9,BD3:BD16)</f>
        <v>56486.13</v>
      </c>
    </row>
    <row r="42" spans="1:59" ht="15" customHeight="1" x14ac:dyDescent="0.25">
      <c r="A42" s="31" t="s">
        <v>119</v>
      </c>
      <c r="Z42" s="32">
        <f>SUBTOTAL(9,Z17:Z38)</f>
        <v>0</v>
      </c>
      <c r="AG42" s="32">
        <f>SUBTOTAL(9,AG17:AG38)</f>
        <v>32752.239999999998</v>
      </c>
      <c r="AK42" s="32">
        <f>SUBTOTAL(9,AK17:AK38)</f>
        <v>-32752.239999999998</v>
      </c>
      <c r="AU42" s="45">
        <f>SUBTOTAL(9,AU17:AU38)</f>
        <v>65521.289999999979</v>
      </c>
      <c r="AV42" s="45">
        <f>SUBTOTAL(9,AV17:AV38)</f>
        <v>4965</v>
      </c>
      <c r="AW42" s="45">
        <f>SUBTOTAL(9,AW17:AW38)</f>
        <v>70486.289999999979</v>
      </c>
      <c r="AX42" s="44">
        <f>SUBTOTAL(9,AX17:AX38)</f>
        <v>0</v>
      </c>
      <c r="AY42" s="44">
        <f>SUBTOTAL(9,AY17:AY38)</f>
        <v>-109.80999999999995</v>
      </c>
      <c r="AZ42" s="32"/>
      <c r="BA42" s="32">
        <f>SUBTOTAL(9,BA17:BA38)</f>
        <v>5415</v>
      </c>
      <c r="BB42" s="33">
        <f>SUBTOTAL(9,BB17:BB38)</f>
        <v>75791.48000000001</v>
      </c>
      <c r="BC42" s="32">
        <f>SUBTOTAL(9,BC17:BC38)</f>
        <v>4547.4799999999996</v>
      </c>
      <c r="BD42" s="32">
        <f>SUBTOTAL(9,BD17:BD38)</f>
        <v>80338.960000000006</v>
      </c>
    </row>
    <row r="43" spans="1:59" ht="15" customHeight="1" x14ac:dyDescent="0.25">
      <c r="A43" s="31" t="s">
        <v>120</v>
      </c>
      <c r="Z43" s="32">
        <f>Z42+Z41</f>
        <v>0</v>
      </c>
      <c r="AG43" s="37">
        <f>AG42+AG41</f>
        <v>56886.149999999994</v>
      </c>
      <c r="AK43" s="32">
        <f>AK42+AK41</f>
        <v>-56886.149999999994</v>
      </c>
      <c r="AU43" s="46">
        <f>SUM(AU3:AU38)</f>
        <v>112911.05999999994</v>
      </c>
      <c r="AV43" s="45">
        <f>AV42+AV41</f>
        <v>7372</v>
      </c>
      <c r="AW43" s="45">
        <f>AW42+AW41</f>
        <v>120283.05999999997</v>
      </c>
      <c r="AX43" s="44">
        <f>AX41+AX42</f>
        <v>0</v>
      </c>
      <c r="AY43" s="44">
        <f>AY41+AY42</f>
        <v>-187.78999999999996</v>
      </c>
      <c r="BA43" s="32">
        <f>BA42+BA41</f>
        <v>8985</v>
      </c>
      <c r="BB43" s="33">
        <f>BB42+BB41</f>
        <v>129080.27000000002</v>
      </c>
      <c r="BC43" s="32">
        <f>BC42+BC41</f>
        <v>7744.82</v>
      </c>
      <c r="BD43" s="32">
        <f>BD42+BD41</f>
        <v>136825.09</v>
      </c>
    </row>
    <row r="44" spans="1:59" ht="15" customHeight="1" x14ac:dyDescent="0.25">
      <c r="Z44" s="32"/>
      <c r="AG44" s="37"/>
      <c r="AK44" s="32"/>
      <c r="AU44" s="37"/>
      <c r="AV44" s="32"/>
      <c r="AW44" s="32"/>
      <c r="BA44" s="32"/>
      <c r="BB44" s="33"/>
      <c r="BC44" s="32"/>
      <c r="BD44" s="32"/>
    </row>
  </sheetData>
  <autoFilter ref="A1:BG38" xr:uid="{31A74659-48EA-48F8-8022-73CEA0236F93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1">
    <mergeCell ref="M1:Y1"/>
  </mergeCells>
  <phoneticPr fontId="4" type="noConversion"/>
  <conditionalFormatting sqref="D1">
    <cfRule type="duplicateValues" dxfId="20" priority="39"/>
  </conditionalFormatting>
  <conditionalFormatting sqref="D1">
    <cfRule type="duplicateValues" dxfId="19" priority="40"/>
  </conditionalFormatting>
  <conditionalFormatting sqref="D1">
    <cfRule type="duplicateValues" dxfId="18" priority="41"/>
    <cfRule type="duplicateValues" dxfId="17" priority="42"/>
  </conditionalFormatting>
  <conditionalFormatting sqref="D1">
    <cfRule type="duplicateValues" dxfId="16" priority="43"/>
    <cfRule type="duplicateValues" dxfId="15" priority="44"/>
  </conditionalFormatting>
  <conditionalFormatting sqref="D2">
    <cfRule type="duplicateValues" dxfId="14" priority="36"/>
    <cfRule type="duplicateValues" dxfId="13" priority="37"/>
  </conditionalFormatting>
  <conditionalFormatting sqref="D2">
    <cfRule type="duplicateValues" dxfId="12" priority="38"/>
  </conditionalFormatting>
  <conditionalFormatting sqref="C1">
    <cfRule type="duplicateValues" dxfId="11" priority="30"/>
  </conditionalFormatting>
  <conditionalFormatting sqref="C1">
    <cfRule type="duplicateValues" dxfId="10" priority="31"/>
  </conditionalFormatting>
  <conditionalFormatting sqref="C1">
    <cfRule type="duplicateValues" dxfId="9" priority="32"/>
    <cfRule type="duplicateValues" dxfId="8" priority="33"/>
  </conditionalFormatting>
  <conditionalFormatting sqref="C1">
    <cfRule type="duplicateValues" dxfId="7" priority="34"/>
    <cfRule type="duplicateValues" dxfId="6" priority="35"/>
  </conditionalFormatting>
  <conditionalFormatting sqref="C2">
    <cfRule type="duplicateValues" dxfId="5" priority="27"/>
    <cfRule type="duplicateValues" dxfId="4" priority="28"/>
  </conditionalFormatting>
  <conditionalFormatting sqref="C2">
    <cfRule type="duplicateValues" dxfId="3" priority="29"/>
  </conditionalFormatting>
  <conditionalFormatting sqref="AL3:AL13">
    <cfRule type="cellIs" dxfId="2" priority="26" operator="lessThan">
      <formula>7384</formula>
    </cfRule>
  </conditionalFormatting>
  <conditionalFormatting sqref="AL14:AL16">
    <cfRule type="cellIs" dxfId="1" priority="25" operator="lessThan">
      <formula>7384</formula>
    </cfRule>
  </conditionalFormatting>
  <conditionalFormatting sqref="AL17:AL38">
    <cfRule type="cellIs" dxfId="0" priority="24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2023-05-09T05:52:51Z</dcterms:created>
  <dcterms:modified xsi:type="dcterms:W3CDTF">2025-02-06T06:26:59Z</dcterms:modified>
</cp:coreProperties>
</file>