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"/>
    </mc:Choice>
  </mc:AlternateContent>
  <xr:revisionPtr revIDLastSave="0" documentId="13_ncr:1_{A29AE013-416F-4455-8182-7D409DD18FFB}" xr6:coauthVersionLast="36" xr6:coauthVersionMax="36" xr10:uidLastSave="{00000000-0000-0000-0000-000000000000}"/>
  <bookViews>
    <workbookView xWindow="0" yWindow="0" windowWidth="23040" windowHeight="8700" activeTab="2" xr2:uid="{00000000-000D-0000-FFFF-FFFF00000000}"/>
  </bookViews>
  <sheets>
    <sheet name="202501" sheetId="1" r:id="rId1"/>
    <sheet name="对账单" sheetId="3" r:id="rId2"/>
    <sheet name="系统" sheetId="2" r:id="rId3"/>
  </sheets>
  <definedNames>
    <definedName name="_xlnm._FilterDatabase" localSheetId="0" hidden="1">'202501'!$A$2:$BF$4</definedName>
  </definedNames>
  <calcPr calcId="191029"/>
</workbook>
</file>

<file path=xl/calcChain.xml><?xml version="1.0" encoding="utf-8"?>
<calcChain xmlns="http://schemas.openxmlformats.org/spreadsheetml/2006/main">
  <c r="E14" i="3" l="1"/>
  <c r="E11" i="3"/>
  <c r="E5" i="3"/>
  <c r="D7" i="3"/>
  <c r="C6" i="3" l="1"/>
  <c r="C7" i="3"/>
  <c r="C5" i="3"/>
  <c r="C4" i="3"/>
  <c r="C2" i="3"/>
  <c r="H44" i="2"/>
  <c r="F44" i="2"/>
  <c r="D44" i="2"/>
  <c r="Y35" i="2"/>
  <c r="W35" i="2"/>
  <c r="R35" i="2"/>
  <c r="P35" i="2"/>
  <c r="O35" i="2"/>
  <c r="N35" i="2"/>
  <c r="M35" i="2"/>
  <c r="L35" i="2"/>
  <c r="J35" i="2"/>
  <c r="I35" i="2"/>
  <c r="H35" i="2"/>
  <c r="G35" i="2"/>
  <c r="F35" i="2"/>
  <c r="S34" i="2"/>
  <c r="Q34" i="2"/>
  <c r="K34" i="2"/>
  <c r="Q33" i="2"/>
  <c r="K33" i="2"/>
  <c r="S33" i="2" s="1"/>
  <c r="Q32" i="2"/>
  <c r="K32" i="2"/>
  <c r="S32" i="2" s="1"/>
  <c r="S31" i="2"/>
  <c r="Q31" i="2"/>
  <c r="K31" i="2"/>
  <c r="S30" i="2"/>
  <c r="Q30" i="2"/>
  <c r="K30" i="2"/>
  <c r="Q29" i="2"/>
  <c r="K29" i="2"/>
  <c r="S29" i="2" s="1"/>
  <c r="Q28" i="2"/>
  <c r="K28" i="2"/>
  <c r="S28" i="2" s="1"/>
  <c r="S27" i="2"/>
  <c r="Q27" i="2"/>
  <c r="K27" i="2"/>
  <c r="S26" i="2"/>
  <c r="Q26" i="2"/>
  <c r="K26" i="2"/>
  <c r="Q25" i="2"/>
  <c r="Q35" i="2" s="1"/>
  <c r="K25" i="2"/>
  <c r="S25" i="2" s="1"/>
  <c r="Q24" i="2"/>
  <c r="K24" i="2"/>
  <c r="S24" i="2" s="1"/>
  <c r="S23" i="2"/>
  <c r="S35" i="2" s="1"/>
  <c r="Q23" i="2"/>
  <c r="K23" i="2"/>
  <c r="K35" i="2" s="1"/>
  <c r="AF18" i="2"/>
  <c r="AD18" i="2"/>
  <c r="Y18" i="2"/>
  <c r="X18" i="2"/>
  <c r="W18" i="2"/>
  <c r="U18" i="2"/>
  <c r="T18" i="2"/>
  <c r="S18" i="2"/>
  <c r="R18" i="2"/>
  <c r="Q18" i="2"/>
  <c r="P18" i="2"/>
  <c r="N18" i="2"/>
  <c r="M18" i="2"/>
  <c r="L18" i="2"/>
  <c r="K18" i="2"/>
  <c r="J18" i="2"/>
  <c r="I18" i="2"/>
  <c r="H18" i="2"/>
  <c r="E18" i="2"/>
  <c r="V17" i="2"/>
  <c r="O17" i="2"/>
  <c r="Z17" i="2" s="1"/>
  <c r="V16" i="2"/>
  <c r="V18" i="2" s="1"/>
  <c r="O16" i="2"/>
  <c r="O18" i="2" s="1"/>
  <c r="Z16" i="2" l="1"/>
  <c r="Z18" i="2" s="1"/>
  <c r="D11" i="3" l="1"/>
  <c r="H11" i="3" l="1"/>
  <c r="I15" i="3"/>
  <c r="G11" i="3"/>
  <c r="I7" i="3"/>
  <c r="I5" i="3"/>
  <c r="I4" i="3"/>
  <c r="B10" i="3"/>
  <c r="B8" i="3"/>
  <c r="J8" i="3" s="1"/>
  <c r="B9" i="3"/>
  <c r="F9" i="3" s="1"/>
  <c r="B7" i="3"/>
  <c r="B5" i="3"/>
  <c r="B4" i="3"/>
  <c r="B3" i="3"/>
  <c r="J3" i="3" s="1"/>
  <c r="B2" i="3"/>
  <c r="D13" i="3"/>
  <c r="D14" i="3" s="1"/>
  <c r="J10" i="3"/>
  <c r="I10" i="3"/>
  <c r="J9" i="3"/>
  <c r="I8" i="3"/>
  <c r="J6" i="3"/>
  <c r="I6" i="3"/>
  <c r="J4" i="3"/>
  <c r="I3" i="3"/>
  <c r="J7" i="3" l="1"/>
  <c r="H13" i="3"/>
  <c r="H14" i="3" s="1"/>
  <c r="I9" i="3"/>
  <c r="F11" i="3"/>
  <c r="J5" i="3"/>
  <c r="F13" i="3"/>
  <c r="F14" i="3" s="1"/>
  <c r="J2" i="3"/>
  <c r="G13" i="3"/>
  <c r="G14" i="3" s="1"/>
  <c r="B11" i="3"/>
  <c r="B14" i="3" s="1"/>
  <c r="I13" i="3" l="1"/>
  <c r="C11" i="3"/>
  <c r="I2" i="3"/>
  <c r="C14" i="3" l="1"/>
  <c r="I11" i="3"/>
  <c r="I14" i="3" l="1"/>
  <c r="I16" i="3" s="1"/>
  <c r="I17" i="3" s="1"/>
  <c r="BB4" i="1" l="1"/>
  <c r="BB3" i="1"/>
  <c r="J21" i="1"/>
  <c r="J15" i="1"/>
  <c r="AY6" i="1" l="1"/>
  <c r="BA6" i="1"/>
  <c r="AX6" i="1"/>
  <c r="AV6" i="1"/>
  <c r="AT4" i="1"/>
  <c r="AS4" i="1"/>
  <c r="AP4" i="1"/>
  <c r="AO4" i="1"/>
  <c r="AN4" i="1"/>
  <c r="AF4" i="1"/>
  <c r="AG4" i="1" s="1"/>
  <c r="Z4" i="1"/>
  <c r="A4" i="1"/>
  <c r="AT3" i="1"/>
  <c r="AS3" i="1"/>
  <c r="AP3" i="1"/>
  <c r="AO3" i="1"/>
  <c r="AN3" i="1"/>
  <c r="AF3" i="1"/>
  <c r="AG3" i="1" s="1"/>
  <c r="Z3" i="1"/>
  <c r="Z6" i="1" s="1"/>
  <c r="A3" i="1"/>
  <c r="AK4" i="1" l="1"/>
  <c r="AG6" i="1"/>
  <c r="AU3" i="1"/>
  <c r="AW3" i="1" s="1"/>
  <c r="AU4" i="1"/>
  <c r="AW4" i="1" s="1"/>
  <c r="BC4" i="1" s="1"/>
  <c r="BD4" i="1" s="1"/>
  <c r="AK3" i="1"/>
  <c r="AK6" i="1" s="1"/>
  <c r="AU6" i="1" l="1"/>
  <c r="AW6" i="1"/>
  <c r="BC3" i="1"/>
  <c r="BC6" i="1" s="1"/>
  <c r="BB6" i="1"/>
  <c r="BD3" i="1" l="1"/>
  <c r="BD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944EAEF9-656C-4200-9A08-033A3F3487F2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86E58245-3AA4-43D3-B5B9-65FFE2233C60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<sst xmlns="http://schemas.openxmlformats.org/spreadsheetml/2006/main" count="470" uniqueCount="252">
  <si>
    <t>序号</t>
  </si>
  <si>
    <t>计薪
周期</t>
  </si>
  <si>
    <t>工号</t>
  </si>
  <si>
    <t>姓名</t>
  </si>
  <si>
    <t>身份证号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</si>
  <si>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</si>
  <si>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</si>
  <si>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</si>
  <si>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</si>
  <si>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</si>
  <si>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</si>
  <si>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</si>
  <si>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</si>
  <si>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</si>
  <si>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</si>
  <si>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</si>
  <si>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</si>
  <si>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</si>
  <si>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</si>
  <si>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</si>
  <si>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</si>
  <si>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</si>
  <si>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</si>
  <si>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</si>
  <si>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</si>
  <si>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</si>
  <si>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</si>
  <si>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</si>
  <si>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</si>
  <si>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</si>
  <si>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</si>
  <si>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</si>
  <si>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</si>
  <si>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</si>
  <si>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</si>
  <si>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</si>
  <si>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</si>
  <si>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社保备注</t>
  </si>
  <si>
    <t>外包服务费</t>
  </si>
  <si>
    <t>税前项合计</t>
  </si>
  <si>
    <t>增值税</t>
  </si>
  <si>
    <t>总计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</si>
  <si>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</si>
  <si>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</si>
  <si>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</si>
  <si>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</si>
  <si>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</si>
  <si>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</si>
  <si>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</si>
  <si>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</si>
  <si>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</si>
  <si>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</si>
  <si>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</si>
  <si>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</si>
  <si>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</si>
  <si>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部门加奖</t>
  </si>
  <si>
    <t>交通费</t>
  </si>
  <si>
    <t>效能补贴</t>
  </si>
  <si>
    <t>高温费及清凉饮料费
（6-9月）</t>
  </si>
  <si>
    <t>伙食补贴</t>
  </si>
  <si>
    <t>独生子女奖励</t>
  </si>
  <si>
    <t>保险费</t>
  </si>
  <si>
    <t>其他费用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</si>
  <si>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</si>
  <si>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</si>
  <si>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</si>
  <si>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</si>
  <si>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</si>
  <si>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</si>
  <si>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</si>
  <si>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</si>
  <si>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</si>
  <si>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</si>
  <si>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</si>
  <si>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</si>
  <si>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</si>
  <si>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</si>
  <si>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</si>
  <si>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</si>
  <si>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</si>
  <si>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</si>
  <si>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</si>
  <si>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</si>
  <si>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</si>
  <si>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</si>
  <si>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</si>
  <si>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</si>
  <si>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</si>
  <si>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</si>
  <si>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</si>
  <si>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</si>
  <si>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</si>
  <si>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</si>
  <si>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</si>
  <si>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WB007174</t>
  </si>
  <si>
    <t>傅强</t>
  </si>
  <si>
    <t>342501197805270274</t>
  </si>
  <si>
    <t>上海</t>
  </si>
  <si>
    <t>WB007141</t>
  </si>
  <si>
    <t>汤熙荣</t>
  </si>
  <si>
    <t>310108197210073613</t>
  </si>
  <si>
    <t>合计</t>
  </si>
  <si>
    <t>实际结算</t>
  </si>
  <si>
    <t>差额下月补</t>
  </si>
  <si>
    <t>本月垫付下月收</t>
    <phoneticPr fontId="9" type="noConversion"/>
  </si>
  <si>
    <t>本月多收下月退</t>
    <phoneticPr fontId="9" type="noConversion"/>
  </si>
  <si>
    <t>1月垫付保障补差5元，2月收，工伤比例调整，1月多收2月退</t>
    <phoneticPr fontId="9" type="noConversion"/>
  </si>
  <si>
    <t>本月垫付，下月补收</t>
    <phoneticPr fontId="13" type="noConversion"/>
  </si>
  <si>
    <t>本月垫付下月收</t>
  </si>
  <si>
    <t>1月垫付保障补差5元，2月收</t>
    <phoneticPr fontId="9" type="noConversion"/>
  </si>
  <si>
    <t>工伤比例调整，1月多收2月退</t>
    <phoneticPr fontId="9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</si>
  <si>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</si>
  <si>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</si>
  <si>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</si>
  <si>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</si>
  <si>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</si>
  <si>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</si>
  <si>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</si>
  <si>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2025年01月</t>
  </si>
  <si>
    <t>公司名称：中国电信股份有限公司上海分公司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</si>
  <si>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</si>
  <si>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</si>
  <si>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</si>
  <si>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</si>
  <si>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</si>
  <si>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</si>
  <si>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</si>
  <si>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</si>
  <si>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</si>
  <si>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</si>
  <si>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</si>
  <si>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</si>
  <si>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</si>
  <si>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</si>
  <si>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</si>
  <si>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</si>
  <si>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</si>
  <si>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</si>
  <si>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</si>
  <si>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</si>
  <si>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</si>
  <si>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</si>
  <si>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</si>
  <si>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</si>
  <si>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</si>
  <si>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</si>
  <si>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</si>
  <si>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</si>
  <si>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</si>
  <si>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</si>
  <si>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</si>
  <si>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</si>
  <si>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</si>
  <si>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</si>
  <si>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</si>
  <si>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</si>
  <si>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</si>
  <si>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</si>
  <si>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</si>
  <si>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</si>
  <si>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202501</t>
  </si>
  <si>
    <t>2024-06-01</t>
  </si>
  <si>
    <t>6031699</t>
  </si>
  <si>
    <t>6%</t>
  </si>
  <si>
    <t>2024-04-01</t>
  </si>
  <si>
    <t>5987320</t>
  </si>
  <si>
    <t>合计（RMB）</t>
  </si>
  <si>
    <t>费用项目</t>
  </si>
  <si>
    <t>金额</t>
  </si>
  <si>
    <t>Item</t>
  </si>
  <si>
    <t>Amount</t>
  </si>
  <si>
    <t>税差调整6%</t>
  </si>
  <si>
    <t>增值税：</t>
  </si>
  <si>
    <t>序号
S/N</t>
  </si>
  <si>
    <t>应纳税额</t>
  </si>
  <si>
    <t>税金</t>
  </si>
  <si>
    <t>小计（RMB）</t>
  </si>
  <si>
    <t>总计(RMB)</t>
  </si>
  <si>
    <t>制单人：</t>
  </si>
  <si>
    <t>制单日期：2025-01-20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</si>
  <si>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</si>
  <si>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</si>
  <si>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</si>
  <si>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</si>
  <si>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</si>
  <si>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</si>
  <si>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</si>
  <si>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</si>
  <si>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</si>
  <si>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</si>
  <si>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</si>
  <si>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</si>
  <si>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</si>
  <si>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</si>
  <si>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</si>
  <si>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</si>
  <si>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</si>
  <si>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</si>
  <si>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</si>
  <si>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</si>
  <si>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</si>
  <si>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</si>
  <si>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</si>
  <si>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</si>
  <si>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</si>
  <si>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</si>
  <si>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</si>
  <si>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</si>
  <si>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</si>
  <si>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</si>
  <si>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</si>
  <si>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</si>
  <si>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</si>
  <si>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</si>
  <si>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</si>
  <si>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7月速创账单</t>
    <phoneticPr fontId="13" type="noConversion"/>
  </si>
  <si>
    <t>差异</t>
    <phoneticPr fontId="9" type="noConversion"/>
  </si>
  <si>
    <t>风险费</t>
  </si>
  <si>
    <t>个人四金</t>
  </si>
  <si>
    <t>公司四金</t>
  </si>
  <si>
    <t>代发工资</t>
  </si>
  <si>
    <t>小计</t>
  </si>
  <si>
    <t>附加税</t>
  </si>
  <si>
    <t>给客户账单金额</t>
  </si>
  <si>
    <t>差异</t>
  </si>
  <si>
    <t>不含税差异</t>
  </si>
  <si>
    <t>工会费</t>
    <phoneticPr fontId="9" type="noConversion"/>
  </si>
  <si>
    <t>本月垫付</t>
    <phoneticPr fontId="9" type="noConversion"/>
  </si>
  <si>
    <t>本月多收</t>
    <phoneticPr fontId="9" type="noConversion"/>
  </si>
  <si>
    <t>1月工会费</t>
    <phoneticPr fontId="9" type="noConversion"/>
  </si>
  <si>
    <t>本月垫付，下月收</t>
    <phoneticPr fontId="9" type="noConversion"/>
  </si>
  <si>
    <t>本月多收，下月退</t>
    <phoneticPr fontId="9" type="noConversion"/>
  </si>
  <si>
    <t>帐单号：202501CH6596308</t>
  </si>
  <si>
    <t>历月补收</t>
  </si>
  <si>
    <t xml:space="preserve"> </t>
  </si>
  <si>
    <t>总计（RMB）已包含历月补收人民币壹万叁仟伍佰玖拾陆圆零陆分</t>
  </si>
  <si>
    <t>历月补收明细</t>
  </si>
  <si>
    <t>202407</t>
  </si>
  <si>
    <t>202408</t>
  </si>
  <si>
    <t>202409</t>
  </si>
  <si>
    <t>202410</t>
  </si>
  <si>
    <t>202411</t>
  </si>
  <si>
    <t>202412</t>
  </si>
  <si>
    <t>总计（RMB）人民币负数玖拾圆壹角捌分</t>
  </si>
  <si>
    <t>风险金</t>
  </si>
  <si>
    <t>服务费</t>
  </si>
  <si>
    <t>总计（RMB）人民币壹佰柒拾伍圆壹角捌分</t>
  </si>
  <si>
    <t>本次价税合计(RMB):人民币壹万叁仟柒佰柒拾壹圆贰角肆分</t>
  </si>
  <si>
    <t>本月价税合计（RMB）：13771.24 其中已开票13771.24</t>
  </si>
  <si>
    <t>本月总计（RMB）人民币壹万叁仟柒佰柒拾壹圆贰角肆分                ￥13771.24</t>
  </si>
  <si>
    <t>工伤退费</t>
    <phoneticPr fontId="9" type="noConversion"/>
  </si>
  <si>
    <t>预收一次性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</si>
</sst>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 "/>
  </numFmts>
  <fonts count="32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6"/>
      <name val="阿里巴巴普惠体 R"/>
      <family val="1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8"/>
      <color theme="1"/>
      <name val="阿里巴巴普惠体 R"/>
      <family val="1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3" fillId="0" borderId="0" xfId="1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3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1" xfId="3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2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0" xfId="0" applyNumberFormat="1" applyFont="1">
      <alignment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4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176" fontId="1" fillId="7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3" fontId="3" fillId="7" borderId="0" xfId="1" applyFont="1" applyFill="1">
      <alignment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178" fontId="11" fillId="0" borderId="1" xfId="0" applyNumberFormat="1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3" fillId="0" borderId="0" xfId="0" applyNumberFormat="1" applyFont="1">
      <alignment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49" fontId="1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77" fontId="16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left" vertical="center"/>
    </xf>
    <xf numFmtId="49" fontId="20" fillId="0" borderId="5" xfId="0" applyNumberFormat="1" applyFont="1" applyBorder="1" applyAlignment="1">
      <alignment horizontal="center" wrapText="1"/>
    </xf>
    <xf numFmtId="177" fontId="20" fillId="0" borderId="5" xfId="0" applyNumberFormat="1" applyFont="1" applyBorder="1" applyAlignment="1">
      <alignment horizontal="center" wrapText="1"/>
    </xf>
    <xf numFmtId="177" fontId="20" fillId="0" borderId="5" xfId="0" applyNumberFormat="1" applyFont="1" applyBorder="1" applyAlignment="1">
      <alignment horizontal="center" vertical="top" wrapText="1"/>
    </xf>
    <xf numFmtId="177" fontId="21" fillId="0" borderId="5" xfId="0" applyNumberFormat="1" applyFont="1" applyBorder="1" applyAlignment="1">
      <alignment horizontal="center" wrapText="1"/>
    </xf>
    <xf numFmtId="49" fontId="20" fillId="0" borderId="6" xfId="0" applyNumberFormat="1" applyFont="1" applyBorder="1" applyAlignment="1">
      <alignment horizontal="center" vertical="top" wrapText="1"/>
    </xf>
    <xf numFmtId="177" fontId="20" fillId="0" borderId="6" xfId="0" applyNumberFormat="1" applyFont="1" applyBorder="1" applyAlignment="1">
      <alignment horizontal="center" vertical="top" wrapText="1"/>
    </xf>
    <xf numFmtId="177" fontId="20" fillId="0" borderId="1" xfId="0" applyNumberFormat="1" applyFont="1" applyBorder="1" applyAlignment="1">
      <alignment horizontal="center" vertical="top" wrapText="1"/>
    </xf>
    <xf numFmtId="177" fontId="21" fillId="0" borderId="6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177" fontId="22" fillId="0" borderId="1" xfId="0" applyNumberFormat="1" applyFont="1" applyBorder="1" applyAlignment="1">
      <alignment horizontal="right" vertical="center"/>
    </xf>
    <xf numFmtId="177" fontId="23" fillId="0" borderId="1" xfId="0" applyNumberFormat="1" applyFont="1" applyBorder="1" applyAlignment="1">
      <alignment horizontal="right" vertical="center"/>
    </xf>
    <xf numFmtId="177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177" fontId="20" fillId="0" borderId="0" xfId="0" applyNumberFormat="1" applyFont="1" applyAlignment="1">
      <alignment horizontal="center" vertical="top" wrapText="1"/>
    </xf>
    <xf numFmtId="49" fontId="20" fillId="0" borderId="0" xfId="0" applyNumberFormat="1" applyFont="1" applyAlignment="1">
      <alignment horizontal="center" vertical="top" wrapText="1"/>
    </xf>
    <xf numFmtId="7" fontId="22" fillId="0" borderId="1" xfId="0" applyNumberFormat="1" applyFont="1" applyBorder="1" applyAlignment="1">
      <alignment horizontal="right" vertical="center"/>
    </xf>
    <xf numFmtId="7" fontId="22" fillId="0" borderId="4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7" fontId="2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7" fillId="7" borderId="1" xfId="0" applyNumberFormat="1" applyFont="1" applyFill="1" applyBorder="1" applyAlignment="1">
      <alignment horizontal="center" vertical="center"/>
    </xf>
    <xf numFmtId="43" fontId="27" fillId="0" borderId="1" xfId="1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8" fillId="7" borderId="1" xfId="0" applyFont="1" applyFill="1" applyBorder="1" applyAlignment="1">
      <alignment horizontal="center" vertical="center"/>
    </xf>
    <xf numFmtId="43" fontId="28" fillId="7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43" fontId="28" fillId="8" borderId="1" xfId="0" applyNumberFormat="1" applyFont="1" applyFill="1" applyBorder="1" applyAlignment="1">
      <alignment horizontal="center" vertical="center"/>
    </xf>
    <xf numFmtId="177" fontId="22" fillId="0" borderId="0" xfId="0" applyNumberFormat="1" applyFont="1" applyAlignment="1">
      <alignment horizontal="right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77" fontId="20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9">
    <cellStyle name="常规" xfId="0" builtinId="0"/>
    <cellStyle name="常规 10" xfId="2" xr:uid="{00000000-0005-0000-0000-000031000000}"/>
    <cellStyle name="常规 2" xfId="3" xr:uid="{00000000-0005-0000-0000-000032000000}"/>
    <cellStyle name="常规 3" xfId="4" xr:uid="{00000000-0005-0000-0000-000033000000}"/>
    <cellStyle name="常规 3 3" xfId="5" xr:uid="{00000000-0005-0000-0000-000034000000}"/>
    <cellStyle name="常规 4" xfId="6" xr:uid="{00000000-0005-0000-0000-000035000000}"/>
    <cellStyle name="常规 5" xfId="7" xr:uid="{00000000-0005-0000-0000-000036000000}"/>
    <cellStyle name="常规 6" xfId="8" xr:uid="{00000000-0005-0000-0000-000037000000}"/>
    <cellStyle name="千位分隔" xfId="1" builtinId="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1"/>
  <sheetViews>
    <sheetView zoomScaleNormal="100" workbookViewId="0">
      <pane xSplit="5" ySplit="2" topLeftCell="AU3" activePane="bottomRight" state="frozen"/>
      <selection pane="topRight"/>
      <selection pane="bottomLeft"/>
      <selection pane="bottomRight" activeCell="BD28" sqref="BD28"/>
    </sheetView>
  </sheetViews>
  <sheetFormatPr defaultColWidth="8.6640625" defaultRowHeight="16.2" x14ac:dyDescent="0.25"/>
  <cols>
    <col min="1" max="1" width="6" style="5" customWidth="1"/>
    <col min="2" max="2" width="7.6640625" style="5" customWidth="1"/>
    <col min="3" max="3" width="8.109375" style="5" customWidth="1"/>
    <col min="4" max="4" width="5.77734375" style="5" customWidth="1"/>
    <col min="5" max="5" width="18" style="5" customWidth="1"/>
    <col min="6" max="6" width="8.44140625" style="5" customWidth="1"/>
    <col min="7" max="7" width="8.109375" style="5" customWidth="1"/>
    <col min="8" max="8" width="6.44140625" style="5" customWidth="1"/>
    <col min="9" max="9" width="8" style="5" customWidth="1"/>
    <col min="10" max="10" width="13.88671875" style="5" customWidth="1"/>
    <col min="11" max="11" width="23.5546875" style="5" customWidth="1"/>
    <col min="12" max="12" width="7.6640625" style="5" customWidth="1"/>
    <col min="13" max="14" width="5.77734375" style="5" customWidth="1"/>
    <col min="15" max="15" width="4.5546875" style="5" customWidth="1"/>
    <col min="16" max="16" width="5.77734375" style="5" customWidth="1"/>
    <col min="17" max="17" width="8.109375" style="5" customWidth="1"/>
    <col min="18" max="18" width="5.77734375" style="5" customWidth="1"/>
    <col min="19" max="19" width="8.109375" style="5" customWidth="1"/>
    <col min="20" max="20" width="4.5546875" style="5" customWidth="1"/>
    <col min="21" max="21" width="5.77734375" style="5" customWidth="1"/>
    <col min="22" max="22" width="9.5546875" style="5" customWidth="1"/>
    <col min="23" max="23" width="5.77734375" style="5" customWidth="1"/>
    <col min="24" max="24" width="7.5546875" style="5" customWidth="1"/>
    <col min="25" max="25" width="5.77734375" style="5" customWidth="1"/>
    <col min="26" max="26" width="12.109375" style="5" customWidth="1"/>
    <col min="27" max="29" width="8.44140625" style="5" customWidth="1"/>
    <col min="30" max="30" width="8.6640625" style="5" customWidth="1"/>
    <col min="31" max="32" width="8.5546875" style="5" customWidth="1"/>
    <col min="33" max="33" width="12.109375" style="5" customWidth="1"/>
    <col min="34" max="34" width="9.33203125" style="5" customWidth="1"/>
    <col min="35" max="35" width="6.44140625" style="5" customWidth="1"/>
    <col min="36" max="36" width="6.77734375" style="5" customWidth="1"/>
    <col min="37" max="37" width="12" style="5" customWidth="1"/>
    <col min="38" max="38" width="6.88671875" style="5" customWidth="1"/>
    <col min="39" max="39" width="8.5546875" style="5" customWidth="1"/>
    <col min="40" max="40" width="6.88671875" style="5" customWidth="1"/>
    <col min="41" max="41" width="6.44140625" style="5" customWidth="1"/>
    <col min="42" max="42" width="8.44140625" style="5" customWidth="1"/>
    <col min="43" max="43" width="6.44140625" style="5" customWidth="1"/>
    <col min="44" max="44" width="6.5546875" style="5" customWidth="1"/>
    <col min="45" max="45" width="8.5546875" style="5" customWidth="1"/>
    <col min="46" max="46" width="13.6640625" style="5" customWidth="1"/>
    <col min="47" max="47" width="12.109375" style="5" customWidth="1"/>
    <col min="48" max="48" width="11" style="5" customWidth="1"/>
    <col min="49" max="49" width="13.77734375" style="5" customWidth="1"/>
    <col min="50" max="50" width="10.109375" style="5" customWidth="1"/>
    <col min="51" max="51" width="8.77734375" style="5" customWidth="1"/>
    <col min="52" max="52" width="26.77734375" style="5" customWidth="1"/>
    <col min="53" max="53" width="10.77734375" style="5" customWidth="1"/>
    <col min="54" max="54" width="15.77734375" style="5" customWidth="1"/>
    <col min="55" max="55" width="13.109375" style="5" customWidth="1"/>
    <col min="56" max="56" width="14.109375" style="5" customWidth="1"/>
    <col min="57" max="16384" width="8.6640625" style="5"/>
  </cols>
  <sheetData>
    <row r="1" spans="1:58" s="1" customFormat="1" ht="26.1" customHeight="1" x14ac:dyDescent="0.3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5" t="s">
        <v>9</v>
      </c>
      <c r="K1" s="6" t="s">
        <v>10</v>
      </c>
      <c r="L1" s="6" t="s">
        <v>11</v>
      </c>
      <c r="M1" s="96" t="s">
        <v>12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8"/>
      <c r="Z1" s="20" t="s">
        <v>13</v>
      </c>
      <c r="AA1" s="15" t="s">
        <v>14</v>
      </c>
      <c r="AB1" s="15" t="s">
        <v>15</v>
      </c>
      <c r="AC1" s="15" t="s">
        <v>16</v>
      </c>
      <c r="AD1" s="15" t="s">
        <v>17</v>
      </c>
      <c r="AE1" s="15" t="s">
        <v>18</v>
      </c>
      <c r="AF1" s="15" t="s">
        <v>19</v>
      </c>
      <c r="AG1" s="20" t="s">
        <v>20</v>
      </c>
      <c r="AH1" s="15" t="s">
        <v>21</v>
      </c>
      <c r="AI1" s="15" t="s">
        <v>22</v>
      </c>
      <c r="AJ1" s="15" t="s">
        <v>23</v>
      </c>
      <c r="AK1" s="20" t="s">
        <v>24</v>
      </c>
      <c r="AL1" s="15" t="s">
        <v>25</v>
      </c>
      <c r="AM1" s="15" t="s">
        <v>26</v>
      </c>
      <c r="AN1" s="15" t="s">
        <v>27</v>
      </c>
      <c r="AO1" s="15" t="s">
        <v>28</v>
      </c>
      <c r="AP1" s="15" t="s">
        <v>29</v>
      </c>
      <c r="AQ1" s="15" t="s">
        <v>30</v>
      </c>
      <c r="AR1" s="15" t="s">
        <v>31</v>
      </c>
      <c r="AS1" s="15" t="s">
        <v>32</v>
      </c>
      <c r="AT1" s="15" t="s">
        <v>33</v>
      </c>
      <c r="AU1" s="20" t="s">
        <v>34</v>
      </c>
      <c r="AV1" s="20" t="s">
        <v>35</v>
      </c>
      <c r="AW1" s="26" t="s">
        <v>36</v>
      </c>
      <c r="AX1" s="41" t="s">
        <v>104</v>
      </c>
      <c r="AY1" s="37" t="s">
        <v>105</v>
      </c>
      <c r="AZ1" s="27" t="s">
        <v>37</v>
      </c>
      <c r="BA1" s="26" t="s">
        <v>38</v>
      </c>
      <c r="BB1" s="32" t="s">
        <v>39</v>
      </c>
      <c r="BC1" s="26" t="s">
        <v>40</v>
      </c>
      <c r="BD1" s="26" t="s">
        <v>41</v>
      </c>
    </row>
    <row r="2" spans="1:58" s="2" customFormat="1" ht="40.799999999999997" x14ac:dyDescent="0.25">
      <c r="A2" s="9" t="s">
        <v>42</v>
      </c>
      <c r="B2" s="10" t="s">
        <v>43</v>
      </c>
      <c r="C2" s="9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9" t="s">
        <v>49</v>
      </c>
      <c r="I2" s="9" t="s">
        <v>50</v>
      </c>
      <c r="J2" s="16" t="s">
        <v>51</v>
      </c>
      <c r="K2" s="9" t="s">
        <v>52</v>
      </c>
      <c r="L2" s="9" t="s">
        <v>53</v>
      </c>
      <c r="M2" s="9" t="s">
        <v>54</v>
      </c>
      <c r="N2" s="9" t="s">
        <v>55</v>
      </c>
      <c r="O2" s="9" t="s">
        <v>56</v>
      </c>
      <c r="P2" s="9" t="s">
        <v>57</v>
      </c>
      <c r="Q2" s="9" t="s">
        <v>58</v>
      </c>
      <c r="R2" s="9" t="s">
        <v>59</v>
      </c>
      <c r="S2" s="9" t="s">
        <v>60</v>
      </c>
      <c r="T2" s="9" t="s">
        <v>61</v>
      </c>
      <c r="U2" s="9" t="s">
        <v>62</v>
      </c>
      <c r="V2" s="9" t="s">
        <v>63</v>
      </c>
      <c r="W2" s="9" t="s">
        <v>64</v>
      </c>
      <c r="X2" s="9" t="s">
        <v>65</v>
      </c>
      <c r="Y2" s="9" t="s">
        <v>66</v>
      </c>
      <c r="Z2" s="21" t="s">
        <v>67</v>
      </c>
      <c r="AA2" s="16" t="s">
        <v>68</v>
      </c>
      <c r="AB2" s="16" t="s">
        <v>69</v>
      </c>
      <c r="AC2" s="16" t="s">
        <v>70</v>
      </c>
      <c r="AD2" s="16" t="s">
        <v>71</v>
      </c>
      <c r="AE2" s="16" t="s">
        <v>72</v>
      </c>
      <c r="AF2" s="16" t="s">
        <v>73</v>
      </c>
      <c r="AG2" s="21" t="s">
        <v>74</v>
      </c>
      <c r="AH2" s="16" t="s">
        <v>75</v>
      </c>
      <c r="AI2" s="16" t="s">
        <v>76</v>
      </c>
      <c r="AJ2" s="16" t="s">
        <v>77</v>
      </c>
      <c r="AK2" s="21" t="s">
        <v>78</v>
      </c>
      <c r="AL2" s="16" t="s">
        <v>68</v>
      </c>
      <c r="AM2" s="16" t="s">
        <v>72</v>
      </c>
      <c r="AN2" s="16" t="s">
        <v>79</v>
      </c>
      <c r="AO2" s="16" t="s">
        <v>80</v>
      </c>
      <c r="AP2" s="16" t="s">
        <v>81</v>
      </c>
      <c r="AQ2" s="16" t="s">
        <v>82</v>
      </c>
      <c r="AR2" s="16" t="s">
        <v>83</v>
      </c>
      <c r="AS2" s="16" t="s">
        <v>84</v>
      </c>
      <c r="AT2" s="16" t="s">
        <v>85</v>
      </c>
      <c r="AU2" s="21" t="s">
        <v>86</v>
      </c>
      <c r="AV2" s="21" t="s">
        <v>87</v>
      </c>
      <c r="AW2" s="21" t="s">
        <v>88</v>
      </c>
      <c r="AX2" s="28"/>
      <c r="AY2" s="28"/>
      <c r="AZ2" s="29" t="s">
        <v>89</v>
      </c>
      <c r="BA2" s="26" t="s">
        <v>90</v>
      </c>
      <c r="BB2" s="32" t="s">
        <v>91</v>
      </c>
      <c r="BC2" s="26" t="s">
        <v>92</v>
      </c>
      <c r="BD2" s="26" t="s">
        <v>93</v>
      </c>
    </row>
    <row r="3" spans="1:58" s="3" customFormat="1" ht="15" customHeight="1" x14ac:dyDescent="0.25">
      <c r="A3" s="11">
        <f t="shared" ref="A3:A4" si="0">ROW()-2</f>
        <v>1</v>
      </c>
      <c r="B3" s="12">
        <v>2501</v>
      </c>
      <c r="C3" s="12" t="s">
        <v>94</v>
      </c>
      <c r="D3" s="11" t="s">
        <v>95</v>
      </c>
      <c r="E3" s="13" t="s">
        <v>96</v>
      </c>
      <c r="F3" s="14">
        <v>45444</v>
      </c>
      <c r="G3" s="14">
        <v>45808</v>
      </c>
      <c r="H3" s="11"/>
      <c r="I3" s="17" t="s">
        <v>97</v>
      </c>
      <c r="J3" s="18">
        <v>950</v>
      </c>
      <c r="K3" s="18"/>
      <c r="L3" s="18">
        <v>1694.7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>
        <v>1281.6199999999999</v>
      </c>
      <c r="Y3" s="18"/>
      <c r="Z3" s="22">
        <f>SUM(J3:Y3)</f>
        <v>3926.3199999999997</v>
      </c>
      <c r="AA3" s="23">
        <v>7384</v>
      </c>
      <c r="AB3" s="23">
        <v>590.72</v>
      </c>
      <c r="AC3" s="23">
        <v>147.68</v>
      </c>
      <c r="AD3" s="23">
        <v>36.92</v>
      </c>
      <c r="AE3" s="23">
        <v>6520</v>
      </c>
      <c r="AF3" s="23">
        <f t="shared" ref="AF3:AF4" si="1">ROUND(AE3*7%,0)</f>
        <v>456</v>
      </c>
      <c r="AG3" s="22">
        <f t="shared" ref="AG3:AG4" si="2">AB3+AC3+AD3+AF3</f>
        <v>1231.3200000000002</v>
      </c>
      <c r="AH3" s="24"/>
      <c r="AI3" s="25"/>
      <c r="AJ3" s="25"/>
      <c r="AK3" s="22">
        <f t="shared" ref="AK3:AK4" si="3">Z3-AG3-AH3</f>
        <v>2694.9999999999995</v>
      </c>
      <c r="AL3" s="23">
        <v>7384</v>
      </c>
      <c r="AM3" s="23">
        <v>6520</v>
      </c>
      <c r="AN3" s="23">
        <f t="shared" ref="AN3" si="4">ROUND(AL3*16%,2)</f>
        <v>1181.44</v>
      </c>
      <c r="AO3" s="23">
        <f>ROUND(AL3*9%,2)</f>
        <v>664.56</v>
      </c>
      <c r="AP3" s="23">
        <f t="shared" ref="AP3" si="5">ROUND(AL3*0.5%,2)</f>
        <v>36.92</v>
      </c>
      <c r="AQ3" s="23">
        <v>14.77</v>
      </c>
      <c r="AR3" s="23"/>
      <c r="AS3" s="23">
        <f>ROUND(AM3*7%,0)</f>
        <v>456</v>
      </c>
      <c r="AT3" s="23">
        <f>ROUND(IF(AL3&lt;22792,AL3*1.5%,22792*1.5%),2)</f>
        <v>110.76</v>
      </c>
      <c r="AU3" s="22">
        <f>SUM(AN3:AT3)</f>
        <v>2464.4500000000003</v>
      </c>
      <c r="AV3" s="22">
        <v>78</v>
      </c>
      <c r="AW3" s="22">
        <f>AU3+Z3+AI3-AJ3+AV3</f>
        <v>6468.77</v>
      </c>
      <c r="AX3" s="30">
        <v>-5</v>
      </c>
      <c r="AY3" s="28">
        <v>4.13</v>
      </c>
      <c r="AZ3" s="38" t="s">
        <v>106</v>
      </c>
      <c r="BA3" s="22">
        <v>60</v>
      </c>
      <c r="BB3" s="33">
        <f>ROUND(AW3+BA3++AY3+AX3,2)</f>
        <v>6527.9</v>
      </c>
      <c r="BC3" s="22">
        <f t="shared" ref="BC3" si="6">ROUND(BB3*6%,2)</f>
        <v>391.67</v>
      </c>
      <c r="BD3" s="22">
        <f t="shared" ref="BD3" si="7">ROUND(SUM(BB3:BC3),2)</f>
        <v>6919.57</v>
      </c>
      <c r="BE3" s="34"/>
      <c r="BF3" s="34"/>
    </row>
    <row r="4" spans="1:58" s="3" customFormat="1" ht="15" customHeight="1" x14ac:dyDescent="0.25">
      <c r="A4" s="11">
        <f t="shared" si="0"/>
        <v>2</v>
      </c>
      <c r="B4" s="12">
        <v>2501</v>
      </c>
      <c r="C4" s="12" t="s">
        <v>98</v>
      </c>
      <c r="D4" s="11" t="s">
        <v>99</v>
      </c>
      <c r="E4" s="13" t="s">
        <v>100</v>
      </c>
      <c r="F4" s="14">
        <v>45383</v>
      </c>
      <c r="G4" s="14">
        <v>45747</v>
      </c>
      <c r="H4" s="11"/>
      <c r="I4" s="17" t="s">
        <v>97</v>
      </c>
      <c r="J4" s="18">
        <v>950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>
        <v>2986.32</v>
      </c>
      <c r="Y4" s="18"/>
      <c r="Z4" s="22">
        <f>SUM(J4:Y4)</f>
        <v>3936.32</v>
      </c>
      <c r="AA4" s="23">
        <v>7384</v>
      </c>
      <c r="AB4" s="23">
        <v>590.72</v>
      </c>
      <c r="AC4" s="23">
        <v>147.68</v>
      </c>
      <c r="AD4" s="23">
        <v>36.92</v>
      </c>
      <c r="AE4" s="23">
        <v>6653</v>
      </c>
      <c r="AF4" s="23">
        <f t="shared" si="1"/>
        <v>466</v>
      </c>
      <c r="AG4" s="22">
        <f t="shared" si="2"/>
        <v>1241.3200000000002</v>
      </c>
      <c r="AH4" s="24"/>
      <c r="AI4" s="25"/>
      <c r="AJ4" s="25"/>
      <c r="AK4" s="22">
        <f t="shared" si="3"/>
        <v>2695</v>
      </c>
      <c r="AL4" s="23">
        <v>7384</v>
      </c>
      <c r="AM4" s="23">
        <v>6653</v>
      </c>
      <c r="AN4" s="23">
        <f t="shared" ref="AN4" si="8">ROUND(AL4*16%,2)</f>
        <v>1181.44</v>
      </c>
      <c r="AO4" s="23">
        <f>ROUND(AL4*9%,2)</f>
        <v>664.56</v>
      </c>
      <c r="AP4" s="23">
        <f t="shared" ref="AP4" si="9">ROUND(AL4*0.5%,2)</f>
        <v>36.92</v>
      </c>
      <c r="AQ4" s="23">
        <v>14.77</v>
      </c>
      <c r="AR4" s="23"/>
      <c r="AS4" s="23">
        <f>ROUND(AM4*7%,0)</f>
        <v>466</v>
      </c>
      <c r="AT4" s="23">
        <f>ROUND(IF(AL4&lt;22792,AL4*1.5%,22792*1.5%),2)</f>
        <v>110.76</v>
      </c>
      <c r="AU4" s="22">
        <f>SUM(AN4:AT4)</f>
        <v>2474.4500000000003</v>
      </c>
      <c r="AV4" s="22">
        <v>79</v>
      </c>
      <c r="AW4" s="22">
        <f>AU4+Z4+AI4-AJ4+AV4</f>
        <v>6489.77</v>
      </c>
      <c r="AX4" s="30">
        <v>-5</v>
      </c>
      <c r="AY4" s="28">
        <v>4.129999999999999</v>
      </c>
      <c r="AZ4" s="38" t="s">
        <v>106</v>
      </c>
      <c r="BA4" s="22">
        <v>60</v>
      </c>
      <c r="BB4" s="33">
        <f>ROUND(AW4+BA4++AY4+AX4,2)</f>
        <v>6548.9</v>
      </c>
      <c r="BC4" s="22">
        <f t="shared" ref="BC4" si="10">ROUND(BB4*6%,2)</f>
        <v>392.93</v>
      </c>
      <c r="BD4" s="22">
        <f t="shared" ref="BD4" si="11">ROUND(SUM(BB4:BC4),2)</f>
        <v>6941.83</v>
      </c>
      <c r="BE4" s="34"/>
      <c r="BF4" s="34"/>
    </row>
    <row r="6" spans="1:58" s="4" customFormat="1" x14ac:dyDescent="0.25">
      <c r="A6" s="4" t="s">
        <v>101</v>
      </c>
      <c r="Z6" s="4">
        <f>SUBTOTAL(9,Z3:Z4)</f>
        <v>7862.6399999999994</v>
      </c>
      <c r="AG6" s="4">
        <f>SUBTOTAL(9,AG3:AG4)</f>
        <v>2472.6400000000003</v>
      </c>
      <c r="AK6" s="4">
        <f>SUBTOTAL(9,AK3:AK4)</f>
        <v>5390</v>
      </c>
      <c r="AU6" s="4">
        <f>SUBTOTAL(9,AU3:AU4)</f>
        <v>4938.9000000000005</v>
      </c>
      <c r="AV6" s="4">
        <f>SUM(AV3:AV4)</f>
        <v>157</v>
      </c>
      <c r="AW6" s="4">
        <f>SUBTOTAL(9,AW3:AW4)</f>
        <v>12958.54</v>
      </c>
      <c r="AX6" s="4">
        <f>SUBTOTAL(9,AX3:AX4)</f>
        <v>-10</v>
      </c>
      <c r="AY6" s="4">
        <f>SUBTOTAL(9,AY3:AY4)</f>
        <v>8.259999999999998</v>
      </c>
      <c r="BA6" s="4">
        <f>SUBTOTAL(9,BA3:BA4)</f>
        <v>120</v>
      </c>
      <c r="BB6" s="35">
        <f>SUBTOTAL(9,BB3:BB4)</f>
        <v>13076.8</v>
      </c>
      <c r="BC6" s="4">
        <f>SUBTOTAL(9,BC3:BC4)</f>
        <v>784.6</v>
      </c>
      <c r="BD6" s="4">
        <f>SUBTOTAL(9,BD3:BD4)</f>
        <v>13861.4</v>
      </c>
    </row>
    <row r="7" spans="1:58" x14ac:dyDescent="0.25">
      <c r="AX7" s="19"/>
      <c r="AY7" s="19"/>
    </row>
    <row r="8" spans="1:58" hidden="1" x14ac:dyDescent="0.25">
      <c r="BA8" s="31" t="s">
        <v>102</v>
      </c>
      <c r="BB8" s="31">
        <v>303434.71999999997</v>
      </c>
    </row>
    <row r="9" spans="1:58" hidden="1" x14ac:dyDescent="0.25">
      <c r="BA9" s="31" t="s">
        <v>103</v>
      </c>
      <c r="BB9" s="31">
        <v>111.61</v>
      </c>
    </row>
    <row r="10" spans="1:58" s="1" customFormat="1" ht="25.8" x14ac:dyDescent="0.3">
      <c r="A10" s="39" t="s">
        <v>107</v>
      </c>
      <c r="B10" s="5"/>
      <c r="C10" s="5"/>
      <c r="D10" s="5"/>
      <c r="E10" s="5"/>
      <c r="F10" s="5"/>
      <c r="G10" s="5"/>
      <c r="H10" s="5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5"/>
      <c r="Z10" s="19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 spans="1:58" s="2" customFormat="1" ht="24" x14ac:dyDescent="0.25">
      <c r="A11" s="6" t="s">
        <v>0</v>
      </c>
      <c r="B11" s="7" t="s">
        <v>1</v>
      </c>
      <c r="C11" s="36" t="s">
        <v>2</v>
      </c>
      <c r="D11" s="36" t="s">
        <v>3</v>
      </c>
      <c r="E11" s="3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41" t="s">
        <v>108</v>
      </c>
      <c r="K11" s="27" t="s">
        <v>37</v>
      </c>
    </row>
    <row r="12" spans="1:58" ht="30.6" x14ac:dyDescent="0.25">
      <c r="A12" s="9" t="s">
        <v>42</v>
      </c>
      <c r="B12" s="10" t="s">
        <v>43</v>
      </c>
      <c r="C12" s="9" t="s">
        <v>44</v>
      </c>
      <c r="D12" s="9" t="s">
        <v>45</v>
      </c>
      <c r="E12" s="9" t="s">
        <v>46</v>
      </c>
      <c r="F12" s="9" t="s">
        <v>47</v>
      </c>
      <c r="G12" s="9" t="s">
        <v>48</v>
      </c>
      <c r="H12" s="9" t="s">
        <v>49</v>
      </c>
      <c r="I12" s="9" t="s">
        <v>50</v>
      </c>
      <c r="J12" s="41"/>
      <c r="K12" s="29" t="s">
        <v>89</v>
      </c>
    </row>
    <row r="13" spans="1:58" s="3" customFormat="1" ht="15" customHeight="1" x14ac:dyDescent="0.25">
      <c r="A13" s="11">
        <v>1</v>
      </c>
      <c r="B13" s="12">
        <v>2501</v>
      </c>
      <c r="C13" s="12" t="s">
        <v>94</v>
      </c>
      <c r="D13" s="11" t="s">
        <v>95</v>
      </c>
      <c r="E13" s="13" t="s">
        <v>96</v>
      </c>
      <c r="F13" s="14">
        <v>45444</v>
      </c>
      <c r="G13" s="14">
        <v>45808</v>
      </c>
      <c r="H13" s="11"/>
      <c r="I13" s="17" t="s">
        <v>97</v>
      </c>
      <c r="J13" s="30">
        <v>5</v>
      </c>
      <c r="K13" s="38" t="s">
        <v>109</v>
      </c>
      <c r="L13" s="34"/>
      <c r="M13" s="34"/>
    </row>
    <row r="14" spans="1:58" s="3" customFormat="1" ht="15" customHeight="1" x14ac:dyDescent="0.25">
      <c r="A14" s="11">
        <v>2</v>
      </c>
      <c r="B14" s="12">
        <v>2501</v>
      </c>
      <c r="C14" s="12" t="s">
        <v>98</v>
      </c>
      <c r="D14" s="11" t="s">
        <v>99</v>
      </c>
      <c r="E14" s="13" t="s">
        <v>100</v>
      </c>
      <c r="F14" s="14">
        <v>45383</v>
      </c>
      <c r="G14" s="14">
        <v>45747</v>
      </c>
      <c r="H14" s="11"/>
      <c r="I14" s="17" t="s">
        <v>97</v>
      </c>
      <c r="J14" s="30">
        <v>5</v>
      </c>
      <c r="K14" s="38" t="s">
        <v>109</v>
      </c>
      <c r="L14" s="34"/>
      <c r="M14" s="34"/>
    </row>
    <row r="15" spans="1:58" x14ac:dyDescent="0.25">
      <c r="J15" s="19">
        <f>SUM(J13:J14)</f>
        <v>10</v>
      </c>
    </row>
    <row r="16" spans="1:58" s="1" customFormat="1" ht="25.8" x14ac:dyDescent="0.3">
      <c r="A16" s="39" t="s">
        <v>107</v>
      </c>
      <c r="B16" s="5"/>
      <c r="C16" s="5"/>
      <c r="D16" s="5"/>
      <c r="E16" s="5"/>
      <c r="F16" s="5"/>
      <c r="G16" s="5"/>
      <c r="H16" s="5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5"/>
      <c r="Z16" s="1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 spans="1:13" s="2" customFormat="1" ht="24" x14ac:dyDescent="0.25">
      <c r="A17" s="6" t="s">
        <v>0</v>
      </c>
      <c r="B17" s="7" t="s">
        <v>1</v>
      </c>
      <c r="C17" s="36" t="s">
        <v>2</v>
      </c>
      <c r="D17" s="36" t="s">
        <v>3</v>
      </c>
      <c r="E17" s="36" t="s">
        <v>4</v>
      </c>
      <c r="F17" s="6" t="s">
        <v>5</v>
      </c>
      <c r="G17" s="6" t="s">
        <v>6</v>
      </c>
      <c r="H17" s="6" t="s">
        <v>7</v>
      </c>
      <c r="I17" s="6" t="s">
        <v>8</v>
      </c>
      <c r="J17" s="41" t="s">
        <v>108</v>
      </c>
      <c r="K17" s="27" t="s">
        <v>37</v>
      </c>
    </row>
    <row r="18" spans="1:13" ht="30.6" x14ac:dyDescent="0.25">
      <c r="A18" s="9" t="s">
        <v>42</v>
      </c>
      <c r="B18" s="10" t="s">
        <v>43</v>
      </c>
      <c r="C18" s="9" t="s">
        <v>44</v>
      </c>
      <c r="D18" s="9" t="s">
        <v>45</v>
      </c>
      <c r="E18" s="9" t="s">
        <v>46</v>
      </c>
      <c r="F18" s="9" t="s">
        <v>47</v>
      </c>
      <c r="G18" s="9" t="s">
        <v>48</v>
      </c>
      <c r="H18" s="9" t="s">
        <v>49</v>
      </c>
      <c r="I18" s="9" t="s">
        <v>50</v>
      </c>
      <c r="J18" s="41"/>
      <c r="K18" s="29" t="s">
        <v>89</v>
      </c>
    </row>
    <row r="19" spans="1:13" s="3" customFormat="1" ht="15" customHeight="1" x14ac:dyDescent="0.25">
      <c r="A19" s="11">
        <v>1</v>
      </c>
      <c r="B19" s="12">
        <v>2501</v>
      </c>
      <c r="C19" s="12" t="s">
        <v>94</v>
      </c>
      <c r="D19" s="11" t="s">
        <v>95</v>
      </c>
      <c r="E19" s="13" t="s">
        <v>96</v>
      </c>
      <c r="F19" s="14">
        <v>45444</v>
      </c>
      <c r="G19" s="14">
        <v>45808</v>
      </c>
      <c r="H19" s="11"/>
      <c r="I19" s="17" t="s">
        <v>97</v>
      </c>
      <c r="J19" s="30">
        <v>-4.13</v>
      </c>
      <c r="K19" s="38" t="s">
        <v>110</v>
      </c>
      <c r="L19" s="34"/>
      <c r="M19" s="34"/>
    </row>
    <row r="20" spans="1:13" s="3" customFormat="1" ht="15" customHeight="1" x14ac:dyDescent="0.25">
      <c r="A20" s="11">
        <v>2</v>
      </c>
      <c r="B20" s="12">
        <v>2501</v>
      </c>
      <c r="C20" s="12" t="s">
        <v>98</v>
      </c>
      <c r="D20" s="11" t="s">
        <v>99</v>
      </c>
      <c r="E20" s="13" t="s">
        <v>100</v>
      </c>
      <c r="F20" s="14">
        <v>45383</v>
      </c>
      <c r="G20" s="14">
        <v>45747</v>
      </c>
      <c r="H20" s="11"/>
      <c r="I20" s="17" t="s">
        <v>97</v>
      </c>
      <c r="J20" s="30">
        <v>-4.13</v>
      </c>
      <c r="K20" s="38" t="s">
        <v>110</v>
      </c>
      <c r="L20" s="34"/>
      <c r="M20" s="34"/>
    </row>
    <row r="21" spans="1:13" x14ac:dyDescent="0.25">
      <c r="J21" s="19">
        <f>SUM(J19:J20)</f>
        <v>-8.26</v>
      </c>
    </row>
  </sheetData>
  <mergeCells count="1">
    <mergeCell ref="M1:Y1"/>
  </mergeCells>
  <phoneticPr fontId="9" type="noConversion"/>
  <conditionalFormatting sqref="C1">
    <cfRule type="duplicateValues" dxfId="44" priority="141"/>
    <cfRule type="duplicateValues" dxfId="43" priority="142"/>
    <cfRule type="duplicateValues" dxfId="42" priority="143"/>
    <cfRule type="duplicateValues" dxfId="41" priority="144"/>
    <cfRule type="duplicateValues" dxfId="40" priority="145"/>
    <cfRule type="duplicateValues" dxfId="39" priority="146"/>
  </conditionalFormatting>
  <conditionalFormatting sqref="D1">
    <cfRule type="duplicateValues" dxfId="38" priority="175"/>
    <cfRule type="duplicateValues" dxfId="37" priority="177"/>
    <cfRule type="duplicateValues" dxfId="36" priority="178"/>
  </conditionalFormatting>
  <conditionalFormatting sqref="C2">
    <cfRule type="duplicateValues" dxfId="35" priority="138"/>
    <cfRule type="duplicateValues" dxfId="34" priority="139"/>
    <cfRule type="duplicateValues" dxfId="33" priority="140"/>
  </conditionalFormatting>
  <conditionalFormatting sqref="D2">
    <cfRule type="duplicateValues" dxfId="32" priority="181"/>
    <cfRule type="duplicateValues" dxfId="31" priority="182"/>
    <cfRule type="duplicateValues" dxfId="30" priority="183"/>
  </conditionalFormatting>
  <conditionalFormatting sqref="E11">
    <cfRule type="duplicateValues" dxfId="29" priority="27"/>
  </conditionalFormatting>
  <conditionalFormatting sqref="E11">
    <cfRule type="duplicateValues" dxfId="28" priority="28"/>
    <cfRule type="duplicateValues" dxfId="27" priority="29"/>
  </conditionalFormatting>
  <conditionalFormatting sqref="C11">
    <cfRule type="duplicateValues" dxfId="26" priority="21"/>
  </conditionalFormatting>
  <conditionalFormatting sqref="C11">
    <cfRule type="duplicateValues" dxfId="25" priority="22"/>
  </conditionalFormatting>
  <conditionalFormatting sqref="C11">
    <cfRule type="duplicateValues" dxfId="24" priority="23"/>
    <cfRule type="duplicateValues" dxfId="23" priority="24"/>
  </conditionalFormatting>
  <conditionalFormatting sqref="C11">
    <cfRule type="duplicateValues" dxfId="22" priority="25"/>
    <cfRule type="duplicateValues" dxfId="21" priority="26"/>
  </conditionalFormatting>
  <conditionalFormatting sqref="C12">
    <cfRule type="duplicateValues" dxfId="20" priority="18"/>
    <cfRule type="duplicateValues" dxfId="19" priority="19"/>
  </conditionalFormatting>
  <conditionalFormatting sqref="C12">
    <cfRule type="duplicateValues" dxfId="18" priority="20"/>
  </conditionalFormatting>
  <conditionalFormatting sqref="E12">
    <cfRule type="duplicateValues" dxfId="17" priority="30"/>
    <cfRule type="duplicateValues" dxfId="16" priority="31"/>
  </conditionalFormatting>
  <conditionalFormatting sqref="E12">
    <cfRule type="duplicateValues" dxfId="15" priority="32"/>
  </conditionalFormatting>
  <conditionalFormatting sqref="E17">
    <cfRule type="duplicateValues" dxfId="14" priority="10"/>
  </conditionalFormatting>
  <conditionalFormatting sqref="E17">
    <cfRule type="duplicateValues" dxfId="13" priority="11"/>
    <cfRule type="duplicateValues" dxfId="12" priority="12"/>
  </conditionalFormatting>
  <conditionalFormatting sqref="C17">
    <cfRule type="duplicateValues" dxfId="11" priority="4"/>
  </conditionalFormatting>
  <conditionalFormatting sqref="C17">
    <cfRule type="duplicateValues" dxfId="10" priority="5"/>
  </conditionalFormatting>
  <conditionalFormatting sqref="C17">
    <cfRule type="duplicateValues" dxfId="9" priority="6"/>
    <cfRule type="duplicateValues" dxfId="8" priority="7"/>
  </conditionalFormatting>
  <conditionalFormatting sqref="C17">
    <cfRule type="duplicateValues" dxfId="7" priority="8"/>
    <cfRule type="duplicateValues" dxfId="6" priority="9"/>
  </conditionalFormatting>
  <conditionalFormatting sqref="C18">
    <cfRule type="duplicateValues" dxfId="5" priority="1"/>
    <cfRule type="duplicateValues" dxfId="4" priority="2"/>
  </conditionalFormatting>
  <conditionalFormatting sqref="C18">
    <cfRule type="duplicateValues" dxfId="3" priority="3"/>
  </conditionalFormatting>
  <conditionalFormatting sqref="E18">
    <cfRule type="duplicateValues" dxfId="2" priority="13"/>
    <cfRule type="duplicateValues" dxfId="1" priority="14"/>
  </conditionalFormatting>
  <conditionalFormatting sqref="E18">
    <cfRule type="duplicateValues" dxfId="0" priority="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66E3-B0B9-4868-8680-DCCF9E45146E}">
  <dimension ref="A1:J19"/>
  <sheetViews>
    <sheetView workbookViewId="0">
      <selection activeCell="I17" sqref="I17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</cols>
  <sheetData>
    <row r="1" spans="1:10" x14ac:dyDescent="0.25">
      <c r="A1" s="84" t="s">
        <v>213</v>
      </c>
      <c r="B1" s="85" t="s">
        <v>214</v>
      </c>
      <c r="C1" s="85" t="s">
        <v>215</v>
      </c>
      <c r="D1" s="85">
        <v>155</v>
      </c>
      <c r="E1" s="85" t="s">
        <v>251</v>
      </c>
      <c r="F1" s="85" t="s">
        <v>229</v>
      </c>
      <c r="G1" s="85" t="s">
        <v>230</v>
      </c>
      <c r="H1" s="85" t="s">
        <v>231</v>
      </c>
      <c r="I1" s="85" t="s">
        <v>101</v>
      </c>
      <c r="J1" s="86" t="s">
        <v>216</v>
      </c>
    </row>
    <row r="2" spans="1:10" x14ac:dyDescent="0.25">
      <c r="A2" s="84" t="s">
        <v>122</v>
      </c>
      <c r="B2" s="85">
        <f>'202501'!BC6</f>
        <v>784.6</v>
      </c>
      <c r="C2" s="85">
        <f>系统!E18</f>
        <v>894.7</v>
      </c>
      <c r="D2" s="85"/>
      <c r="E2" s="85"/>
      <c r="F2" s="85"/>
      <c r="G2" s="85"/>
      <c r="H2" s="85"/>
      <c r="I2" s="85">
        <f>SUM(C2:G2)</f>
        <v>894.7</v>
      </c>
      <c r="J2" s="87">
        <f t="shared" ref="J2:J10" si="0">B2-C2</f>
        <v>-110.10000000000002</v>
      </c>
    </row>
    <row r="3" spans="1:10" x14ac:dyDescent="0.25">
      <c r="A3" s="84" t="s">
        <v>217</v>
      </c>
      <c r="B3" s="85">
        <f>'202501'!BA6</f>
        <v>120</v>
      </c>
      <c r="C3" s="85">
        <v>0</v>
      </c>
      <c r="D3" s="85"/>
      <c r="E3" s="85"/>
      <c r="F3" s="85"/>
      <c r="G3" s="85"/>
      <c r="H3" s="85"/>
      <c r="I3" s="85">
        <f>SUM(C3:G3)</f>
        <v>0</v>
      </c>
      <c r="J3" s="87">
        <f t="shared" si="0"/>
        <v>120</v>
      </c>
    </row>
    <row r="4" spans="1:10" x14ac:dyDescent="0.25">
      <c r="A4" s="84" t="s">
        <v>218</v>
      </c>
      <c r="B4" s="85">
        <f>'202501'!AG6</f>
        <v>2472.6400000000003</v>
      </c>
      <c r="C4" s="85">
        <f>系统!V18</f>
        <v>2472.6400000000003</v>
      </c>
      <c r="D4" s="85"/>
      <c r="E4" s="85"/>
      <c r="F4" s="85"/>
      <c r="G4" s="85"/>
      <c r="H4" s="85"/>
      <c r="I4" s="85">
        <f>SUM(C4:G4)</f>
        <v>2472.6400000000003</v>
      </c>
      <c r="J4" s="87">
        <f t="shared" si="0"/>
        <v>0</v>
      </c>
    </row>
    <row r="5" spans="1:10" x14ac:dyDescent="0.25">
      <c r="A5" s="84" t="s">
        <v>219</v>
      </c>
      <c r="B5" s="85">
        <f>'202501'!AU6</f>
        <v>4938.9000000000005</v>
      </c>
      <c r="C5" s="85">
        <f>系统!O18</f>
        <v>4938.8999999999996</v>
      </c>
      <c r="D5" s="85"/>
      <c r="E5" s="88">
        <f>90.18</f>
        <v>90.18</v>
      </c>
      <c r="F5" s="85"/>
      <c r="G5" s="85"/>
      <c r="H5" s="85"/>
      <c r="I5" s="85">
        <f>SUM(C5:E5)</f>
        <v>5029.08</v>
      </c>
      <c r="J5" s="87">
        <f t="shared" si="0"/>
        <v>0</v>
      </c>
    </row>
    <row r="6" spans="1:10" x14ac:dyDescent="0.25">
      <c r="A6" s="84" t="s">
        <v>250</v>
      </c>
      <c r="B6" s="85"/>
      <c r="C6" s="85">
        <f>-90.18</f>
        <v>-90.18</v>
      </c>
      <c r="D6" s="85"/>
      <c r="E6" s="85"/>
      <c r="F6" s="85"/>
      <c r="G6" s="85"/>
      <c r="H6" s="85"/>
      <c r="I6" s="85">
        <f t="shared" ref="I6:I10" si="1">SUM(C6:G6)</f>
        <v>-90.18</v>
      </c>
      <c r="J6" s="87">
        <f t="shared" si="0"/>
        <v>90.18</v>
      </c>
    </row>
    <row r="7" spans="1:10" x14ac:dyDescent="0.25">
      <c r="A7" s="84" t="s">
        <v>220</v>
      </c>
      <c r="B7" s="85">
        <f>'202501'!AK6</f>
        <v>5390</v>
      </c>
      <c r="C7" s="85">
        <f>系统!W18</f>
        <v>5380</v>
      </c>
      <c r="D7" s="85">
        <f>2*5+8.26-10</f>
        <v>8.259999999999998</v>
      </c>
      <c r="E7" s="85"/>
      <c r="F7" s="85"/>
      <c r="G7" s="85"/>
      <c r="H7" s="85"/>
      <c r="I7" s="85">
        <f t="shared" si="1"/>
        <v>5388.26</v>
      </c>
      <c r="J7" s="87">
        <f t="shared" si="0"/>
        <v>10</v>
      </c>
    </row>
    <row r="8" spans="1:10" x14ac:dyDescent="0.25">
      <c r="A8" s="84" t="s">
        <v>227</v>
      </c>
      <c r="B8" s="85">
        <f>'202501'!AX6</f>
        <v>-10</v>
      </c>
      <c r="C8" s="85"/>
      <c r="D8" s="85"/>
      <c r="E8" s="89"/>
      <c r="F8" s="89"/>
      <c r="G8" s="90"/>
      <c r="H8" s="90"/>
      <c r="I8" s="85">
        <f t="shared" si="1"/>
        <v>0</v>
      </c>
      <c r="J8" s="87">
        <f t="shared" si="0"/>
        <v>-10</v>
      </c>
    </row>
    <row r="9" spans="1:10" x14ac:dyDescent="0.25">
      <c r="A9" s="84" t="s">
        <v>226</v>
      </c>
      <c r="B9" s="85">
        <f>'202501'!AV6</f>
        <v>157</v>
      </c>
      <c r="C9" s="85"/>
      <c r="D9" s="85"/>
      <c r="E9" s="85"/>
      <c r="F9" s="85">
        <f>B9</f>
        <v>157</v>
      </c>
      <c r="G9" s="90"/>
      <c r="H9" s="90"/>
      <c r="I9" s="85">
        <f t="shared" si="1"/>
        <v>157</v>
      </c>
      <c r="J9" s="87">
        <f t="shared" si="0"/>
        <v>157</v>
      </c>
    </row>
    <row r="10" spans="1:10" x14ac:dyDescent="0.25">
      <c r="A10" s="84" t="s">
        <v>228</v>
      </c>
      <c r="B10" s="85">
        <f>'202501'!AY6</f>
        <v>8.259999999999998</v>
      </c>
      <c r="C10" s="85"/>
      <c r="D10" s="85"/>
      <c r="E10" s="85"/>
      <c r="F10" s="85"/>
      <c r="G10" s="85"/>
      <c r="H10" s="85"/>
      <c r="I10" s="85">
        <f t="shared" si="1"/>
        <v>0</v>
      </c>
      <c r="J10" s="87">
        <f t="shared" si="0"/>
        <v>8.259999999999998</v>
      </c>
    </row>
    <row r="11" spans="1:10" x14ac:dyDescent="0.25">
      <c r="A11" s="91" t="s">
        <v>221</v>
      </c>
      <c r="B11" s="92">
        <f t="shared" ref="B11" si="2">SUM(B2:B10)</f>
        <v>13861.400000000001</v>
      </c>
      <c r="C11" s="92">
        <f>SUM(C2:C10)</f>
        <v>13596.06</v>
      </c>
      <c r="D11" s="92">
        <f>D7</f>
        <v>8.259999999999998</v>
      </c>
      <c r="E11" s="92">
        <f>E5</f>
        <v>90.18</v>
      </c>
      <c r="F11" s="92">
        <f>F9</f>
        <v>157</v>
      </c>
      <c r="G11" s="92">
        <f>G9</f>
        <v>0</v>
      </c>
      <c r="H11" s="92">
        <f>H9</f>
        <v>0</v>
      </c>
      <c r="I11" s="92">
        <f>SUM(C11:G11)</f>
        <v>13851.5</v>
      </c>
    </row>
    <row r="12" spans="1:10" x14ac:dyDescent="0.25">
      <c r="A12" s="84" t="s">
        <v>222</v>
      </c>
      <c r="B12" s="85"/>
      <c r="C12" s="85"/>
      <c r="D12" s="85"/>
      <c r="E12" s="85"/>
      <c r="F12" s="85"/>
      <c r="G12" s="85"/>
      <c r="H12" s="85"/>
      <c r="I12" s="85"/>
    </row>
    <row r="13" spans="1:10" x14ac:dyDescent="0.25">
      <c r="A13" s="84" t="s">
        <v>40</v>
      </c>
      <c r="B13" s="85"/>
      <c r="C13" s="85"/>
      <c r="D13" s="85">
        <f>ROUND((D11+D12)*6%,2)</f>
        <v>0.5</v>
      </c>
      <c r="E13" s="85"/>
      <c r="F13" s="85">
        <f>ROUND((F11+F12)*6%,2)</f>
        <v>9.42</v>
      </c>
      <c r="G13" s="85">
        <f>ROUND((G11+G12)*6%,2)</f>
        <v>0</v>
      </c>
      <c r="H13" s="85">
        <f>ROUND((H11+H12)*6%,2)</f>
        <v>0</v>
      </c>
      <c r="I13" s="85">
        <f>SUM(C13:G13)</f>
        <v>9.92</v>
      </c>
    </row>
    <row r="14" spans="1:10" x14ac:dyDescent="0.25">
      <c r="A14" s="93" t="s">
        <v>41</v>
      </c>
      <c r="B14" s="94">
        <f>SUM(B11:B13)</f>
        <v>13861.400000000001</v>
      </c>
      <c r="C14" s="94">
        <f t="shared" ref="C14" si="3">SUM(C11:C13)</f>
        <v>13596.06</v>
      </c>
      <c r="D14" s="94">
        <f>SUM(D11:D13)</f>
        <v>8.759999999999998</v>
      </c>
      <c r="E14" s="94">
        <f>E11</f>
        <v>90.18</v>
      </c>
      <c r="F14" s="94">
        <f>SUM(F11:F13)</f>
        <v>166.42</v>
      </c>
      <c r="G14" s="94">
        <f>SUM(G11:G13)</f>
        <v>0</v>
      </c>
      <c r="H14" s="94">
        <f>SUM(H11:H13)</f>
        <v>0</v>
      </c>
      <c r="I14" s="94">
        <f>SUM(C14:H14)</f>
        <v>13861.42</v>
      </c>
    </row>
    <row r="15" spans="1:10" x14ac:dyDescent="0.25">
      <c r="A15" s="93" t="s">
        <v>223</v>
      </c>
      <c r="B15" s="94"/>
      <c r="C15" s="94"/>
      <c r="D15" s="94"/>
      <c r="E15" s="94"/>
      <c r="F15" s="94"/>
      <c r="G15" s="94"/>
      <c r="H15" s="94"/>
      <c r="I15" s="94">
        <f>B14</f>
        <v>13861.400000000001</v>
      </c>
    </row>
    <row r="16" spans="1:10" x14ac:dyDescent="0.25">
      <c r="A16" s="84" t="s">
        <v>224</v>
      </c>
      <c r="B16" s="85"/>
      <c r="C16" s="85"/>
      <c r="D16" s="85"/>
      <c r="E16" s="85"/>
      <c r="F16" s="85"/>
      <c r="G16" s="85"/>
      <c r="H16" s="85"/>
      <c r="I16" s="85">
        <f>I15-I14</f>
        <v>-1.9999999998617568E-2</v>
      </c>
    </row>
    <row r="17" spans="1:9" x14ac:dyDescent="0.25">
      <c r="A17" s="84" t="s">
        <v>225</v>
      </c>
      <c r="B17" s="85"/>
      <c r="C17" s="85"/>
      <c r="D17" s="85"/>
      <c r="E17" s="85"/>
      <c r="F17" s="85"/>
      <c r="G17" s="85"/>
      <c r="H17" s="85"/>
      <c r="I17" s="85">
        <f>ROUND(I16/1.06,2)</f>
        <v>-0.02</v>
      </c>
    </row>
    <row r="19" spans="1:9" x14ac:dyDescent="0.25">
      <c r="C19" s="87"/>
      <c r="D19" s="87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A5F7-2744-4B51-8B99-896D5F366A24}">
  <dimension ref="A1:AF85"/>
  <sheetViews>
    <sheetView tabSelected="1" topLeftCell="A21" workbookViewId="0">
      <selection activeCell="S36" sqref="S36"/>
    </sheetView>
  </sheetViews>
  <sheetFormatPr defaultRowHeight="13.8" x14ac:dyDescent="0.25"/>
  <cols>
    <col min="1" max="4" width="8.88671875" style="43"/>
    <col min="5" max="21" width="8.88671875" style="44"/>
    <col min="22" max="22" width="15.77734375" style="44" customWidth="1"/>
    <col min="23" max="25" width="8.88671875" style="44"/>
    <col min="26" max="26" width="9.33203125" style="44" bestFit="1" customWidth="1"/>
    <col min="27" max="28" width="8.88671875" style="43"/>
    <col min="29" max="29" width="15.77734375" style="43" customWidth="1"/>
    <col min="30" max="30" width="8.88671875" style="44"/>
    <col min="31" max="31" width="8.88671875" style="43"/>
    <col min="32" max="32" width="8.88671875" style="44"/>
    <col min="33" max="16384" width="8.88671875" style="43"/>
  </cols>
  <sheetData>
    <row r="1" spans="1:32" x14ac:dyDescent="0.25">
      <c r="A1" s="42" t="s">
        <v>111</v>
      </c>
    </row>
    <row r="2" spans="1:32" x14ac:dyDescent="0.25">
      <c r="A2" s="42" t="s">
        <v>112</v>
      </c>
    </row>
    <row r="3" spans="1:32" x14ac:dyDescent="0.25">
      <c r="B3" s="42" t="s">
        <v>113</v>
      </c>
    </row>
    <row r="6" spans="1:32" ht="20.399999999999999" x14ac:dyDescent="0.25">
      <c r="D6" s="45" t="s">
        <v>114</v>
      </c>
    </row>
    <row r="7" spans="1:32" ht="20.399999999999999" x14ac:dyDescent="0.25">
      <c r="C7" s="45" t="s">
        <v>115</v>
      </c>
    </row>
    <row r="9" spans="1:32" ht="20.399999999999999" x14ac:dyDescent="0.25">
      <c r="E9" s="46" t="s">
        <v>116</v>
      </c>
    </row>
    <row r="10" spans="1:32" ht="20.399999999999999" x14ac:dyDescent="0.25">
      <c r="E10" s="46" t="s">
        <v>117</v>
      </c>
    </row>
    <row r="11" spans="1:32" ht="15.6" x14ac:dyDescent="0.25">
      <c r="E11" s="47" t="s">
        <v>118</v>
      </c>
    </row>
    <row r="13" spans="1:32" s="49" customFormat="1" ht="13.2" x14ac:dyDescent="0.25">
      <c r="A13" s="48" t="s">
        <v>119</v>
      </c>
      <c r="E13" s="50"/>
      <c r="F13" s="50"/>
      <c r="G13" s="50"/>
      <c r="H13" s="50"/>
      <c r="I13" s="50"/>
      <c r="J13" s="51" t="s">
        <v>232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D13" s="50"/>
      <c r="AF13" s="50"/>
    </row>
    <row r="14" spans="1:32" s="52" customFormat="1" ht="60" customHeight="1" x14ac:dyDescent="0.15">
      <c r="A14" s="52" t="s">
        <v>0</v>
      </c>
      <c r="B14" s="52" t="s">
        <v>3</v>
      </c>
      <c r="C14" s="52" t="s">
        <v>120</v>
      </c>
      <c r="D14" s="52" t="s">
        <v>121</v>
      </c>
      <c r="E14" s="53" t="s">
        <v>122</v>
      </c>
      <c r="F14" s="53" t="s">
        <v>123</v>
      </c>
      <c r="G14" s="53" t="s">
        <v>124</v>
      </c>
      <c r="H14" s="103" t="s">
        <v>125</v>
      </c>
      <c r="I14" s="104"/>
      <c r="J14" s="104"/>
      <c r="K14" s="104"/>
      <c r="L14" s="104"/>
      <c r="M14" s="105"/>
      <c r="N14" s="54" t="s">
        <v>126</v>
      </c>
      <c r="O14" s="53" t="s">
        <v>127</v>
      </c>
      <c r="P14" s="103" t="s">
        <v>128</v>
      </c>
      <c r="Q14" s="104"/>
      <c r="R14" s="104"/>
      <c r="S14" s="104"/>
      <c r="T14" s="105"/>
      <c r="U14" s="54" t="s">
        <v>129</v>
      </c>
      <c r="V14" s="53" t="s">
        <v>130</v>
      </c>
      <c r="W14" s="53" t="s">
        <v>131</v>
      </c>
      <c r="X14" s="53" t="s">
        <v>233</v>
      </c>
      <c r="Y14" s="53" t="s">
        <v>132</v>
      </c>
      <c r="Z14" s="55" t="s">
        <v>41</v>
      </c>
      <c r="AA14" s="52" t="s">
        <v>133</v>
      </c>
      <c r="AB14" s="52" t="s">
        <v>134</v>
      </c>
      <c r="AC14" s="52" t="s">
        <v>135</v>
      </c>
      <c r="AD14" s="53" t="s">
        <v>136</v>
      </c>
      <c r="AE14" s="52" t="s">
        <v>137</v>
      </c>
      <c r="AF14" s="53" t="s">
        <v>40</v>
      </c>
    </row>
    <row r="15" spans="1:32" s="56" customFormat="1" ht="60" customHeight="1" x14ac:dyDescent="0.25">
      <c r="A15" s="56" t="s">
        <v>138</v>
      </c>
      <c r="B15" s="56" t="s">
        <v>45</v>
      </c>
      <c r="C15" s="56" t="s">
        <v>139</v>
      </c>
      <c r="D15" s="56" t="s">
        <v>140</v>
      </c>
      <c r="E15" s="57" t="s">
        <v>141</v>
      </c>
      <c r="F15" s="57" t="s">
        <v>142</v>
      </c>
      <c r="G15" s="57" t="s">
        <v>143</v>
      </c>
      <c r="H15" s="58" t="s">
        <v>144</v>
      </c>
      <c r="I15" s="58" t="s">
        <v>145</v>
      </c>
      <c r="J15" s="58" t="s">
        <v>146</v>
      </c>
      <c r="K15" s="58" t="s">
        <v>147</v>
      </c>
      <c r="L15" s="58" t="s">
        <v>148</v>
      </c>
      <c r="M15" s="58" t="s">
        <v>149</v>
      </c>
      <c r="N15" s="58" t="s">
        <v>150</v>
      </c>
      <c r="O15" s="57" t="s">
        <v>151</v>
      </c>
      <c r="P15" s="58" t="s">
        <v>144</v>
      </c>
      <c r="Q15" s="58" t="s">
        <v>145</v>
      </c>
      <c r="R15" s="58" t="s">
        <v>146</v>
      </c>
      <c r="S15" s="58" t="s">
        <v>147</v>
      </c>
      <c r="T15" s="58" t="s">
        <v>148</v>
      </c>
      <c r="U15" s="58" t="s">
        <v>150</v>
      </c>
      <c r="V15" s="57" t="s">
        <v>152</v>
      </c>
      <c r="W15" s="57" t="s">
        <v>153</v>
      </c>
      <c r="X15" s="57" t="s">
        <v>234</v>
      </c>
      <c r="Y15" s="57" t="s">
        <v>154</v>
      </c>
      <c r="Z15" s="59" t="s">
        <v>91</v>
      </c>
      <c r="AA15" s="56" t="s">
        <v>155</v>
      </c>
      <c r="AB15" s="56" t="s">
        <v>156</v>
      </c>
      <c r="AC15" s="56" t="s">
        <v>157</v>
      </c>
      <c r="AD15" s="57" t="s">
        <v>158</v>
      </c>
      <c r="AE15" s="56" t="s">
        <v>159</v>
      </c>
      <c r="AF15" s="57" t="s">
        <v>92</v>
      </c>
    </row>
    <row r="16" spans="1:32" s="60" customFormat="1" ht="11.4" x14ac:dyDescent="0.25">
      <c r="A16" s="60">
        <v>1</v>
      </c>
      <c r="B16" s="60" t="s">
        <v>95</v>
      </c>
      <c r="C16" s="60" t="s">
        <v>160</v>
      </c>
      <c r="D16" s="60" t="s">
        <v>161</v>
      </c>
      <c r="E16" s="61">
        <v>446.75</v>
      </c>
      <c r="F16" s="61">
        <v>7384</v>
      </c>
      <c r="G16" s="61">
        <v>6520</v>
      </c>
      <c r="H16" s="61">
        <v>1181.44</v>
      </c>
      <c r="I16" s="61">
        <v>664.56</v>
      </c>
      <c r="J16" s="61">
        <v>36.92</v>
      </c>
      <c r="K16" s="61">
        <v>14.77</v>
      </c>
      <c r="L16" s="61"/>
      <c r="M16" s="61">
        <v>110.76</v>
      </c>
      <c r="N16" s="61">
        <v>456</v>
      </c>
      <c r="O16" s="61">
        <f>SUM(H16:N16)</f>
        <v>2464.4499999999998</v>
      </c>
      <c r="P16" s="61">
        <v>590.72</v>
      </c>
      <c r="Q16" s="61">
        <v>147.68</v>
      </c>
      <c r="R16" s="61">
        <v>36.92</v>
      </c>
      <c r="S16" s="61"/>
      <c r="T16" s="61"/>
      <c r="U16" s="61">
        <v>456</v>
      </c>
      <c r="V16" s="61">
        <f>SUM(P16:U16)</f>
        <v>1231.3200000000002</v>
      </c>
      <c r="W16" s="61">
        <v>2690</v>
      </c>
      <c r="X16" s="61">
        <v>-45.089999999999996</v>
      </c>
      <c r="Y16" s="61"/>
      <c r="Z16" s="62">
        <f>SUM(E16,O16,V16:Y16)</f>
        <v>6787.43</v>
      </c>
      <c r="AB16" s="60" t="s">
        <v>162</v>
      </c>
      <c r="AC16" s="60" t="s">
        <v>96</v>
      </c>
      <c r="AD16" s="63">
        <v>6403.22</v>
      </c>
      <c r="AE16" s="60" t="s">
        <v>163</v>
      </c>
      <c r="AF16" s="63">
        <v>384.21</v>
      </c>
    </row>
    <row r="17" spans="1:32" s="60" customFormat="1" ht="11.4" x14ac:dyDescent="0.25">
      <c r="A17" s="60">
        <v>2</v>
      </c>
      <c r="B17" s="60" t="s">
        <v>99</v>
      </c>
      <c r="C17" s="60" t="s">
        <v>160</v>
      </c>
      <c r="D17" s="60" t="s">
        <v>164</v>
      </c>
      <c r="E17" s="61">
        <v>447.95</v>
      </c>
      <c r="F17" s="61">
        <v>7384</v>
      </c>
      <c r="G17" s="61">
        <v>6653</v>
      </c>
      <c r="H17" s="61">
        <v>1181.44</v>
      </c>
      <c r="I17" s="61">
        <v>664.56</v>
      </c>
      <c r="J17" s="61">
        <v>36.92</v>
      </c>
      <c r="K17" s="61">
        <v>14.77</v>
      </c>
      <c r="L17" s="61"/>
      <c r="M17" s="61">
        <v>110.76</v>
      </c>
      <c r="N17" s="61">
        <v>466</v>
      </c>
      <c r="O17" s="61">
        <f>SUM(H17:N17)</f>
        <v>2474.4499999999998</v>
      </c>
      <c r="P17" s="61">
        <v>590.72</v>
      </c>
      <c r="Q17" s="61">
        <v>147.68</v>
      </c>
      <c r="R17" s="61">
        <v>36.92</v>
      </c>
      <c r="S17" s="61"/>
      <c r="T17" s="61"/>
      <c r="U17" s="61">
        <v>466</v>
      </c>
      <c r="V17" s="61">
        <f>SUM(P17:U17)</f>
        <v>1241.3200000000002</v>
      </c>
      <c r="W17" s="61">
        <v>2690</v>
      </c>
      <c r="X17" s="61">
        <v>-45.089999999999996</v>
      </c>
      <c r="Y17" s="61"/>
      <c r="Z17" s="62">
        <f>SUM(E17,O17,V17:Y17)</f>
        <v>6808.6299999999992</v>
      </c>
      <c r="AB17" s="60" t="s">
        <v>165</v>
      </c>
      <c r="AC17" s="60" t="s">
        <v>100</v>
      </c>
      <c r="AD17" s="63">
        <v>6423.22</v>
      </c>
      <c r="AE17" s="60" t="s">
        <v>163</v>
      </c>
      <c r="AF17" s="63">
        <v>385.41</v>
      </c>
    </row>
    <row r="18" spans="1:32" s="60" customFormat="1" ht="11.4" x14ac:dyDescent="0.25">
      <c r="A18" s="60" t="s">
        <v>166</v>
      </c>
      <c r="E18" s="61">
        <f>SUM(E16:E17)</f>
        <v>894.7</v>
      </c>
      <c r="F18" s="61"/>
      <c r="G18" s="61"/>
      <c r="H18" s="61">
        <f t="shared" ref="H18:Z18" si="0">SUM(H16:H17)</f>
        <v>2362.88</v>
      </c>
      <c r="I18" s="61">
        <f t="shared" si="0"/>
        <v>1329.12</v>
      </c>
      <c r="J18" s="61">
        <f t="shared" si="0"/>
        <v>73.84</v>
      </c>
      <c r="K18" s="61">
        <f t="shared" si="0"/>
        <v>29.54</v>
      </c>
      <c r="L18" s="61">
        <f t="shared" si="0"/>
        <v>0</v>
      </c>
      <c r="M18" s="61">
        <f t="shared" si="0"/>
        <v>221.52</v>
      </c>
      <c r="N18" s="61">
        <f t="shared" si="0"/>
        <v>922</v>
      </c>
      <c r="O18" s="61">
        <f t="shared" si="0"/>
        <v>4938.8999999999996</v>
      </c>
      <c r="P18" s="61">
        <f t="shared" si="0"/>
        <v>1181.44</v>
      </c>
      <c r="Q18" s="61">
        <f t="shared" si="0"/>
        <v>295.36</v>
      </c>
      <c r="R18" s="61">
        <f t="shared" si="0"/>
        <v>73.84</v>
      </c>
      <c r="S18" s="61">
        <f t="shared" si="0"/>
        <v>0</v>
      </c>
      <c r="T18" s="61">
        <f t="shared" si="0"/>
        <v>0</v>
      </c>
      <c r="U18" s="61">
        <f t="shared" si="0"/>
        <v>922</v>
      </c>
      <c r="V18" s="61">
        <f t="shared" si="0"/>
        <v>2472.6400000000003</v>
      </c>
      <c r="W18" s="61">
        <f t="shared" si="0"/>
        <v>5380</v>
      </c>
      <c r="X18" s="61">
        <f t="shared" si="0"/>
        <v>-90.179999999999993</v>
      </c>
      <c r="Y18" s="61">
        <f t="shared" si="0"/>
        <v>0</v>
      </c>
      <c r="Z18" s="62">
        <f t="shared" si="0"/>
        <v>13596.06</v>
      </c>
      <c r="AD18" s="63">
        <f>SUM(AD16:AD17)</f>
        <v>12826.44</v>
      </c>
      <c r="AF18" s="63">
        <f>SUM(AF16:AF17)</f>
        <v>769.62</v>
      </c>
    </row>
    <row r="19" spans="1:32" s="60" customFormat="1" ht="11.4" x14ac:dyDescent="0.25">
      <c r="A19" s="64" t="s">
        <v>235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5">
        <v>13596.06</v>
      </c>
      <c r="AD19" s="63"/>
      <c r="AF19" s="63"/>
    </row>
    <row r="20" spans="1:32" s="68" customFormat="1" ht="11.4" x14ac:dyDescent="0.25">
      <c r="A20" s="67" t="s">
        <v>236</v>
      </c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D20" s="69"/>
      <c r="AF20" s="69"/>
    </row>
    <row r="21" spans="1:32" s="52" customFormat="1" ht="60" customHeight="1" x14ac:dyDescent="0.15">
      <c r="A21" s="52" t="s">
        <v>0</v>
      </c>
      <c r="B21" s="52" t="s">
        <v>3</v>
      </c>
      <c r="C21" s="52" t="s">
        <v>120</v>
      </c>
      <c r="D21" s="52" t="s">
        <v>121</v>
      </c>
      <c r="E21" s="53" t="s">
        <v>123</v>
      </c>
      <c r="F21" s="103" t="s">
        <v>125</v>
      </c>
      <c r="G21" s="104"/>
      <c r="H21" s="104"/>
      <c r="I21" s="104"/>
      <c r="J21" s="105"/>
      <c r="K21" s="53" t="s">
        <v>127</v>
      </c>
      <c r="L21" s="103" t="s">
        <v>128</v>
      </c>
      <c r="M21" s="104"/>
      <c r="N21" s="104"/>
      <c r="O21" s="104"/>
      <c r="P21" s="105"/>
      <c r="Q21" s="53" t="s">
        <v>130</v>
      </c>
      <c r="R21" s="53" t="s">
        <v>132</v>
      </c>
      <c r="S21" s="55" t="s">
        <v>41</v>
      </c>
      <c r="T21" s="53" t="s">
        <v>133</v>
      </c>
      <c r="U21" s="53" t="s">
        <v>134</v>
      </c>
      <c r="V21" s="53" t="s">
        <v>135</v>
      </c>
      <c r="W21" s="53" t="s">
        <v>136</v>
      </c>
      <c r="X21" s="53" t="s">
        <v>137</v>
      </c>
      <c r="Y21" s="53" t="s">
        <v>40</v>
      </c>
      <c r="Z21" s="53"/>
      <c r="AD21" s="53"/>
      <c r="AF21" s="53"/>
    </row>
    <row r="22" spans="1:32" s="56" customFormat="1" ht="60" customHeight="1" x14ac:dyDescent="0.25">
      <c r="A22" s="56" t="s">
        <v>138</v>
      </c>
      <c r="B22" s="56" t="s">
        <v>45</v>
      </c>
      <c r="C22" s="56" t="s">
        <v>139</v>
      </c>
      <c r="D22" s="56" t="s">
        <v>140</v>
      </c>
      <c r="E22" s="57" t="s">
        <v>142</v>
      </c>
      <c r="F22" s="58" t="s">
        <v>144</v>
      </c>
      <c r="G22" s="58" t="s">
        <v>145</v>
      </c>
      <c r="H22" s="58" t="s">
        <v>146</v>
      </c>
      <c r="I22" s="58" t="s">
        <v>147</v>
      </c>
      <c r="J22" s="58" t="s">
        <v>148</v>
      </c>
      <c r="K22" s="57" t="s">
        <v>151</v>
      </c>
      <c r="L22" s="58" t="s">
        <v>144</v>
      </c>
      <c r="M22" s="58" t="s">
        <v>145</v>
      </c>
      <c r="N22" s="58" t="s">
        <v>146</v>
      </c>
      <c r="O22" s="58" t="s">
        <v>147</v>
      </c>
      <c r="P22" s="58" t="s">
        <v>148</v>
      </c>
      <c r="Q22" s="57" t="s">
        <v>152</v>
      </c>
      <c r="R22" s="57" t="s">
        <v>154</v>
      </c>
      <c r="S22" s="59" t="s">
        <v>91</v>
      </c>
      <c r="T22" s="57" t="s">
        <v>155</v>
      </c>
      <c r="U22" s="57" t="s">
        <v>156</v>
      </c>
      <c r="V22" s="57" t="s">
        <v>157</v>
      </c>
      <c r="W22" s="57" t="s">
        <v>158</v>
      </c>
      <c r="X22" s="57" t="s">
        <v>159</v>
      </c>
      <c r="Y22" s="57" t="s">
        <v>92</v>
      </c>
      <c r="Z22" s="57"/>
      <c r="AD22" s="57"/>
      <c r="AF22" s="57"/>
    </row>
    <row r="23" spans="1:32" s="60" customFormat="1" ht="11.4" x14ac:dyDescent="0.25">
      <c r="A23" s="60">
        <v>1</v>
      </c>
      <c r="B23" s="60" t="s">
        <v>95</v>
      </c>
      <c r="C23" s="60" t="s">
        <v>237</v>
      </c>
      <c r="D23" s="60" t="s">
        <v>161</v>
      </c>
      <c r="E23" s="61"/>
      <c r="F23" s="61"/>
      <c r="G23" s="61"/>
      <c r="H23" s="61"/>
      <c r="I23" s="61">
        <v>-7.09</v>
      </c>
      <c r="J23" s="61"/>
      <c r="K23" s="61">
        <f t="shared" ref="K23:K34" si="1">SUM(F23:J23)</f>
        <v>-7.09</v>
      </c>
      <c r="L23" s="61"/>
      <c r="M23" s="61"/>
      <c r="N23" s="61"/>
      <c r="O23" s="61"/>
      <c r="P23" s="61"/>
      <c r="Q23" s="61">
        <f t="shared" ref="Q23:Q34" si="2">SUM(L23:P23)</f>
        <v>0</v>
      </c>
      <c r="R23" s="61"/>
      <c r="S23" s="62">
        <f t="shared" ref="S23:S33" si="3">SUM(K23,Q23:R23)</f>
        <v>-7.09</v>
      </c>
      <c r="U23" s="60" t="s">
        <v>162</v>
      </c>
      <c r="V23" s="60" t="s">
        <v>96</v>
      </c>
      <c r="W23" s="63">
        <v>-7.09</v>
      </c>
      <c r="X23" s="60" t="s">
        <v>163</v>
      </c>
      <c r="Y23" s="63">
        <v>-0.43</v>
      </c>
      <c r="Z23" s="63"/>
      <c r="AD23" s="63"/>
      <c r="AF23" s="63"/>
    </row>
    <row r="24" spans="1:32" s="60" customFormat="1" ht="11.4" x14ac:dyDescent="0.25">
      <c r="B24" s="60" t="s">
        <v>95</v>
      </c>
      <c r="C24" s="60" t="s">
        <v>238</v>
      </c>
      <c r="D24" s="60" t="s">
        <v>161</v>
      </c>
      <c r="E24" s="61"/>
      <c r="F24" s="61"/>
      <c r="G24" s="61"/>
      <c r="H24" s="61"/>
      <c r="I24" s="61">
        <v>-7.09</v>
      </c>
      <c r="J24" s="61"/>
      <c r="K24" s="61">
        <f t="shared" si="1"/>
        <v>-7.09</v>
      </c>
      <c r="L24" s="61"/>
      <c r="M24" s="61"/>
      <c r="N24" s="61"/>
      <c r="O24" s="61"/>
      <c r="P24" s="61"/>
      <c r="Q24" s="61">
        <f t="shared" si="2"/>
        <v>0</v>
      </c>
      <c r="R24" s="61"/>
      <c r="S24" s="62">
        <f t="shared" si="3"/>
        <v>-7.09</v>
      </c>
      <c r="U24" s="60" t="s">
        <v>162</v>
      </c>
      <c r="V24" s="60" t="s">
        <v>96</v>
      </c>
      <c r="W24" s="63">
        <v>-7.09</v>
      </c>
      <c r="X24" s="60" t="s">
        <v>163</v>
      </c>
      <c r="Y24" s="63">
        <v>-0.43</v>
      </c>
      <c r="Z24" s="63"/>
      <c r="AD24" s="63"/>
      <c r="AF24" s="63"/>
    </row>
    <row r="25" spans="1:32" s="60" customFormat="1" ht="11.4" x14ac:dyDescent="0.25">
      <c r="B25" s="60" t="s">
        <v>95</v>
      </c>
      <c r="C25" s="60" t="s">
        <v>239</v>
      </c>
      <c r="D25" s="60" t="s">
        <v>161</v>
      </c>
      <c r="E25" s="61"/>
      <c r="F25" s="61"/>
      <c r="G25" s="61"/>
      <c r="H25" s="61"/>
      <c r="I25" s="61">
        <v>-7.09</v>
      </c>
      <c r="J25" s="61"/>
      <c r="K25" s="61">
        <f t="shared" si="1"/>
        <v>-7.09</v>
      </c>
      <c r="L25" s="61"/>
      <c r="M25" s="61"/>
      <c r="N25" s="61"/>
      <c r="O25" s="61"/>
      <c r="P25" s="61"/>
      <c r="Q25" s="61">
        <f t="shared" si="2"/>
        <v>0</v>
      </c>
      <c r="R25" s="61"/>
      <c r="S25" s="62">
        <f t="shared" si="3"/>
        <v>-7.09</v>
      </c>
      <c r="U25" s="60" t="s">
        <v>162</v>
      </c>
      <c r="V25" s="60" t="s">
        <v>96</v>
      </c>
      <c r="W25" s="63">
        <v>-7.09</v>
      </c>
      <c r="X25" s="60" t="s">
        <v>163</v>
      </c>
      <c r="Y25" s="63">
        <v>-0.43</v>
      </c>
      <c r="Z25" s="63"/>
      <c r="AD25" s="63"/>
      <c r="AF25" s="63"/>
    </row>
    <row r="26" spans="1:32" s="60" customFormat="1" ht="11.4" x14ac:dyDescent="0.25">
      <c r="B26" s="60" t="s">
        <v>95</v>
      </c>
      <c r="C26" s="60" t="s">
        <v>240</v>
      </c>
      <c r="D26" s="60" t="s">
        <v>161</v>
      </c>
      <c r="E26" s="61"/>
      <c r="F26" s="61"/>
      <c r="G26" s="61"/>
      <c r="H26" s="61"/>
      <c r="I26" s="61">
        <v>-7.09</v>
      </c>
      <c r="J26" s="61"/>
      <c r="K26" s="61">
        <f t="shared" si="1"/>
        <v>-7.09</v>
      </c>
      <c r="L26" s="61"/>
      <c r="M26" s="61"/>
      <c r="N26" s="61"/>
      <c r="O26" s="61"/>
      <c r="P26" s="61"/>
      <c r="Q26" s="61">
        <f t="shared" si="2"/>
        <v>0</v>
      </c>
      <c r="R26" s="61"/>
      <c r="S26" s="62">
        <f t="shared" si="3"/>
        <v>-7.09</v>
      </c>
      <c r="U26" s="60" t="s">
        <v>162</v>
      </c>
      <c r="V26" s="60" t="s">
        <v>96</v>
      </c>
      <c r="W26" s="63">
        <v>-7.09</v>
      </c>
      <c r="X26" s="60" t="s">
        <v>163</v>
      </c>
      <c r="Y26" s="63">
        <v>-0.43</v>
      </c>
      <c r="Z26" s="63"/>
      <c r="AD26" s="63"/>
      <c r="AF26" s="63"/>
    </row>
    <row r="27" spans="1:32" s="60" customFormat="1" ht="11.4" x14ac:dyDescent="0.25">
      <c r="B27" s="60" t="s">
        <v>95</v>
      </c>
      <c r="C27" s="60" t="s">
        <v>241</v>
      </c>
      <c r="D27" s="60" t="s">
        <v>161</v>
      </c>
      <c r="E27" s="61"/>
      <c r="F27" s="61"/>
      <c r="G27" s="61"/>
      <c r="H27" s="61"/>
      <c r="I27" s="61">
        <v>-7.09</v>
      </c>
      <c r="J27" s="61"/>
      <c r="K27" s="61">
        <f t="shared" si="1"/>
        <v>-7.09</v>
      </c>
      <c r="L27" s="61"/>
      <c r="M27" s="61"/>
      <c r="N27" s="61"/>
      <c r="O27" s="61"/>
      <c r="P27" s="61"/>
      <c r="Q27" s="61">
        <f t="shared" si="2"/>
        <v>0</v>
      </c>
      <c r="R27" s="61"/>
      <c r="S27" s="62">
        <f t="shared" si="3"/>
        <v>-7.09</v>
      </c>
      <c r="U27" s="60" t="s">
        <v>162</v>
      </c>
      <c r="V27" s="60" t="s">
        <v>96</v>
      </c>
      <c r="W27" s="63">
        <v>-7.09</v>
      </c>
      <c r="X27" s="60" t="s">
        <v>163</v>
      </c>
      <c r="Y27" s="63">
        <v>-0.43</v>
      </c>
      <c r="Z27" s="63"/>
      <c r="AD27" s="63"/>
      <c r="AF27" s="63"/>
    </row>
    <row r="28" spans="1:32" s="60" customFormat="1" ht="11.4" x14ac:dyDescent="0.25">
      <c r="B28" s="60" t="s">
        <v>95</v>
      </c>
      <c r="C28" s="60" t="s">
        <v>242</v>
      </c>
      <c r="D28" s="60" t="s">
        <v>161</v>
      </c>
      <c r="E28" s="61"/>
      <c r="F28" s="61"/>
      <c r="G28" s="61"/>
      <c r="H28" s="61"/>
      <c r="I28" s="61">
        <v>-7.09</v>
      </c>
      <c r="J28" s="61"/>
      <c r="K28" s="61">
        <f t="shared" si="1"/>
        <v>-7.09</v>
      </c>
      <c r="L28" s="61"/>
      <c r="M28" s="61"/>
      <c r="N28" s="61"/>
      <c r="O28" s="61"/>
      <c r="P28" s="61"/>
      <c r="Q28" s="61">
        <f t="shared" si="2"/>
        <v>0</v>
      </c>
      <c r="R28" s="61"/>
      <c r="S28" s="62">
        <f t="shared" si="3"/>
        <v>-7.09</v>
      </c>
      <c r="U28" s="60" t="s">
        <v>162</v>
      </c>
      <c r="V28" s="60" t="s">
        <v>96</v>
      </c>
      <c r="W28" s="63">
        <v>-7.09</v>
      </c>
      <c r="X28" s="60" t="s">
        <v>163</v>
      </c>
      <c r="Y28" s="63">
        <v>-0.4</v>
      </c>
      <c r="Z28" s="63"/>
      <c r="AD28" s="63"/>
      <c r="AF28" s="63"/>
    </row>
    <row r="29" spans="1:32" s="60" customFormat="1" ht="11.4" x14ac:dyDescent="0.25">
      <c r="A29" s="60">
        <v>2</v>
      </c>
      <c r="B29" s="60" t="s">
        <v>99</v>
      </c>
      <c r="C29" s="60" t="s">
        <v>237</v>
      </c>
      <c r="D29" s="60" t="s">
        <v>164</v>
      </c>
      <c r="E29" s="61"/>
      <c r="F29" s="61"/>
      <c r="G29" s="61"/>
      <c r="H29" s="61"/>
      <c r="I29" s="61">
        <v>-7.09</v>
      </c>
      <c r="J29" s="61"/>
      <c r="K29" s="61">
        <f t="shared" si="1"/>
        <v>-7.09</v>
      </c>
      <c r="L29" s="61"/>
      <c r="M29" s="61"/>
      <c r="N29" s="61"/>
      <c r="O29" s="61"/>
      <c r="P29" s="61"/>
      <c r="Q29" s="61">
        <f t="shared" si="2"/>
        <v>0</v>
      </c>
      <c r="R29" s="61"/>
      <c r="S29" s="62">
        <f t="shared" si="3"/>
        <v>-7.09</v>
      </c>
      <c r="U29" s="60" t="s">
        <v>165</v>
      </c>
      <c r="V29" s="60" t="s">
        <v>100</v>
      </c>
      <c r="W29" s="63">
        <v>-7.09</v>
      </c>
      <c r="X29" s="60" t="s">
        <v>163</v>
      </c>
      <c r="Y29" s="63">
        <v>-0.43</v>
      </c>
      <c r="Z29" s="63"/>
      <c r="AD29" s="63"/>
      <c r="AF29" s="63"/>
    </row>
    <row r="30" spans="1:32" s="60" customFormat="1" ht="11.4" x14ac:dyDescent="0.25">
      <c r="B30" s="60" t="s">
        <v>99</v>
      </c>
      <c r="C30" s="60" t="s">
        <v>238</v>
      </c>
      <c r="D30" s="60" t="s">
        <v>164</v>
      </c>
      <c r="E30" s="61"/>
      <c r="F30" s="61"/>
      <c r="G30" s="61"/>
      <c r="H30" s="61"/>
      <c r="I30" s="61">
        <v>-7.09</v>
      </c>
      <c r="J30" s="61"/>
      <c r="K30" s="61">
        <f t="shared" si="1"/>
        <v>-7.09</v>
      </c>
      <c r="L30" s="61"/>
      <c r="M30" s="61"/>
      <c r="N30" s="61"/>
      <c r="O30" s="61"/>
      <c r="P30" s="61"/>
      <c r="Q30" s="61">
        <f t="shared" si="2"/>
        <v>0</v>
      </c>
      <c r="R30" s="61"/>
      <c r="S30" s="62">
        <f t="shared" si="3"/>
        <v>-7.09</v>
      </c>
      <c r="U30" s="60" t="s">
        <v>165</v>
      </c>
      <c r="V30" s="60" t="s">
        <v>100</v>
      </c>
      <c r="W30" s="63">
        <v>-7.09</v>
      </c>
      <c r="X30" s="60" t="s">
        <v>163</v>
      </c>
      <c r="Y30" s="63">
        <v>-0.43</v>
      </c>
      <c r="Z30" s="63"/>
      <c r="AD30" s="63"/>
      <c r="AF30" s="63"/>
    </row>
    <row r="31" spans="1:32" s="60" customFormat="1" ht="11.4" x14ac:dyDescent="0.25">
      <c r="B31" s="60" t="s">
        <v>99</v>
      </c>
      <c r="C31" s="60" t="s">
        <v>239</v>
      </c>
      <c r="D31" s="60" t="s">
        <v>164</v>
      </c>
      <c r="E31" s="61"/>
      <c r="F31" s="61"/>
      <c r="G31" s="61"/>
      <c r="H31" s="61"/>
      <c r="I31" s="61">
        <v>-7.09</v>
      </c>
      <c r="J31" s="61"/>
      <c r="K31" s="61">
        <f t="shared" si="1"/>
        <v>-7.09</v>
      </c>
      <c r="L31" s="61"/>
      <c r="M31" s="61"/>
      <c r="N31" s="61"/>
      <c r="O31" s="61"/>
      <c r="P31" s="61"/>
      <c r="Q31" s="61">
        <f t="shared" si="2"/>
        <v>0</v>
      </c>
      <c r="R31" s="61"/>
      <c r="S31" s="62">
        <f t="shared" si="3"/>
        <v>-7.09</v>
      </c>
      <c r="U31" s="60" t="s">
        <v>165</v>
      </c>
      <c r="V31" s="60" t="s">
        <v>100</v>
      </c>
      <c r="W31" s="63">
        <v>-7.09</v>
      </c>
      <c r="X31" s="60" t="s">
        <v>163</v>
      </c>
      <c r="Y31" s="63">
        <v>-0.43</v>
      </c>
      <c r="Z31" s="63"/>
      <c r="AD31" s="63"/>
      <c r="AF31" s="63"/>
    </row>
    <row r="32" spans="1:32" s="60" customFormat="1" ht="11.4" x14ac:dyDescent="0.25">
      <c r="B32" s="60" t="s">
        <v>99</v>
      </c>
      <c r="C32" s="60" t="s">
        <v>240</v>
      </c>
      <c r="D32" s="60" t="s">
        <v>164</v>
      </c>
      <c r="E32" s="61"/>
      <c r="F32" s="61"/>
      <c r="G32" s="61"/>
      <c r="H32" s="61"/>
      <c r="I32" s="61">
        <v>-7.09</v>
      </c>
      <c r="J32" s="61"/>
      <c r="K32" s="61">
        <f t="shared" si="1"/>
        <v>-7.09</v>
      </c>
      <c r="L32" s="61"/>
      <c r="M32" s="61"/>
      <c r="N32" s="61"/>
      <c r="O32" s="61"/>
      <c r="P32" s="61"/>
      <c r="Q32" s="61">
        <f t="shared" si="2"/>
        <v>0</v>
      </c>
      <c r="R32" s="61"/>
      <c r="S32" s="62">
        <f t="shared" si="3"/>
        <v>-7.09</v>
      </c>
      <c r="U32" s="60" t="s">
        <v>165</v>
      </c>
      <c r="V32" s="60" t="s">
        <v>100</v>
      </c>
      <c r="W32" s="63">
        <v>-7.09</v>
      </c>
      <c r="X32" s="60" t="s">
        <v>163</v>
      </c>
      <c r="Y32" s="63">
        <v>-0.43</v>
      </c>
      <c r="Z32" s="63"/>
      <c r="AD32" s="63"/>
      <c r="AF32" s="63"/>
    </row>
    <row r="33" spans="1:32" s="60" customFormat="1" ht="11.4" x14ac:dyDescent="0.25">
      <c r="B33" s="60" t="s">
        <v>99</v>
      </c>
      <c r="C33" s="60" t="s">
        <v>241</v>
      </c>
      <c r="D33" s="60" t="s">
        <v>164</v>
      </c>
      <c r="E33" s="61"/>
      <c r="F33" s="61"/>
      <c r="G33" s="61"/>
      <c r="H33" s="61"/>
      <c r="I33" s="61">
        <v>-7.09</v>
      </c>
      <c r="J33" s="61"/>
      <c r="K33" s="61">
        <f t="shared" si="1"/>
        <v>-7.09</v>
      </c>
      <c r="L33" s="61"/>
      <c r="M33" s="61"/>
      <c r="N33" s="61"/>
      <c r="O33" s="61"/>
      <c r="P33" s="61"/>
      <c r="Q33" s="61">
        <f t="shared" si="2"/>
        <v>0</v>
      </c>
      <c r="R33" s="61"/>
      <c r="S33" s="62">
        <f t="shared" si="3"/>
        <v>-7.09</v>
      </c>
      <c r="U33" s="60" t="s">
        <v>165</v>
      </c>
      <c r="V33" s="60" t="s">
        <v>100</v>
      </c>
      <c r="W33" s="63">
        <v>-7.09</v>
      </c>
      <c r="X33" s="60" t="s">
        <v>163</v>
      </c>
      <c r="Y33" s="63">
        <v>-0.43</v>
      </c>
      <c r="Z33" s="63"/>
      <c r="AD33" s="63"/>
      <c r="AF33" s="63"/>
    </row>
    <row r="34" spans="1:32" s="60" customFormat="1" ht="11.4" x14ac:dyDescent="0.25">
      <c r="B34" s="60" t="s">
        <v>99</v>
      </c>
      <c r="C34" s="60" t="s">
        <v>242</v>
      </c>
      <c r="D34" s="60" t="s">
        <v>164</v>
      </c>
      <c r="E34" s="61"/>
      <c r="F34" s="61"/>
      <c r="G34" s="61"/>
      <c r="H34" s="61"/>
      <c r="I34" s="61">
        <v>-7.09</v>
      </c>
      <c r="J34" s="61"/>
      <c r="K34" s="61">
        <f t="shared" si="1"/>
        <v>-7.09</v>
      </c>
      <c r="L34" s="61"/>
      <c r="M34" s="61"/>
      <c r="N34" s="61"/>
      <c r="O34" s="61"/>
      <c r="P34" s="61"/>
      <c r="Q34" s="61">
        <f t="shared" si="2"/>
        <v>0</v>
      </c>
      <c r="R34" s="61"/>
      <c r="S34" s="62">
        <f>SUM(K34,Q34:R34)</f>
        <v>-7.09</v>
      </c>
      <c r="U34" s="60" t="s">
        <v>165</v>
      </c>
      <c r="V34" s="60" t="s">
        <v>100</v>
      </c>
      <c r="W34" s="63">
        <v>-7.09</v>
      </c>
      <c r="X34" s="60" t="s">
        <v>163</v>
      </c>
      <c r="Y34" s="63">
        <v>-0.4</v>
      </c>
      <c r="Z34" s="63"/>
      <c r="AD34" s="63"/>
      <c r="AF34" s="63"/>
    </row>
    <row r="35" spans="1:32" s="60" customFormat="1" ht="11.4" x14ac:dyDescent="0.25">
      <c r="A35" s="60" t="s">
        <v>166</v>
      </c>
      <c r="E35" s="61"/>
      <c r="F35" s="61">
        <f t="shared" ref="F35:S35" si="4">SUM(F23:F34)</f>
        <v>0</v>
      </c>
      <c r="G35" s="61">
        <f t="shared" si="4"/>
        <v>0</v>
      </c>
      <c r="H35" s="61">
        <f t="shared" si="4"/>
        <v>0</v>
      </c>
      <c r="I35" s="61">
        <f t="shared" si="4"/>
        <v>-85.080000000000027</v>
      </c>
      <c r="J35" s="61">
        <f t="shared" si="4"/>
        <v>0</v>
      </c>
      <c r="K35" s="61">
        <f t="shared" si="4"/>
        <v>-85.080000000000027</v>
      </c>
      <c r="L35" s="61">
        <f t="shared" si="4"/>
        <v>0</v>
      </c>
      <c r="M35" s="61">
        <f t="shared" si="4"/>
        <v>0</v>
      </c>
      <c r="N35" s="61">
        <f t="shared" si="4"/>
        <v>0</v>
      </c>
      <c r="O35" s="61">
        <f t="shared" si="4"/>
        <v>0</v>
      </c>
      <c r="P35" s="61">
        <f t="shared" si="4"/>
        <v>0</v>
      </c>
      <c r="Q35" s="61">
        <f t="shared" si="4"/>
        <v>0</v>
      </c>
      <c r="R35" s="61">
        <f t="shared" si="4"/>
        <v>0</v>
      </c>
      <c r="S35" s="62">
        <f t="shared" si="4"/>
        <v>-85.080000000000027</v>
      </c>
      <c r="W35" s="63">
        <f>SUM(W23:W34)</f>
        <v>-85.080000000000027</v>
      </c>
      <c r="X35" s="63"/>
      <c r="Y35" s="63">
        <f>SUM(Y23:Y34)</f>
        <v>-5.1000000000000005</v>
      </c>
      <c r="Z35" s="63"/>
      <c r="AD35" s="63"/>
      <c r="AF35" s="63"/>
    </row>
    <row r="36" spans="1:32" s="60" customFormat="1" ht="11.4" x14ac:dyDescent="0.25">
      <c r="A36" s="64" t="s">
        <v>243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5">
        <v>-90.18</v>
      </c>
      <c r="W36" s="63"/>
      <c r="X36" s="63"/>
      <c r="Y36" s="63"/>
      <c r="Z36" s="63"/>
      <c r="AD36" s="63"/>
      <c r="AF36" s="63"/>
    </row>
    <row r="37" spans="1:32" x14ac:dyDescent="0.25"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43"/>
      <c r="U37" s="43"/>
      <c r="V37" s="43"/>
    </row>
    <row r="38" spans="1:32" s="68" customFormat="1" ht="11.4" x14ac:dyDescent="0.25">
      <c r="A38" s="67" t="s">
        <v>62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W38" s="69"/>
      <c r="X38" s="69"/>
      <c r="Y38" s="69"/>
      <c r="Z38" s="69"/>
      <c r="AD38" s="69"/>
      <c r="AF38" s="69"/>
    </row>
    <row r="39" spans="1:32" s="71" customFormat="1" ht="30" customHeight="1" x14ac:dyDescent="0.15">
      <c r="A39" s="52" t="s">
        <v>0</v>
      </c>
      <c r="B39" s="52" t="s">
        <v>120</v>
      </c>
      <c r="C39" s="52" t="s">
        <v>167</v>
      </c>
      <c r="D39" s="52" t="s">
        <v>168</v>
      </c>
      <c r="E39" s="53" t="s">
        <v>133</v>
      </c>
      <c r="F39" s="53" t="s">
        <v>136</v>
      </c>
      <c r="G39" s="53" t="s">
        <v>137</v>
      </c>
      <c r="H39" s="53" t="s">
        <v>40</v>
      </c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D39" s="70"/>
      <c r="AF39" s="70"/>
    </row>
    <row r="40" spans="1:32" s="73" customFormat="1" ht="30" customHeight="1" x14ac:dyDescent="0.25">
      <c r="A40" s="56" t="s">
        <v>138</v>
      </c>
      <c r="B40" s="56" t="s">
        <v>139</v>
      </c>
      <c r="C40" s="56" t="s">
        <v>169</v>
      </c>
      <c r="D40" s="56" t="s">
        <v>170</v>
      </c>
      <c r="E40" s="57" t="s">
        <v>155</v>
      </c>
      <c r="F40" s="57" t="s">
        <v>158</v>
      </c>
      <c r="G40" s="57" t="s">
        <v>159</v>
      </c>
      <c r="H40" s="57" t="s">
        <v>92</v>
      </c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D40" s="72"/>
      <c r="AF40" s="72"/>
    </row>
    <row r="41" spans="1:32" s="68" customFormat="1" ht="11.4" x14ac:dyDescent="0.25">
      <c r="A41" s="60">
        <v>1</v>
      </c>
      <c r="B41" s="60" t="s">
        <v>160</v>
      </c>
      <c r="C41" s="60" t="s">
        <v>244</v>
      </c>
      <c r="D41" s="61">
        <v>8.76</v>
      </c>
      <c r="E41" s="63"/>
      <c r="F41" s="61">
        <v>8.26</v>
      </c>
      <c r="G41" s="63">
        <v>0.06</v>
      </c>
      <c r="H41" s="61">
        <v>0.5</v>
      </c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D41" s="69"/>
      <c r="AF41" s="69"/>
    </row>
    <row r="42" spans="1:32" s="68" customFormat="1" ht="11.4" x14ac:dyDescent="0.25">
      <c r="A42" s="60">
        <v>2</v>
      </c>
      <c r="B42" s="60" t="s">
        <v>160</v>
      </c>
      <c r="C42" s="60" t="s">
        <v>245</v>
      </c>
      <c r="D42" s="61">
        <v>166.42</v>
      </c>
      <c r="E42" s="63"/>
      <c r="F42" s="61">
        <v>157</v>
      </c>
      <c r="G42" s="63">
        <v>0.06</v>
      </c>
      <c r="H42" s="61">
        <v>9.42</v>
      </c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D42" s="69"/>
      <c r="AF42" s="69"/>
    </row>
    <row r="43" spans="1:32" s="68" customFormat="1" ht="11.4" x14ac:dyDescent="0.25">
      <c r="A43" s="60">
        <v>3</v>
      </c>
      <c r="B43" s="60" t="s">
        <v>160</v>
      </c>
      <c r="C43" s="60" t="s">
        <v>171</v>
      </c>
      <c r="D43" s="61">
        <v>0</v>
      </c>
      <c r="E43" s="63"/>
      <c r="F43" s="61">
        <v>0.04</v>
      </c>
      <c r="G43" s="63">
        <v>0.06</v>
      </c>
      <c r="H43" s="61">
        <v>-0.04</v>
      </c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D43" s="69"/>
      <c r="AF43" s="69"/>
    </row>
    <row r="44" spans="1:32" s="68" customFormat="1" ht="11.4" x14ac:dyDescent="0.25">
      <c r="A44" s="60" t="s">
        <v>166</v>
      </c>
      <c r="B44" s="60"/>
      <c r="C44" s="60"/>
      <c r="D44" s="61">
        <f>SUM(D41:D43)</f>
        <v>175.17999999999998</v>
      </c>
      <c r="E44" s="63"/>
      <c r="F44" s="61">
        <f>SUM(F41:F43)</f>
        <v>165.29999999999998</v>
      </c>
      <c r="G44" s="63"/>
      <c r="H44" s="61">
        <f>SUM(H41:H43)</f>
        <v>9.8800000000000008</v>
      </c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D44" s="69"/>
      <c r="AF44" s="69"/>
    </row>
    <row r="45" spans="1:32" s="68" customFormat="1" ht="11.4" x14ac:dyDescent="0.25">
      <c r="A45" s="64" t="s">
        <v>246</v>
      </c>
      <c r="B45" s="60"/>
      <c r="C45" s="60"/>
      <c r="D45" s="74">
        <v>175.18</v>
      </c>
      <c r="E45" s="63"/>
      <c r="F45" s="74">
        <v>165.3</v>
      </c>
      <c r="G45" s="63"/>
      <c r="H45" s="74">
        <v>9.8800000000000008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D45" s="69"/>
      <c r="AF45" s="69"/>
    </row>
    <row r="47" spans="1:32" x14ac:dyDescent="0.25">
      <c r="A47" s="43" t="s">
        <v>172</v>
      </c>
    </row>
    <row r="48" spans="1:32" ht="25.05" customHeight="1" x14ac:dyDescent="0.25">
      <c r="A48" s="99" t="s">
        <v>173</v>
      </c>
      <c r="B48" s="99" t="s">
        <v>174</v>
      </c>
      <c r="C48" s="99" t="s">
        <v>137</v>
      </c>
      <c r="D48" s="99" t="s">
        <v>175</v>
      </c>
    </row>
    <row r="49" spans="1:32" ht="25.05" customHeight="1" x14ac:dyDescent="0.25">
      <c r="A49" s="100"/>
      <c r="B49" s="100"/>
      <c r="C49" s="100"/>
      <c r="D49" s="100"/>
    </row>
    <row r="50" spans="1:32" x14ac:dyDescent="0.25">
      <c r="A50" s="60">
        <v>1</v>
      </c>
      <c r="B50" s="63">
        <v>12991.74</v>
      </c>
      <c r="C50" s="60" t="s">
        <v>163</v>
      </c>
      <c r="D50" s="63">
        <v>779.5</v>
      </c>
    </row>
    <row r="51" spans="1:32" x14ac:dyDescent="0.25">
      <c r="A51" s="60" t="s">
        <v>176</v>
      </c>
      <c r="B51" s="63">
        <v>12991.74</v>
      </c>
      <c r="C51" s="60"/>
      <c r="D51" s="63">
        <v>779.5</v>
      </c>
    </row>
    <row r="52" spans="1:32" x14ac:dyDescent="0.25">
      <c r="A52" s="101" t="s">
        <v>177</v>
      </c>
      <c r="B52" s="102"/>
      <c r="C52" s="102"/>
      <c r="D52" s="75">
        <v>779.5</v>
      </c>
    </row>
    <row r="53" spans="1:32" x14ac:dyDescent="0.25">
      <c r="A53" s="76" t="s">
        <v>247</v>
      </c>
    </row>
    <row r="54" spans="1:32" x14ac:dyDescent="0.25">
      <c r="A54" s="77">
        <v>13771.24</v>
      </c>
    </row>
    <row r="55" spans="1:32" x14ac:dyDescent="0.25">
      <c r="A55" s="76" t="s">
        <v>248</v>
      </c>
    </row>
    <row r="57" spans="1:32" s="79" customFormat="1" ht="17.399999999999999" x14ac:dyDescent="0.25">
      <c r="A57" s="78" t="s">
        <v>249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D57" s="80"/>
      <c r="AF57" s="80"/>
    </row>
    <row r="59" spans="1:32" x14ac:dyDescent="0.25">
      <c r="A59" s="81" t="s">
        <v>178</v>
      </c>
      <c r="J59" s="44" t="s">
        <v>179</v>
      </c>
    </row>
    <row r="61" spans="1:32" x14ac:dyDescent="0.25">
      <c r="A61" s="42" t="s">
        <v>180</v>
      </c>
      <c r="G61" s="82" t="s">
        <v>180</v>
      </c>
    </row>
    <row r="62" spans="1:32" x14ac:dyDescent="0.25">
      <c r="A62" s="42" t="s">
        <v>181</v>
      </c>
      <c r="G62" s="82" t="s">
        <v>182</v>
      </c>
    </row>
    <row r="63" spans="1:32" x14ac:dyDescent="0.25">
      <c r="A63" s="42" t="s">
        <v>183</v>
      </c>
      <c r="G63" s="82" t="s">
        <v>184</v>
      </c>
    </row>
    <row r="64" spans="1:32" x14ac:dyDescent="0.25">
      <c r="A64" s="42" t="s">
        <v>185</v>
      </c>
      <c r="G64" s="82" t="s">
        <v>186</v>
      </c>
    </row>
    <row r="65" spans="1:10" x14ac:dyDescent="0.25">
      <c r="A65" s="42" t="s">
        <v>187</v>
      </c>
      <c r="G65" s="82" t="s">
        <v>188</v>
      </c>
    </row>
    <row r="67" spans="1:10" x14ac:dyDescent="0.25">
      <c r="A67" s="42" t="s">
        <v>180</v>
      </c>
    </row>
    <row r="68" spans="1:10" x14ac:dyDescent="0.25">
      <c r="A68" s="42" t="s">
        <v>189</v>
      </c>
    </row>
    <row r="69" spans="1:10" x14ac:dyDescent="0.25">
      <c r="A69" s="42" t="s">
        <v>190</v>
      </c>
    </row>
    <row r="70" spans="1:10" x14ac:dyDescent="0.25">
      <c r="A70" s="42" t="s">
        <v>191</v>
      </c>
    </row>
    <row r="71" spans="1:10" x14ac:dyDescent="0.25">
      <c r="A71" s="42" t="s">
        <v>192</v>
      </c>
    </row>
    <row r="73" spans="1:10" x14ac:dyDescent="0.25">
      <c r="A73" s="81" t="s">
        <v>193</v>
      </c>
      <c r="D73" s="81" t="s">
        <v>194</v>
      </c>
      <c r="G73" s="82" t="s">
        <v>114</v>
      </c>
    </row>
    <row r="74" spans="1:10" x14ac:dyDescent="0.25">
      <c r="A74" s="81" t="s">
        <v>195</v>
      </c>
      <c r="G74" s="83" t="s">
        <v>196</v>
      </c>
    </row>
    <row r="75" spans="1:10" x14ac:dyDescent="0.25">
      <c r="A75" s="81" t="s">
        <v>197</v>
      </c>
      <c r="D75" s="81" t="s">
        <v>198</v>
      </c>
      <c r="G75" s="83" t="s">
        <v>199</v>
      </c>
    </row>
    <row r="76" spans="1:10" x14ac:dyDescent="0.25">
      <c r="A76" s="81" t="s">
        <v>200</v>
      </c>
      <c r="D76" s="81" t="s">
        <v>201</v>
      </c>
      <c r="G76" s="83" t="s">
        <v>202</v>
      </c>
      <c r="J76" s="83" t="s">
        <v>203</v>
      </c>
    </row>
    <row r="78" spans="1:10" x14ac:dyDescent="0.25">
      <c r="A78" s="81" t="s">
        <v>204</v>
      </c>
      <c r="B78" s="81" t="s">
        <v>205</v>
      </c>
    </row>
    <row r="79" spans="1:10" x14ac:dyDescent="0.25">
      <c r="B79" s="81" t="s">
        <v>206</v>
      </c>
    </row>
    <row r="80" spans="1:10" x14ac:dyDescent="0.25">
      <c r="B80" s="81" t="s">
        <v>207</v>
      </c>
    </row>
    <row r="81" spans="1:2" x14ac:dyDescent="0.25">
      <c r="B81" s="81" t="s">
        <v>208</v>
      </c>
    </row>
    <row r="82" spans="1:2" x14ac:dyDescent="0.25">
      <c r="B82" s="81" t="s">
        <v>209</v>
      </c>
    </row>
    <row r="84" spans="1:2" x14ac:dyDescent="0.25">
      <c r="A84" s="81" t="s">
        <v>210</v>
      </c>
      <c r="B84" s="81" t="s">
        <v>211</v>
      </c>
    </row>
    <row r="85" spans="1:2" x14ac:dyDescent="0.25">
      <c r="B85" s="81" t="s">
        <v>212</v>
      </c>
    </row>
  </sheetData>
  <mergeCells count="9">
    <mergeCell ref="H14:M14"/>
    <mergeCell ref="P14:T14"/>
    <mergeCell ref="F21:J21"/>
    <mergeCell ref="L21:P21"/>
    <mergeCell ref="A48:A49"/>
    <mergeCell ref="B48:B49"/>
    <mergeCell ref="C48:C49"/>
    <mergeCell ref="D48:D49"/>
    <mergeCell ref="A52:C52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202501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2023-05-10T06:00:00Z</dcterms:created>
  <dcterms:modified xsi:type="dcterms:W3CDTF">2025-01-16T01:07:19Z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BF8E8C0F1A0A7BCF83837F677006BDA7_42</vt:lpwstr>
  </property>
</Properties>
</file>