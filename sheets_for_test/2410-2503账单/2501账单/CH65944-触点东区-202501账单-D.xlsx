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/>
  <mc:AlternateContent xmlns:mc="http://schemas.openxmlformats.org/markup-compatibility/2006">
    <mc:Choice Requires="x15">
      <x15ac:absPath xmlns:x15ac="http://schemas.microsoft.com/office/spreadsheetml/2010/11/ac" url="C:\Users\zidan.luo\Desktop\"/>
    </mc:Choice>
  </mc:AlternateContent>
  <xr:revisionPtr revIDLastSave="0" documentId="13_ncr:1_{6A64E22F-B988-4D49-94D3-093B38E4B43A}" xr6:coauthVersionLast="36" xr6:coauthVersionMax="36" xr10:uidLastSave="{00000000-0000-0000-0000-000000000000}"/>
  <bookViews>
    <workbookView xWindow="0" yWindow="0" windowWidth="23040" windowHeight="9012" activeTab="1" xr2:uid="{00000000-000D-0000-FFFF-FFFF00000000}"/>
  </bookViews>
  <sheets>
    <sheet name="202501" sheetId="1" r:id="rId1"/>
    <sheet name="对账单" sheetId="3" r:id="rId2"/>
    <sheet name="系统" sheetId="2" r:id="rId3"/>
  </sheets>
  <definedNames>
    <definedName name="_xlnm._FilterDatabase" localSheetId="0" hidden="1">'202501'!$A$1:$BE$30</definedName>
  </definedNames>
  <calcPr calcId="191029"/>
</workbook>
</file>

<file path=xl/calcChain.xml><?xml version="1.0" encoding="utf-8"?>
<calcChain xmlns="http://schemas.openxmlformats.org/spreadsheetml/2006/main">
  <c r="D2" i="3" l="1"/>
  <c r="E14" i="3"/>
  <c r="E11" i="3"/>
  <c r="E5" i="3"/>
  <c r="C6" i="3" l="1"/>
  <c r="C7" i="3"/>
  <c r="C5" i="3"/>
  <c r="C4" i="3"/>
  <c r="C2" i="3"/>
  <c r="H226" i="2"/>
  <c r="F226" i="2"/>
  <c r="D226" i="2"/>
  <c r="Y217" i="2"/>
  <c r="W217" i="2"/>
  <c r="R217" i="2"/>
  <c r="P217" i="2"/>
  <c r="O217" i="2"/>
  <c r="N217" i="2"/>
  <c r="M217" i="2"/>
  <c r="L217" i="2"/>
  <c r="J217" i="2"/>
  <c r="I217" i="2"/>
  <c r="H217" i="2"/>
  <c r="G217" i="2"/>
  <c r="F217" i="2"/>
  <c r="S216" i="2"/>
  <c r="Q216" i="2"/>
  <c r="K216" i="2"/>
  <c r="Q215" i="2"/>
  <c r="S215" i="2" s="1"/>
  <c r="K215" i="2"/>
  <c r="Q214" i="2"/>
  <c r="K214" i="2"/>
  <c r="S214" i="2" s="1"/>
  <c r="Q213" i="2"/>
  <c r="K213" i="2"/>
  <c r="S213" i="2" s="1"/>
  <c r="S212" i="2"/>
  <c r="Q212" i="2"/>
  <c r="K212" i="2"/>
  <c r="Q211" i="2"/>
  <c r="S211" i="2" s="1"/>
  <c r="K211" i="2"/>
  <c r="Q210" i="2"/>
  <c r="K210" i="2"/>
  <c r="S210" i="2" s="1"/>
  <c r="Q209" i="2"/>
  <c r="K209" i="2"/>
  <c r="S209" i="2" s="1"/>
  <c r="S208" i="2"/>
  <c r="Q208" i="2"/>
  <c r="K208" i="2"/>
  <c r="Q207" i="2"/>
  <c r="S207" i="2" s="1"/>
  <c r="K207" i="2"/>
  <c r="Q206" i="2"/>
  <c r="K206" i="2"/>
  <c r="S206" i="2" s="1"/>
  <c r="Q205" i="2"/>
  <c r="K205" i="2"/>
  <c r="S205" i="2" s="1"/>
  <c r="S204" i="2"/>
  <c r="Q204" i="2"/>
  <c r="K204" i="2"/>
  <c r="Q203" i="2"/>
  <c r="S203" i="2" s="1"/>
  <c r="K203" i="2"/>
  <c r="Q202" i="2"/>
  <c r="K202" i="2"/>
  <c r="S202" i="2" s="1"/>
  <c r="Q201" i="2"/>
  <c r="K201" i="2"/>
  <c r="S201" i="2" s="1"/>
  <c r="S200" i="2"/>
  <c r="Q200" i="2"/>
  <c r="K200" i="2"/>
  <c r="Q199" i="2"/>
  <c r="S199" i="2" s="1"/>
  <c r="K199" i="2"/>
  <c r="Q198" i="2"/>
  <c r="K198" i="2"/>
  <c r="S198" i="2" s="1"/>
  <c r="Q197" i="2"/>
  <c r="K197" i="2"/>
  <c r="S197" i="2" s="1"/>
  <c r="S196" i="2"/>
  <c r="Q196" i="2"/>
  <c r="K196" i="2"/>
  <c r="Q195" i="2"/>
  <c r="S195" i="2" s="1"/>
  <c r="K195" i="2"/>
  <c r="Q194" i="2"/>
  <c r="K194" i="2"/>
  <c r="S194" i="2" s="1"/>
  <c r="Q193" i="2"/>
  <c r="K193" i="2"/>
  <c r="S193" i="2" s="1"/>
  <c r="S192" i="2"/>
  <c r="Q192" i="2"/>
  <c r="K192" i="2"/>
  <c r="Q191" i="2"/>
  <c r="S191" i="2" s="1"/>
  <c r="K191" i="2"/>
  <c r="Q190" i="2"/>
  <c r="K190" i="2"/>
  <c r="S190" i="2" s="1"/>
  <c r="Q189" i="2"/>
  <c r="K189" i="2"/>
  <c r="S189" i="2" s="1"/>
  <c r="S188" i="2"/>
  <c r="Q188" i="2"/>
  <c r="K188" i="2"/>
  <c r="Q187" i="2"/>
  <c r="S187" i="2" s="1"/>
  <c r="K187" i="2"/>
  <c r="Q186" i="2"/>
  <c r="K186" i="2"/>
  <c r="S186" i="2" s="1"/>
  <c r="Q185" i="2"/>
  <c r="K185" i="2"/>
  <c r="S185" i="2" s="1"/>
  <c r="S184" i="2"/>
  <c r="Q184" i="2"/>
  <c r="K184" i="2"/>
  <c r="Q183" i="2"/>
  <c r="S183" i="2" s="1"/>
  <c r="K183" i="2"/>
  <c r="Q182" i="2"/>
  <c r="K182" i="2"/>
  <c r="S182" i="2" s="1"/>
  <c r="Q181" i="2"/>
  <c r="K181" i="2"/>
  <c r="S181" i="2" s="1"/>
  <c r="S180" i="2"/>
  <c r="Q180" i="2"/>
  <c r="K180" i="2"/>
  <c r="Q179" i="2"/>
  <c r="S179" i="2" s="1"/>
  <c r="K179" i="2"/>
  <c r="Q178" i="2"/>
  <c r="K178" i="2"/>
  <c r="S178" i="2" s="1"/>
  <c r="Q177" i="2"/>
  <c r="K177" i="2"/>
  <c r="S177" i="2" s="1"/>
  <c r="S176" i="2"/>
  <c r="Q176" i="2"/>
  <c r="K176" i="2"/>
  <c r="Q175" i="2"/>
  <c r="S175" i="2" s="1"/>
  <c r="K175" i="2"/>
  <c r="Q174" i="2"/>
  <c r="K174" i="2"/>
  <c r="S174" i="2" s="1"/>
  <c r="Q173" i="2"/>
  <c r="K173" i="2"/>
  <c r="S173" i="2" s="1"/>
  <c r="S172" i="2"/>
  <c r="Q172" i="2"/>
  <c r="K172" i="2"/>
  <c r="Q171" i="2"/>
  <c r="S171" i="2" s="1"/>
  <c r="K171" i="2"/>
  <c r="Q170" i="2"/>
  <c r="K170" i="2"/>
  <c r="S170" i="2" s="1"/>
  <c r="Q169" i="2"/>
  <c r="K169" i="2"/>
  <c r="S169" i="2" s="1"/>
  <c r="S168" i="2"/>
  <c r="Q168" i="2"/>
  <c r="K168" i="2"/>
  <c r="Q167" i="2"/>
  <c r="S167" i="2" s="1"/>
  <c r="K167" i="2"/>
  <c r="Q166" i="2"/>
  <c r="K166" i="2"/>
  <c r="S166" i="2" s="1"/>
  <c r="Q165" i="2"/>
  <c r="K165" i="2"/>
  <c r="S165" i="2" s="1"/>
  <c r="S164" i="2"/>
  <c r="Q164" i="2"/>
  <c r="K164" i="2"/>
  <c r="Q163" i="2"/>
  <c r="S163" i="2" s="1"/>
  <c r="K163" i="2"/>
  <c r="Q162" i="2"/>
  <c r="K162" i="2"/>
  <c r="S162" i="2" s="1"/>
  <c r="Q161" i="2"/>
  <c r="K161" i="2"/>
  <c r="S161" i="2" s="1"/>
  <c r="S160" i="2"/>
  <c r="Q160" i="2"/>
  <c r="K160" i="2"/>
  <c r="Q159" i="2"/>
  <c r="S159" i="2" s="1"/>
  <c r="K159" i="2"/>
  <c r="Q158" i="2"/>
  <c r="K158" i="2"/>
  <c r="S158" i="2" s="1"/>
  <c r="Q157" i="2"/>
  <c r="K157" i="2"/>
  <c r="S157" i="2" s="1"/>
  <c r="S156" i="2"/>
  <c r="Q156" i="2"/>
  <c r="K156" i="2"/>
  <c r="Q155" i="2"/>
  <c r="S155" i="2" s="1"/>
  <c r="K155" i="2"/>
  <c r="Q154" i="2"/>
  <c r="K154" i="2"/>
  <c r="S154" i="2" s="1"/>
  <c r="Q153" i="2"/>
  <c r="K153" i="2"/>
  <c r="S153" i="2" s="1"/>
  <c r="S152" i="2"/>
  <c r="Q152" i="2"/>
  <c r="K152" i="2"/>
  <c r="Q151" i="2"/>
  <c r="S151" i="2" s="1"/>
  <c r="K151" i="2"/>
  <c r="Q150" i="2"/>
  <c r="K150" i="2"/>
  <c r="S150" i="2" s="1"/>
  <c r="Q149" i="2"/>
  <c r="K149" i="2"/>
  <c r="S149" i="2" s="1"/>
  <c r="S148" i="2"/>
  <c r="Q148" i="2"/>
  <c r="K148" i="2"/>
  <c r="Q147" i="2"/>
  <c r="S147" i="2" s="1"/>
  <c r="K147" i="2"/>
  <c r="Q146" i="2"/>
  <c r="K146" i="2"/>
  <c r="S146" i="2" s="1"/>
  <c r="Q145" i="2"/>
  <c r="K145" i="2"/>
  <c r="S145" i="2" s="1"/>
  <c r="S144" i="2"/>
  <c r="Q144" i="2"/>
  <c r="K144" i="2"/>
  <c r="Q143" i="2"/>
  <c r="S143" i="2" s="1"/>
  <c r="K143" i="2"/>
  <c r="Q142" i="2"/>
  <c r="K142" i="2"/>
  <c r="S142" i="2" s="1"/>
  <c r="Q141" i="2"/>
  <c r="K141" i="2"/>
  <c r="S141" i="2" s="1"/>
  <c r="S140" i="2"/>
  <c r="Q140" i="2"/>
  <c r="K140" i="2"/>
  <c r="Q139" i="2"/>
  <c r="S139" i="2" s="1"/>
  <c r="K139" i="2"/>
  <c r="Q138" i="2"/>
  <c r="K138" i="2"/>
  <c r="S138" i="2" s="1"/>
  <c r="Q137" i="2"/>
  <c r="K137" i="2"/>
  <c r="S137" i="2" s="1"/>
  <c r="S136" i="2"/>
  <c r="Q136" i="2"/>
  <c r="K136" i="2"/>
  <c r="Q135" i="2"/>
  <c r="S135" i="2" s="1"/>
  <c r="K135" i="2"/>
  <c r="Q134" i="2"/>
  <c r="K134" i="2"/>
  <c r="S134" i="2" s="1"/>
  <c r="Q133" i="2"/>
  <c r="K133" i="2"/>
  <c r="S133" i="2" s="1"/>
  <c r="S132" i="2"/>
  <c r="Q132" i="2"/>
  <c r="K132" i="2"/>
  <c r="Q131" i="2"/>
  <c r="S131" i="2" s="1"/>
  <c r="K131" i="2"/>
  <c r="Q130" i="2"/>
  <c r="K130" i="2"/>
  <c r="S130" i="2" s="1"/>
  <c r="Q129" i="2"/>
  <c r="K129" i="2"/>
  <c r="S129" i="2" s="1"/>
  <c r="S128" i="2"/>
  <c r="Q128" i="2"/>
  <c r="K128" i="2"/>
  <c r="Q127" i="2"/>
  <c r="S127" i="2" s="1"/>
  <c r="K127" i="2"/>
  <c r="Q126" i="2"/>
  <c r="K126" i="2"/>
  <c r="S126" i="2" s="1"/>
  <c r="Q125" i="2"/>
  <c r="K125" i="2"/>
  <c r="S125" i="2" s="1"/>
  <c r="S124" i="2"/>
  <c r="Q124" i="2"/>
  <c r="K124" i="2"/>
  <c r="Q123" i="2"/>
  <c r="S123" i="2" s="1"/>
  <c r="K123" i="2"/>
  <c r="Q122" i="2"/>
  <c r="K122" i="2"/>
  <c r="S122" i="2" s="1"/>
  <c r="Q121" i="2"/>
  <c r="K121" i="2"/>
  <c r="S121" i="2" s="1"/>
  <c r="S120" i="2"/>
  <c r="Q120" i="2"/>
  <c r="K120" i="2"/>
  <c r="Q119" i="2"/>
  <c r="S119" i="2" s="1"/>
  <c r="K119" i="2"/>
  <c r="Q118" i="2"/>
  <c r="K118" i="2"/>
  <c r="S118" i="2" s="1"/>
  <c r="Q117" i="2"/>
  <c r="K117" i="2"/>
  <c r="S117" i="2" s="1"/>
  <c r="S116" i="2"/>
  <c r="Q116" i="2"/>
  <c r="K116" i="2"/>
  <c r="Q115" i="2"/>
  <c r="S115" i="2" s="1"/>
  <c r="K115" i="2"/>
  <c r="Q114" i="2"/>
  <c r="K114" i="2"/>
  <c r="S114" i="2" s="1"/>
  <c r="Q113" i="2"/>
  <c r="K113" i="2"/>
  <c r="S113" i="2" s="1"/>
  <c r="S112" i="2"/>
  <c r="Q112" i="2"/>
  <c r="K112" i="2"/>
  <c r="Q111" i="2"/>
  <c r="S111" i="2" s="1"/>
  <c r="K111" i="2"/>
  <c r="Q110" i="2"/>
  <c r="K110" i="2"/>
  <c r="S110" i="2" s="1"/>
  <c r="Q109" i="2"/>
  <c r="K109" i="2"/>
  <c r="S109" i="2" s="1"/>
  <c r="S108" i="2"/>
  <c r="Q108" i="2"/>
  <c r="K108" i="2"/>
  <c r="Q107" i="2"/>
  <c r="S107" i="2" s="1"/>
  <c r="K107" i="2"/>
  <c r="Q106" i="2"/>
  <c r="K106" i="2"/>
  <c r="S106" i="2" s="1"/>
  <c r="Q105" i="2"/>
  <c r="K105" i="2"/>
  <c r="S105" i="2" s="1"/>
  <c r="S104" i="2"/>
  <c r="Q104" i="2"/>
  <c r="K104" i="2"/>
  <c r="Q103" i="2"/>
  <c r="S103" i="2" s="1"/>
  <c r="K103" i="2"/>
  <c r="Q102" i="2"/>
  <c r="K102" i="2"/>
  <c r="S102" i="2" s="1"/>
  <c r="Q101" i="2"/>
  <c r="K101" i="2"/>
  <c r="S101" i="2" s="1"/>
  <c r="S100" i="2"/>
  <c r="Q100" i="2"/>
  <c r="K100" i="2"/>
  <c r="Q99" i="2"/>
  <c r="S99" i="2" s="1"/>
  <c r="K99" i="2"/>
  <c r="Q98" i="2"/>
  <c r="K98" i="2"/>
  <c r="S98" i="2" s="1"/>
  <c r="Q97" i="2"/>
  <c r="K97" i="2"/>
  <c r="S97" i="2" s="1"/>
  <c r="S96" i="2"/>
  <c r="Q96" i="2"/>
  <c r="K96" i="2"/>
  <c r="Q95" i="2"/>
  <c r="S95" i="2" s="1"/>
  <c r="K95" i="2"/>
  <c r="Q94" i="2"/>
  <c r="K94" i="2"/>
  <c r="S94" i="2" s="1"/>
  <c r="Q93" i="2"/>
  <c r="K93" i="2"/>
  <c r="S93" i="2" s="1"/>
  <c r="S92" i="2"/>
  <c r="Q92" i="2"/>
  <c r="K92" i="2"/>
  <c r="Q91" i="2"/>
  <c r="S91" i="2" s="1"/>
  <c r="K91" i="2"/>
  <c r="Q90" i="2"/>
  <c r="K90" i="2"/>
  <c r="S90" i="2" s="1"/>
  <c r="Q89" i="2"/>
  <c r="K89" i="2"/>
  <c r="S89" i="2" s="1"/>
  <c r="S88" i="2"/>
  <c r="Q88" i="2"/>
  <c r="K88" i="2"/>
  <c r="Q87" i="2"/>
  <c r="S87" i="2" s="1"/>
  <c r="K87" i="2"/>
  <c r="Q86" i="2"/>
  <c r="K86" i="2"/>
  <c r="S86" i="2" s="1"/>
  <c r="Q85" i="2"/>
  <c r="K85" i="2"/>
  <c r="S85" i="2" s="1"/>
  <c r="S84" i="2"/>
  <c r="Q84" i="2"/>
  <c r="K84" i="2"/>
  <c r="Q83" i="2"/>
  <c r="S83" i="2" s="1"/>
  <c r="K83" i="2"/>
  <c r="Q82" i="2"/>
  <c r="K82" i="2"/>
  <c r="S82" i="2" s="1"/>
  <c r="Q81" i="2"/>
  <c r="K81" i="2"/>
  <c r="S81" i="2" s="1"/>
  <c r="S80" i="2"/>
  <c r="Q80" i="2"/>
  <c r="K80" i="2"/>
  <c r="Q79" i="2"/>
  <c r="S79" i="2" s="1"/>
  <c r="K79" i="2"/>
  <c r="Q78" i="2"/>
  <c r="K78" i="2"/>
  <c r="S78" i="2" s="1"/>
  <c r="Q77" i="2"/>
  <c r="K77" i="2"/>
  <c r="S77" i="2" s="1"/>
  <c r="S76" i="2"/>
  <c r="Q76" i="2"/>
  <c r="K76" i="2"/>
  <c r="Q75" i="2"/>
  <c r="S75" i="2" s="1"/>
  <c r="K75" i="2"/>
  <c r="Q74" i="2"/>
  <c r="K74" i="2"/>
  <c r="S74" i="2" s="1"/>
  <c r="Q73" i="2"/>
  <c r="K73" i="2"/>
  <c r="S73" i="2" s="1"/>
  <c r="S72" i="2"/>
  <c r="Q72" i="2"/>
  <c r="K72" i="2"/>
  <c r="Q71" i="2"/>
  <c r="S71" i="2" s="1"/>
  <c r="K71" i="2"/>
  <c r="Q70" i="2"/>
  <c r="K70" i="2"/>
  <c r="S70" i="2" s="1"/>
  <c r="Q69" i="2"/>
  <c r="K69" i="2"/>
  <c r="S69" i="2" s="1"/>
  <c r="S68" i="2"/>
  <c r="Q68" i="2"/>
  <c r="K68" i="2"/>
  <c r="Q67" i="2"/>
  <c r="S67" i="2" s="1"/>
  <c r="K67" i="2"/>
  <c r="Q66" i="2"/>
  <c r="K66" i="2"/>
  <c r="S66" i="2" s="1"/>
  <c r="Q65" i="2"/>
  <c r="K65" i="2"/>
  <c r="S65" i="2" s="1"/>
  <c r="S64" i="2"/>
  <c r="Q64" i="2"/>
  <c r="K64" i="2"/>
  <c r="Q63" i="2"/>
  <c r="S63" i="2" s="1"/>
  <c r="K63" i="2"/>
  <c r="Q62" i="2"/>
  <c r="K62" i="2"/>
  <c r="S62" i="2" s="1"/>
  <c r="Q61" i="2"/>
  <c r="K61" i="2"/>
  <c r="S61" i="2" s="1"/>
  <c r="S60" i="2"/>
  <c r="Q60" i="2"/>
  <c r="K60" i="2"/>
  <c r="Q59" i="2"/>
  <c r="S59" i="2" s="1"/>
  <c r="K59" i="2"/>
  <c r="Q58" i="2"/>
  <c r="K58" i="2"/>
  <c r="S58" i="2" s="1"/>
  <c r="Q57" i="2"/>
  <c r="K57" i="2"/>
  <c r="S57" i="2" s="1"/>
  <c r="S56" i="2"/>
  <c r="Q56" i="2"/>
  <c r="K56" i="2"/>
  <c r="Q55" i="2"/>
  <c r="S55" i="2" s="1"/>
  <c r="K55" i="2"/>
  <c r="Q54" i="2"/>
  <c r="K54" i="2"/>
  <c r="S54" i="2" s="1"/>
  <c r="Q53" i="2"/>
  <c r="K53" i="2"/>
  <c r="S53" i="2" s="1"/>
  <c r="S52" i="2"/>
  <c r="Q52" i="2"/>
  <c r="K52" i="2"/>
  <c r="Q51" i="2"/>
  <c r="S51" i="2" s="1"/>
  <c r="K51" i="2"/>
  <c r="K217" i="2" s="1"/>
  <c r="AF46" i="2"/>
  <c r="AD46" i="2"/>
  <c r="Y46" i="2"/>
  <c r="X46" i="2"/>
  <c r="W46" i="2"/>
  <c r="U46" i="2"/>
  <c r="T46" i="2"/>
  <c r="S46" i="2"/>
  <c r="R46" i="2"/>
  <c r="Q46" i="2"/>
  <c r="P46" i="2"/>
  <c r="N46" i="2"/>
  <c r="M46" i="2"/>
  <c r="L46" i="2"/>
  <c r="K46" i="2"/>
  <c r="J46" i="2"/>
  <c r="I46" i="2"/>
  <c r="H46" i="2"/>
  <c r="E46" i="2"/>
  <c r="Z45" i="2"/>
  <c r="V45" i="2"/>
  <c r="O45" i="2"/>
  <c r="V44" i="2"/>
  <c r="Z44" i="2" s="1"/>
  <c r="O44" i="2"/>
  <c r="V43" i="2"/>
  <c r="O43" i="2"/>
  <c r="Z43" i="2" s="1"/>
  <c r="V42" i="2"/>
  <c r="O42" i="2"/>
  <c r="Z42" i="2" s="1"/>
  <c r="Z41" i="2"/>
  <c r="V41" i="2"/>
  <c r="O41" i="2"/>
  <c r="V40" i="2"/>
  <c r="Z40" i="2" s="1"/>
  <c r="O40" i="2"/>
  <c r="V39" i="2"/>
  <c r="O39" i="2"/>
  <c r="Z39" i="2" s="1"/>
  <c r="V38" i="2"/>
  <c r="O38" i="2"/>
  <c r="Z38" i="2" s="1"/>
  <c r="Z37" i="2"/>
  <c r="V37" i="2"/>
  <c r="O37" i="2"/>
  <c r="V36" i="2"/>
  <c r="Z36" i="2" s="1"/>
  <c r="O36" i="2"/>
  <c r="V35" i="2"/>
  <c r="O35" i="2"/>
  <c r="Z35" i="2" s="1"/>
  <c r="V34" i="2"/>
  <c r="O34" i="2"/>
  <c r="Z34" i="2" s="1"/>
  <c r="Z33" i="2"/>
  <c r="V33" i="2"/>
  <c r="O33" i="2"/>
  <c r="V32" i="2"/>
  <c r="Z32" i="2" s="1"/>
  <c r="O32" i="2"/>
  <c r="V31" i="2"/>
  <c r="O31" i="2"/>
  <c r="Z31" i="2" s="1"/>
  <c r="V30" i="2"/>
  <c r="O30" i="2"/>
  <c r="Z30" i="2" s="1"/>
  <c r="Z29" i="2"/>
  <c r="V29" i="2"/>
  <c r="O29" i="2"/>
  <c r="V28" i="2"/>
  <c r="Z28" i="2" s="1"/>
  <c r="O28" i="2"/>
  <c r="V27" i="2"/>
  <c r="O27" i="2"/>
  <c r="Z27" i="2" s="1"/>
  <c r="V26" i="2"/>
  <c r="O26" i="2"/>
  <c r="Z26" i="2" s="1"/>
  <c r="Z25" i="2"/>
  <c r="V25" i="2"/>
  <c r="O25" i="2"/>
  <c r="V24" i="2"/>
  <c r="Z24" i="2" s="1"/>
  <c r="O24" i="2"/>
  <c r="V23" i="2"/>
  <c r="O23" i="2"/>
  <c r="Z23" i="2" s="1"/>
  <c r="V22" i="2"/>
  <c r="O22" i="2"/>
  <c r="Z22" i="2" s="1"/>
  <c r="Z21" i="2"/>
  <c r="V21" i="2"/>
  <c r="O21" i="2"/>
  <c r="V20" i="2"/>
  <c r="Z20" i="2" s="1"/>
  <c r="O20" i="2"/>
  <c r="V19" i="2"/>
  <c r="O19" i="2"/>
  <c r="Z19" i="2" s="1"/>
  <c r="V18" i="2"/>
  <c r="O18" i="2"/>
  <c r="Z18" i="2" s="1"/>
  <c r="Z17" i="2"/>
  <c r="V17" i="2"/>
  <c r="O17" i="2"/>
  <c r="V16" i="2"/>
  <c r="Z16" i="2" s="1"/>
  <c r="Z46" i="2" s="1"/>
  <c r="O16" i="2"/>
  <c r="S217" i="2" l="1"/>
  <c r="O46" i="2"/>
  <c r="Q217" i="2"/>
  <c r="V46" i="2"/>
  <c r="D7" i="3" l="1"/>
  <c r="AW30" i="1" l="1"/>
  <c r="BB30" i="1"/>
  <c r="AV31" i="1"/>
  <c r="AW28" i="1"/>
  <c r="BB28" i="1"/>
  <c r="BB31" i="1"/>
  <c r="Z31" i="1" l="1"/>
  <c r="AX31" i="1" l="1"/>
  <c r="BA31" i="1"/>
  <c r="B3" i="3" s="1"/>
  <c r="BC30" i="1"/>
  <c r="BC31" i="1" s="1"/>
  <c r="D11" i="3"/>
  <c r="AG31" i="1"/>
  <c r="B4" i="3" s="1"/>
  <c r="AG30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" i="1"/>
  <c r="Z4" i="1"/>
  <c r="AK4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B5" i="3"/>
  <c r="B8" i="3" l="1"/>
  <c r="J8" i="3" s="1"/>
  <c r="B10" i="3"/>
  <c r="J10" i="3" s="1"/>
  <c r="B9" i="3"/>
  <c r="D13" i="3"/>
  <c r="I10" i="3"/>
  <c r="G11" i="3"/>
  <c r="I8" i="3"/>
  <c r="I7" i="3"/>
  <c r="J6" i="3"/>
  <c r="I6" i="3"/>
  <c r="I5" i="3"/>
  <c r="I4" i="3"/>
  <c r="J4" i="3"/>
  <c r="I3" i="3"/>
  <c r="J3" i="3"/>
  <c r="J9" i="3" l="1"/>
  <c r="F9" i="3"/>
  <c r="J5" i="3"/>
  <c r="C11" i="3"/>
  <c r="C14" i="3" s="1"/>
  <c r="H11" i="3"/>
  <c r="H13" i="3"/>
  <c r="H14" i="3" s="1"/>
  <c r="G13" i="3"/>
  <c r="G14" i="3"/>
  <c r="D14" i="3"/>
  <c r="I2" i="3"/>
  <c r="F11" i="3" l="1"/>
  <c r="I9" i="3"/>
  <c r="F13" i="3" l="1"/>
  <c r="I13" i="3" s="1"/>
  <c r="I11" i="3"/>
  <c r="F14" i="3" l="1"/>
  <c r="I14" i="3" s="1"/>
  <c r="K64" i="1" l="1"/>
  <c r="J72" i="1"/>
  <c r="A71" i="1"/>
  <c r="AX27" i="1" l="1"/>
  <c r="AX9" i="1"/>
  <c r="AX4" i="1"/>
  <c r="AY30" i="1" l="1"/>
  <c r="AU30" i="1"/>
  <c r="AY31" i="1" l="1"/>
  <c r="X30" i="1" l="1"/>
  <c r="A30" i="1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BD30" i="1" l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T29" i="1" l="1"/>
  <c r="AS29" i="1"/>
  <c r="AP29" i="1"/>
  <c r="AO29" i="1"/>
  <c r="AN29" i="1"/>
  <c r="AG29" i="1"/>
  <c r="X29" i="1" s="1"/>
  <c r="AT28" i="1"/>
  <c r="AS28" i="1"/>
  <c r="AP28" i="1"/>
  <c r="AN28" i="1"/>
  <c r="AG28" i="1"/>
  <c r="X28" i="1" s="1"/>
  <c r="AT27" i="1"/>
  <c r="AS27" i="1"/>
  <c r="AP27" i="1"/>
  <c r="AN27" i="1"/>
  <c r="AG27" i="1"/>
  <c r="X27" i="1" s="1"/>
  <c r="AT26" i="1"/>
  <c r="AS26" i="1"/>
  <c r="AP26" i="1"/>
  <c r="AO26" i="1"/>
  <c r="AN26" i="1"/>
  <c r="AT25" i="1"/>
  <c r="AS25" i="1"/>
  <c r="AP25" i="1"/>
  <c r="AO25" i="1"/>
  <c r="AN25" i="1"/>
  <c r="AG25" i="1"/>
  <c r="X25" i="1" s="1"/>
  <c r="AT24" i="1"/>
  <c r="AS24" i="1"/>
  <c r="AP24" i="1"/>
  <c r="AO24" i="1"/>
  <c r="AN24" i="1"/>
  <c r="AG24" i="1"/>
  <c r="X24" i="1" s="1"/>
  <c r="AT23" i="1"/>
  <c r="AS23" i="1"/>
  <c r="AP23" i="1"/>
  <c r="AO23" i="1"/>
  <c r="AN23" i="1"/>
  <c r="AG23" i="1"/>
  <c r="X23" i="1" s="1"/>
  <c r="AT22" i="1"/>
  <c r="AS22" i="1"/>
  <c r="AP22" i="1"/>
  <c r="AN22" i="1"/>
  <c r="AG22" i="1"/>
  <c r="X22" i="1" s="1"/>
  <c r="AT21" i="1"/>
  <c r="AS21" i="1"/>
  <c r="AP21" i="1"/>
  <c r="AN21" i="1"/>
  <c r="AG21" i="1"/>
  <c r="X21" i="1" s="1"/>
  <c r="AT20" i="1"/>
  <c r="AS20" i="1"/>
  <c r="AP20" i="1"/>
  <c r="AO20" i="1"/>
  <c r="AN20" i="1"/>
  <c r="AT19" i="1"/>
  <c r="AS19" i="1"/>
  <c r="AP19" i="1"/>
  <c r="AO19" i="1"/>
  <c r="AN19" i="1"/>
  <c r="AT18" i="1"/>
  <c r="AS18" i="1"/>
  <c r="AP18" i="1"/>
  <c r="AN18" i="1"/>
  <c r="AG18" i="1"/>
  <c r="X18" i="1" s="1"/>
  <c r="AT17" i="1"/>
  <c r="AS17" i="1"/>
  <c r="AP17" i="1"/>
  <c r="AO17" i="1"/>
  <c r="AN17" i="1"/>
  <c r="AT16" i="1"/>
  <c r="AS16" i="1"/>
  <c r="AP16" i="1"/>
  <c r="AO16" i="1"/>
  <c r="AN16" i="1"/>
  <c r="AG16" i="1"/>
  <c r="X16" i="1" s="1"/>
  <c r="AT15" i="1"/>
  <c r="AS15" i="1"/>
  <c r="AP15" i="1"/>
  <c r="AO15" i="1"/>
  <c r="AN15" i="1"/>
  <c r="AG15" i="1"/>
  <c r="X15" i="1" s="1"/>
  <c r="AT14" i="1"/>
  <c r="AS14" i="1"/>
  <c r="AP14" i="1"/>
  <c r="AO14" i="1"/>
  <c r="AN14" i="1"/>
  <c r="AG14" i="1"/>
  <c r="X14" i="1" s="1"/>
  <c r="AT13" i="1"/>
  <c r="AS13" i="1"/>
  <c r="AP13" i="1"/>
  <c r="AN13" i="1"/>
  <c r="AG13" i="1"/>
  <c r="X13" i="1" s="1"/>
  <c r="AT12" i="1"/>
  <c r="AS12" i="1"/>
  <c r="AP12" i="1"/>
  <c r="AO12" i="1"/>
  <c r="AN12" i="1"/>
  <c r="AG12" i="1"/>
  <c r="X12" i="1" s="1"/>
  <c r="AT11" i="1"/>
  <c r="AS11" i="1"/>
  <c r="AP11" i="1"/>
  <c r="AN11" i="1"/>
  <c r="AT10" i="1"/>
  <c r="AS10" i="1"/>
  <c r="AP10" i="1"/>
  <c r="AO10" i="1"/>
  <c r="AN10" i="1"/>
  <c r="AG10" i="1"/>
  <c r="X10" i="1" s="1"/>
  <c r="AT9" i="1"/>
  <c r="AS9" i="1"/>
  <c r="AP9" i="1"/>
  <c r="AO9" i="1"/>
  <c r="AN9" i="1"/>
  <c r="AG9" i="1"/>
  <c r="X9" i="1" s="1"/>
  <c r="AT8" i="1"/>
  <c r="AS8" i="1"/>
  <c r="AP8" i="1"/>
  <c r="AN8" i="1"/>
  <c r="AT7" i="1"/>
  <c r="AS7" i="1"/>
  <c r="AP7" i="1"/>
  <c r="AN7" i="1"/>
  <c r="AG7" i="1"/>
  <c r="X7" i="1" s="1"/>
  <c r="AT6" i="1"/>
  <c r="AS6" i="1"/>
  <c r="AP6" i="1"/>
  <c r="AN6" i="1"/>
  <c r="AT5" i="1"/>
  <c r="AS5" i="1"/>
  <c r="AP5" i="1"/>
  <c r="AO5" i="1"/>
  <c r="AN5" i="1"/>
  <c r="AG5" i="1"/>
  <c r="X5" i="1" s="1"/>
  <c r="AT4" i="1"/>
  <c r="AS4" i="1"/>
  <c r="AP4" i="1"/>
  <c r="AO4" i="1"/>
  <c r="AN4" i="1"/>
  <c r="AG4" i="1"/>
  <c r="X4" i="1" s="1"/>
  <c r="A4" i="1"/>
  <c r="AT3" i="1"/>
  <c r="AS3" i="1"/>
  <c r="AP3" i="1"/>
  <c r="AN3" i="1"/>
  <c r="AG3" i="1"/>
  <c r="X3" i="1" s="1"/>
  <c r="A3" i="1"/>
  <c r="AU7" i="1" l="1"/>
  <c r="AW7" i="1" s="1"/>
  <c r="BB7" i="1" s="1"/>
  <c r="AU11" i="1"/>
  <c r="AU18" i="1"/>
  <c r="AW18" i="1" s="1"/>
  <c r="BB18" i="1" s="1"/>
  <c r="AU24" i="1"/>
  <c r="AW24" i="1" s="1"/>
  <c r="BB24" i="1" s="1"/>
  <c r="AU4" i="1"/>
  <c r="AW4" i="1" s="1"/>
  <c r="AU19" i="1"/>
  <c r="AU20" i="1"/>
  <c r="AU28" i="1"/>
  <c r="AU29" i="1"/>
  <c r="AW29" i="1" s="1"/>
  <c r="BB29" i="1" s="1"/>
  <c r="AU9" i="1"/>
  <c r="AW9" i="1" s="1"/>
  <c r="BB9" i="1" s="1"/>
  <c r="AU12" i="1"/>
  <c r="AW12" i="1" s="1"/>
  <c r="BB12" i="1" s="1"/>
  <c r="AU14" i="1"/>
  <c r="AW14" i="1" s="1"/>
  <c r="BB14" i="1" s="1"/>
  <c r="AU23" i="1"/>
  <c r="AW23" i="1" s="1"/>
  <c r="BB23" i="1" s="1"/>
  <c r="AU26" i="1"/>
  <c r="AU5" i="1"/>
  <c r="AU10" i="1"/>
  <c r="AU15" i="1"/>
  <c r="AW15" i="1" s="1"/>
  <c r="BB15" i="1" s="1"/>
  <c r="AU21" i="1"/>
  <c r="AW21" i="1" s="1"/>
  <c r="BB21" i="1" s="1"/>
  <c r="AU16" i="1"/>
  <c r="AW16" i="1" s="1"/>
  <c r="BB16" i="1" s="1"/>
  <c r="AU27" i="1"/>
  <c r="AW27" i="1" s="1"/>
  <c r="BB27" i="1" s="1"/>
  <c r="AG6" i="1"/>
  <c r="X6" i="1" s="1"/>
  <c r="AG8" i="1"/>
  <c r="X8" i="1" s="1"/>
  <c r="AU13" i="1"/>
  <c r="AG20" i="1"/>
  <c r="X20" i="1" s="1"/>
  <c r="AU3" i="1"/>
  <c r="AU6" i="1"/>
  <c r="AU8" i="1"/>
  <c r="AG11" i="1"/>
  <c r="X11" i="1" s="1"/>
  <c r="AG17" i="1"/>
  <c r="X17" i="1" s="1"/>
  <c r="AU17" i="1"/>
  <c r="AG19" i="1"/>
  <c r="X19" i="1" s="1"/>
  <c r="AU22" i="1"/>
  <c r="AU25" i="1"/>
  <c r="AW25" i="1" s="1"/>
  <c r="BB25" i="1" s="1"/>
  <c r="AG26" i="1"/>
  <c r="X26" i="1" s="1"/>
  <c r="AW20" i="1" l="1"/>
  <c r="BB20" i="1" s="1"/>
  <c r="BD20" i="1" s="1"/>
  <c r="AW17" i="1"/>
  <c r="BB17" i="1" s="1"/>
  <c r="BD17" i="1" s="1"/>
  <c r="BB4" i="1"/>
  <c r="BD4" i="1" s="1"/>
  <c r="AU31" i="1"/>
  <c r="AW3" i="1"/>
  <c r="BB3" i="1" s="1"/>
  <c r="AW26" i="1"/>
  <c r="BB26" i="1" s="1"/>
  <c r="AW19" i="1"/>
  <c r="BB19" i="1" s="1"/>
  <c r="AW11" i="1"/>
  <c r="BB11" i="1" s="1"/>
  <c r="AW6" i="1"/>
  <c r="BB6" i="1" s="1"/>
  <c r="AW22" i="1"/>
  <c r="BB22" i="1" s="1"/>
  <c r="BD16" i="1"/>
  <c r="BD28" i="1"/>
  <c r="BD31" i="1" s="1"/>
  <c r="BD14" i="1"/>
  <c r="BD25" i="1"/>
  <c r="AK3" i="1"/>
  <c r="AK31" i="1" s="1"/>
  <c r="B7" i="3" s="1"/>
  <c r="J7" i="3" s="1"/>
  <c r="BD27" i="1"/>
  <c r="BD12" i="1"/>
  <c r="AW10" i="1"/>
  <c r="BB10" i="1" s="1"/>
  <c r="AW8" i="1"/>
  <c r="BB8" i="1" s="1"/>
  <c r="BD29" i="1"/>
  <c r="AW13" i="1"/>
  <c r="BB13" i="1" s="1"/>
  <c r="BD23" i="1"/>
  <c r="AW5" i="1"/>
  <c r="BB5" i="1" s="1"/>
  <c r="AW31" i="1" l="1"/>
  <c r="BD24" i="1"/>
  <c r="BD7" i="1"/>
  <c r="BD15" i="1"/>
  <c r="BD19" i="1"/>
  <c r="BD26" i="1"/>
  <c r="BD18" i="1"/>
  <c r="BD21" i="1"/>
  <c r="BD9" i="1"/>
  <c r="BD5" i="1"/>
  <c r="BD10" i="1"/>
  <c r="BD13" i="1"/>
  <c r="BD8" i="1"/>
  <c r="BD11" i="1" l="1"/>
  <c r="BD22" i="1"/>
  <c r="BD6" i="1"/>
  <c r="B2" i="3" l="1"/>
  <c r="BD3" i="1"/>
  <c r="J2" i="3" l="1"/>
  <c r="B11" i="3"/>
  <c r="B14" i="3" s="1"/>
  <c r="I15" i="3" l="1"/>
  <c r="I16" i="3" s="1"/>
  <c r="I1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7C4C16DD-83E2-4931-BC4B-4838562A9C19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C0E7617C-307D-4BA6-94D3-BCD3A782DBB4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<sst xmlns="http://schemas.openxmlformats.org/spreadsheetml/2006/main" count="1833" uniqueCount="370">
  <si>
    <t>序号</t>
  </si>
  <si>
    <t>计薪
周期</t>
  </si>
  <si>
    <t>工号</t>
  </si>
  <si>
    <t>姓名</t>
  </si>
  <si>
    <t>劳动合同起始日期</t>
  </si>
  <si>
    <t>劳动合同结束日期</t>
  </si>
  <si>
    <t>离职日期</t>
  </si>
  <si>
    <t>社保缴纳地</t>
  </si>
  <si>
    <t>星级费用</t>
  </si>
  <si>
    <t>考核费用</t>
  </si>
  <si>
    <t>量化费用</t>
  </si>
  <si>
    <t>专项费用</t>
  </si>
  <si>
    <t>当月税前工资合计</t>
  </si>
  <si>
    <t>社保基数(个人)</t>
  </si>
  <si>
    <t>养老保险(个人)</t>
  </si>
  <si>
    <t>医疗保险(个人)</t>
  </si>
  <si>
    <t>失业保险(个人)</t>
  </si>
  <si>
    <t>公积金基数(个人)</t>
  </si>
  <si>
    <t>住房公积金(个人)</t>
  </si>
  <si>
    <t>员工五险一金合计</t>
  </si>
  <si>
    <t>本月个人所得税-系统导出</t>
  </si>
  <si>
    <t>税后增加</t>
  </si>
  <si>
    <t>税后扣减</t>
  </si>
  <si>
    <t>员工实发合计</t>
  </si>
  <si>
    <t>社保基数</t>
  </si>
  <si>
    <t>公积金基数</t>
  </si>
  <si>
    <t>养老缴费</t>
  </si>
  <si>
    <t>医疗缴费</t>
  </si>
  <si>
    <t>失业保险</t>
  </si>
  <si>
    <t>工伤保险</t>
  </si>
  <si>
    <t>生育保险</t>
  </si>
  <si>
    <t>公积金</t>
  </si>
  <si>
    <t>残保金</t>
  </si>
  <si>
    <t>企业五险一金合计</t>
  </si>
  <si>
    <t>工会费</t>
  </si>
  <si>
    <t>代收付合计</t>
  </si>
  <si>
    <t>社保备注</t>
  </si>
  <si>
    <t>外包服务费</t>
  </si>
  <si>
    <t>税前项合计</t>
  </si>
  <si>
    <t>增值税</t>
  </si>
  <si>
    <t>总计</t>
  </si>
  <si>
    <t>NO.</t>
  </si>
  <si>
    <t>Salary Cycle</t>
  </si>
  <si>
    <t>Employee No.</t>
  </si>
  <si>
    <t>Name</t>
  </si>
  <si>
    <t>ID No.</t>
  </si>
  <si>
    <t>Contract Starting Date</t>
  </si>
  <si>
    <t>Contract Expiry Date</t>
  </si>
  <si>
    <t>Exit Date</t>
  </si>
  <si>
    <t>Social Insurance City</t>
  </si>
  <si>
    <t>Contract Salary</t>
  </si>
  <si>
    <t>Assessment fees</t>
  </si>
  <si>
    <t>Quantifying costs</t>
  </si>
  <si>
    <t>支局专项</t>
  </si>
  <si>
    <t>1+1激励</t>
  </si>
  <si>
    <t>体检费</t>
  </si>
  <si>
    <t>通信费</t>
  </si>
  <si>
    <t>高温费及清凉饮料费
（6-9月）</t>
  </si>
  <si>
    <t>伙食补贴</t>
  </si>
  <si>
    <t>独生子女奖励</t>
  </si>
  <si>
    <t>保险费</t>
  </si>
  <si>
    <t>补发费用</t>
  </si>
  <si>
    <t>劳防用品</t>
  </si>
  <si>
    <t>保障补差</t>
  </si>
  <si>
    <t>其他扣款</t>
  </si>
  <si>
    <t>Pre-tax Total</t>
  </si>
  <si>
    <t>Social Insurance Base</t>
  </si>
  <si>
    <t>Pension Employee</t>
  </si>
  <si>
    <t>Medical Employee</t>
  </si>
  <si>
    <t>Umemployment Employee</t>
  </si>
  <si>
    <t>Housing Fund Base</t>
  </si>
  <si>
    <t>Housing Fund Employee</t>
  </si>
  <si>
    <t>Total Amount of Social Insurance(EE)</t>
  </si>
  <si>
    <t>Personal Income Tax</t>
  </si>
  <si>
    <t>Increase After-tax payment</t>
  </si>
  <si>
    <t>Reduction After-tax payment</t>
  </si>
  <si>
    <t xml:space="preserve">After-tax total Income </t>
  </si>
  <si>
    <t>Pension Employer</t>
  </si>
  <si>
    <t>Medical Employer</t>
  </si>
  <si>
    <t>Umemployment Employer</t>
  </si>
  <si>
    <t>Injury Employer</t>
  </si>
  <si>
    <t>Maternity Insurance Employer</t>
  </si>
  <si>
    <t>Housing Fund Employer</t>
  </si>
  <si>
    <t xml:space="preserve">
Disabled people&amp;Back pay Fund</t>
  </si>
  <si>
    <t>Total Amount of Social Insurance(ER)</t>
  </si>
  <si>
    <t>Union Fee</t>
  </si>
  <si>
    <t>Payment Total</t>
  </si>
  <si>
    <t>Social Security remark</t>
  </si>
  <si>
    <t>Service Fee</t>
  </si>
  <si>
    <t>Total</t>
  </si>
  <si>
    <t>VAT</t>
  </si>
  <si>
    <t>Subtotal</t>
  </si>
  <si>
    <t>WB016994</t>
  </si>
  <si>
    <t>王邹强</t>
  </si>
  <si>
    <t>310108198909220554</t>
  </si>
  <si>
    <t>上海</t>
  </si>
  <si>
    <t>WB022665</t>
  </si>
  <si>
    <t>熊伟</t>
  </si>
  <si>
    <t>310109198905074533</t>
  </si>
  <si>
    <t>WB016995</t>
  </si>
  <si>
    <t>杭亮</t>
  </si>
  <si>
    <t>310110198004027057</t>
  </si>
  <si>
    <t>WB007082</t>
  </si>
  <si>
    <t>朱春红</t>
  </si>
  <si>
    <t>310230197703304160</t>
  </si>
  <si>
    <t>WB017012</t>
  </si>
  <si>
    <t>王一峰</t>
  </si>
  <si>
    <t>310230198106182913</t>
  </si>
  <si>
    <t>WB019180</t>
  </si>
  <si>
    <t>王偲</t>
  </si>
  <si>
    <t>310109198908200531</t>
  </si>
  <si>
    <t>WB024266</t>
  </si>
  <si>
    <t>王凤凌</t>
  </si>
  <si>
    <t>31011019870909564X</t>
  </si>
  <si>
    <t>WB033751</t>
  </si>
  <si>
    <t>高雄飞</t>
  </si>
  <si>
    <t>310101198402231014</t>
  </si>
  <si>
    <t>WB017080</t>
  </si>
  <si>
    <t>季华</t>
  </si>
  <si>
    <t>310115198609170130</t>
  </si>
  <si>
    <t>WB017076</t>
  </si>
  <si>
    <t>杨晓燕</t>
  </si>
  <si>
    <t>34222519770913404X</t>
  </si>
  <si>
    <t>WB025472</t>
  </si>
  <si>
    <t>孟浩杰</t>
  </si>
  <si>
    <t>510108198209090637</t>
  </si>
  <si>
    <t>WB021004</t>
  </si>
  <si>
    <t>周雨薇</t>
  </si>
  <si>
    <t>310104199212304829</t>
  </si>
  <si>
    <t>WB017081</t>
  </si>
  <si>
    <t>王姗姗</t>
  </si>
  <si>
    <t>34112519880604436X</t>
  </si>
  <si>
    <t>WB017085</t>
  </si>
  <si>
    <t>邱杭佳</t>
  </si>
  <si>
    <t>31010819830921103X</t>
  </si>
  <si>
    <t>WB008065</t>
  </si>
  <si>
    <t>戚继英</t>
  </si>
  <si>
    <t>310102198004243227</t>
  </si>
  <si>
    <t>WB045238</t>
  </si>
  <si>
    <t>戈婷婷</t>
  </si>
  <si>
    <t>320821199610185147</t>
  </si>
  <si>
    <t>WB013266</t>
  </si>
  <si>
    <t>吴裕刚</t>
  </si>
  <si>
    <t>31010219810818361X</t>
  </si>
  <si>
    <t>WB017007</t>
  </si>
  <si>
    <t>贺彦</t>
  </si>
  <si>
    <t>310108198901250513</t>
  </si>
  <si>
    <t>WB017000</t>
  </si>
  <si>
    <t>叶毅</t>
  </si>
  <si>
    <t>310110198502133266</t>
  </si>
  <si>
    <t>WB017001</t>
  </si>
  <si>
    <t>陈世碧</t>
  </si>
  <si>
    <t>513023197709136722</t>
  </si>
  <si>
    <t>WB017004</t>
  </si>
  <si>
    <t>顾陆慧</t>
  </si>
  <si>
    <t>310230197904164766</t>
  </si>
  <si>
    <t>WB017006</t>
  </si>
  <si>
    <t>程祖云</t>
  </si>
  <si>
    <t>411524198609258442</t>
  </si>
  <si>
    <t>WB003572</t>
  </si>
  <si>
    <t>谢俊敏</t>
  </si>
  <si>
    <t>310110198911171036</t>
  </si>
  <si>
    <t>WB039916</t>
  </si>
  <si>
    <t>梁裔杰</t>
  </si>
  <si>
    <t>310113198509301719</t>
  </si>
  <si>
    <t>WB017057</t>
  </si>
  <si>
    <t>朱云</t>
  </si>
  <si>
    <t>310110198810200045</t>
  </si>
  <si>
    <t>WB017068</t>
  </si>
  <si>
    <t>罗文彬</t>
  </si>
  <si>
    <t>310110198902103234</t>
  </si>
  <si>
    <t>WB054689</t>
  </si>
  <si>
    <t>张梦诏</t>
  </si>
  <si>
    <t>342423200108298172</t>
  </si>
  <si>
    <t>合计</t>
  </si>
  <si>
    <t>身份证号</t>
    <phoneticPr fontId="12" type="noConversion"/>
  </si>
  <si>
    <t>其他费用</t>
    <phoneticPr fontId="12" type="noConversion"/>
  </si>
  <si>
    <t>胡佳华</t>
  </si>
  <si>
    <t>310109198103142020</t>
    <phoneticPr fontId="12" type="noConversion"/>
  </si>
  <si>
    <t>本月多收下月退</t>
    <phoneticPr fontId="12" type="noConversion"/>
  </si>
  <si>
    <t>本月垫付下月收</t>
    <phoneticPr fontId="12" type="noConversion"/>
  </si>
  <si>
    <t>工伤利率调整，1月多收2月退</t>
  </si>
  <si>
    <t>工伤利率调整，1月多收2月退</t>
    <phoneticPr fontId="12" type="noConversion"/>
  </si>
  <si>
    <t>社保尾差调整，1月多收2月退</t>
    <phoneticPr fontId="12" type="noConversion"/>
  </si>
  <si>
    <t>WB017054</t>
  </si>
  <si>
    <t>本月垫付，下月补收</t>
    <phoneticPr fontId="16" type="noConversion"/>
  </si>
  <si>
    <t>身份证号</t>
  </si>
  <si>
    <t>本月保障补差垫付5元，下月收，工伤利率调整，1月多收2月退</t>
    <phoneticPr fontId="12" type="noConversion"/>
  </si>
  <si>
    <t>本月保障补差垫付5元，下月收，工伤利率调整，1月多收2月退</t>
    <phoneticPr fontId="12" type="noConversion"/>
  </si>
  <si>
    <t>本月多收下月退</t>
  </si>
  <si>
    <t>本月垫付下月收</t>
  </si>
  <si>
    <t>本月保障补差垫付5元，下月收</t>
  </si>
  <si>
    <t>本月工伤比例垫付3.83元，下月收，社保尾差调整，1月多收2月退</t>
    <phoneticPr fontId="12" type="noConversion"/>
  </si>
  <si>
    <t>本月工伤比例垫付3.83元，下月收</t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</si>
  <si>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</si>
  <si>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</si>
  <si>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</si>
  <si>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</si>
  <si>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</si>
  <si>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</si>
  <si>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</si>
  <si>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2025年01月</t>
  </si>
  <si>
    <t>公司名称：中国电信股份有限公司上海分公司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</si>
  <si>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</si>
  <si>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</si>
  <si>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</si>
  <si>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</si>
  <si>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</si>
  <si>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</si>
  <si>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</si>
  <si>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</si>
  <si>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</si>
  <si>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</si>
  <si>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</si>
  <si>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</si>
  <si>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</si>
  <si>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</si>
  <si>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</si>
  <si>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</si>
  <si>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</si>
  <si>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</si>
  <si>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</si>
  <si>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</si>
  <si>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</si>
  <si>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</si>
  <si>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</si>
  <si>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</si>
  <si>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</si>
  <si>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</si>
  <si>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</si>
  <si>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</si>
  <si>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</si>
  <si>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</si>
  <si>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</si>
  <si>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</si>
  <si>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</si>
  <si>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</si>
  <si>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</si>
  <si>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Remarks</t>
  </si>
  <si>
    <t>SFSC ID</t>
  </si>
  <si>
    <t>ID Card</t>
  </si>
  <si>
    <t>Taxable Amount</t>
  </si>
  <si>
    <t>Tax Rate</t>
  </si>
  <si>
    <t>202501</t>
  </si>
  <si>
    <t>2024-06-01</t>
  </si>
  <si>
    <t>5861127</t>
  </si>
  <si>
    <t>6%</t>
  </si>
  <si>
    <t>5861128</t>
  </si>
  <si>
    <t>5544585</t>
  </si>
  <si>
    <t>5544594</t>
  </si>
  <si>
    <t>5863338</t>
  </si>
  <si>
    <t>5544580</t>
  </si>
  <si>
    <t>5701787</t>
  </si>
  <si>
    <t>2025-01-01</t>
  </si>
  <si>
    <t>6242778</t>
  </si>
  <si>
    <t>310109198103142020</t>
  </si>
  <si>
    <t>5544586</t>
  </si>
  <si>
    <t>5861130</t>
  </si>
  <si>
    <t>5922255</t>
  </si>
  <si>
    <t>5544588</t>
  </si>
  <si>
    <t>5544593</t>
  </si>
  <si>
    <t>5544592</t>
  </si>
  <si>
    <t>5544583</t>
  </si>
  <si>
    <t>5544584</t>
  </si>
  <si>
    <t>5544582</t>
  </si>
  <si>
    <t>5544577</t>
  </si>
  <si>
    <t>5544591</t>
  </si>
  <si>
    <t>5544595</t>
  </si>
  <si>
    <t>5861129</t>
  </si>
  <si>
    <t>5544579</t>
  </si>
  <si>
    <t>5544587</t>
  </si>
  <si>
    <t>5861126</t>
  </si>
  <si>
    <t>5726531</t>
  </si>
  <si>
    <t>5544590</t>
  </si>
  <si>
    <t>5544581</t>
  </si>
  <si>
    <t>5922254</t>
  </si>
  <si>
    <t>合计（RMB）</t>
  </si>
  <si>
    <t>其他费用</t>
  </si>
  <si>
    <t>费用项目</t>
  </si>
  <si>
    <t>金额</t>
  </si>
  <si>
    <t>Item</t>
  </si>
  <si>
    <t>Amount</t>
  </si>
  <si>
    <t>税差调整6%</t>
  </si>
  <si>
    <t>增值税：</t>
  </si>
  <si>
    <t>序号
S/N</t>
  </si>
  <si>
    <t>应纳税额</t>
  </si>
  <si>
    <t>税金</t>
  </si>
  <si>
    <t>小计（RMB）</t>
  </si>
  <si>
    <t>总计(RMB)</t>
  </si>
  <si>
    <t>制单人：</t>
  </si>
  <si>
    <t>制单日期：2025-01-20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</si>
  <si>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</si>
  <si>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</si>
  <si>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</si>
  <si>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</si>
  <si>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</si>
  <si>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</si>
  <si>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</si>
  <si>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</si>
  <si>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</si>
  <si>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</si>
  <si>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</si>
  <si>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</si>
  <si>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</si>
  <si>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</si>
  <si>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</si>
  <si>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</si>
  <si>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</si>
  <si>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</si>
  <si>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</si>
  <si>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</si>
  <si>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</si>
  <si>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</si>
  <si>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</si>
  <si>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</si>
  <si>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</si>
  <si>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</si>
  <si>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</si>
  <si>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</si>
  <si>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</si>
  <si>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</si>
  <si>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</si>
  <si>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</si>
  <si>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</si>
  <si>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</si>
  <si>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</si>
  <si>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1月工会费</t>
    <phoneticPr fontId="12" type="noConversion"/>
  </si>
  <si>
    <t>本月垫付，下月收</t>
    <phoneticPr fontId="12" type="noConversion"/>
  </si>
  <si>
    <t>本月多收，下月退</t>
    <phoneticPr fontId="12" type="noConversion"/>
  </si>
  <si>
    <t>差异</t>
    <phoneticPr fontId="12" type="noConversion"/>
  </si>
  <si>
    <t>风险费</t>
  </si>
  <si>
    <t>个人四金</t>
  </si>
  <si>
    <t>公司四金</t>
  </si>
  <si>
    <t>代发工资</t>
  </si>
  <si>
    <t>本月垫付</t>
    <phoneticPr fontId="12" type="noConversion"/>
  </si>
  <si>
    <t>工会费</t>
    <phoneticPr fontId="12" type="noConversion"/>
  </si>
  <si>
    <t>本月多收</t>
    <phoneticPr fontId="12" type="noConversion"/>
  </si>
  <si>
    <t>小计</t>
  </si>
  <si>
    <t>附加税</t>
  </si>
  <si>
    <t>给客户账单金额</t>
  </si>
  <si>
    <t>差异</t>
  </si>
  <si>
    <t>不含税差异</t>
  </si>
  <si>
    <t>速创账单</t>
    <phoneticPr fontId="16" type="noConversion"/>
  </si>
  <si>
    <t xml:space="preserve"> </t>
    <phoneticPr fontId="12" type="noConversion"/>
  </si>
  <si>
    <t>帐单号：202501CH6594405</t>
  </si>
  <si>
    <t>历月补收</t>
  </si>
  <si>
    <t xml:space="preserve"> </t>
  </si>
  <si>
    <t>施翎</t>
  </si>
  <si>
    <t>5922253</t>
  </si>
  <si>
    <t>310109198401060015</t>
  </si>
  <si>
    <t>朱倩</t>
  </si>
  <si>
    <t>5544589</t>
  </si>
  <si>
    <t>310108198005121510</t>
  </si>
  <si>
    <t>总计（RMB）已包含历月补收人民币叁拾捌万零壹佰玖拾玖圆叁角壹分</t>
  </si>
  <si>
    <t>历月补收明细</t>
  </si>
  <si>
    <t>202407</t>
  </si>
  <si>
    <t>202408</t>
  </si>
  <si>
    <t>202409</t>
  </si>
  <si>
    <t>202410</t>
  </si>
  <si>
    <t>202411</t>
  </si>
  <si>
    <t>202412</t>
  </si>
  <si>
    <t>总计（RMB）人民币负数壹仟陆佰陆拾圆壹角叁分</t>
  </si>
  <si>
    <t>风险金</t>
  </si>
  <si>
    <t>服务费</t>
  </si>
  <si>
    <t>总计（RMB）人民币壹万零壹佰零柒圆肆角整</t>
  </si>
  <si>
    <t>本次价税合计(RMB):人民币叁拾玖万零叁佰零陆圆柒角壹分</t>
  </si>
  <si>
    <t>本月价税合计（RMB）：390306.71 其中已开票390306.71</t>
  </si>
  <si>
    <t>本月总计（RMB）人民币叁拾玖万零叁佰零陆圆柒角壹分                ￥390306.71</t>
  </si>
  <si>
    <t>工伤退费</t>
    <phoneticPr fontId="12" type="noConversion"/>
  </si>
  <si>
    <t>预收一次性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</si>
</sst>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.00_ "/>
    <numFmt numFmtId="178" formatCode="0_ "/>
  </numFmts>
  <fonts count="33" x14ac:knownFonts="1">
    <font>
      <sz val="11"/>
      <color theme="1"/>
      <name val="等线"/>
      <charset val="134"/>
      <scheme val="minor"/>
    </font>
    <font>
      <sz val="8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7"/>
      <name val="阿里巴巴普惠体 R"/>
      <family val="1"/>
      <charset val="134"/>
    </font>
    <font>
      <sz val="9"/>
      <name val="阿里巴巴普惠体 R"/>
      <family val="1"/>
      <charset val="134"/>
    </font>
    <font>
      <sz val="9"/>
      <color theme="1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18"/>
      <color theme="1"/>
      <name val="阿里巴巴普惠体 R"/>
      <family val="1"/>
      <charset val="134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Protection="0">
      <alignment vertical="center"/>
    </xf>
    <xf numFmtId="0" fontId="11" fillId="0" borderId="0">
      <alignment vertical="center"/>
    </xf>
    <xf numFmtId="0" fontId="11" fillId="0" borderId="0"/>
    <xf numFmtId="0" fontId="1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5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5" fillId="0" borderId="1" xfId="5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2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2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5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43" fontId="3" fillId="0" borderId="0" xfId="1" applyFo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2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6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14" fillId="0" borderId="0" xfId="0" applyNumberFormat="1" applyFont="1" applyBorder="1" applyAlignment="1">
      <alignment horizontal="right" vertical="center"/>
    </xf>
    <xf numFmtId="0" fontId="3" fillId="0" borderId="0" xfId="0" applyFont="1" applyBorder="1">
      <alignment vertical="center"/>
    </xf>
    <xf numFmtId="43" fontId="3" fillId="0" borderId="0" xfId="0" applyNumberFormat="1" applyFont="1">
      <alignment vertical="center"/>
    </xf>
    <xf numFmtId="43" fontId="3" fillId="3" borderId="0" xfId="1" applyFont="1" applyFill="1">
      <alignment vertical="center"/>
    </xf>
    <xf numFmtId="0" fontId="6" fillId="3" borderId="1" xfId="5" applyFont="1" applyFill="1" applyBorder="1" applyAlignment="1">
      <alignment horizontal="center" vertical="center"/>
    </xf>
    <xf numFmtId="176" fontId="3" fillId="0" borderId="0" xfId="0" applyNumberFormat="1" applyFont="1">
      <alignment vertical="center"/>
    </xf>
    <xf numFmtId="49" fontId="5" fillId="0" borderId="1" xfId="5" quotePrefix="1" applyNumberFormat="1" applyFont="1" applyBorder="1" applyAlignment="1">
      <alignment horizontal="center" vertical="center"/>
    </xf>
    <xf numFmtId="178" fontId="8" fillId="0" borderId="0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>
      <alignment vertical="center"/>
    </xf>
    <xf numFmtId="176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176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3" borderId="0" xfId="0" applyNumberFormat="1" applyFont="1" applyFill="1">
      <alignment vertical="center"/>
    </xf>
    <xf numFmtId="0" fontId="5" fillId="0" borderId="0" xfId="5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49" fontId="5" fillId="0" borderId="0" xfId="5" applyNumberFormat="1" applyFont="1" applyBorder="1" applyAlignment="1">
      <alignment horizontal="center" vertical="center"/>
    </xf>
    <xf numFmtId="0" fontId="6" fillId="0" borderId="0" xfId="5" applyFont="1" applyBorder="1" applyAlignment="1">
      <alignment horizontal="center" vertical="center"/>
    </xf>
    <xf numFmtId="49" fontId="5" fillId="0" borderId="0" xfId="5" quotePrefix="1" applyNumberFormat="1" applyFont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0" xfId="0" applyNumberFormat="1" applyFont="1" applyFill="1">
      <alignment vertical="center"/>
    </xf>
    <xf numFmtId="0" fontId="15" fillId="3" borderId="0" xfId="0" applyFont="1" applyFill="1">
      <alignment vertical="center"/>
    </xf>
    <xf numFmtId="0" fontId="3" fillId="3" borderId="0" xfId="0" applyFont="1" applyFill="1">
      <alignment vertical="center"/>
    </xf>
    <xf numFmtId="49" fontId="17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177" fontId="18" fillId="0" borderId="0" xfId="0" applyNumberFormat="1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177" fontId="20" fillId="0" borderId="0" xfId="0" applyNumberFormat="1" applyFont="1" applyAlignment="1">
      <alignment horizontal="left" vertical="center"/>
    </xf>
    <xf numFmtId="49" fontId="22" fillId="0" borderId="5" xfId="0" applyNumberFormat="1" applyFont="1" applyBorder="1" applyAlignment="1">
      <alignment horizontal="center" wrapText="1"/>
    </xf>
    <xf numFmtId="177" fontId="22" fillId="0" borderId="5" xfId="0" applyNumberFormat="1" applyFont="1" applyBorder="1" applyAlignment="1">
      <alignment horizontal="center" wrapText="1"/>
    </xf>
    <xf numFmtId="177" fontId="22" fillId="0" borderId="5" xfId="0" applyNumberFormat="1" applyFont="1" applyBorder="1" applyAlignment="1">
      <alignment horizontal="center" vertical="top" wrapText="1"/>
    </xf>
    <xf numFmtId="177" fontId="23" fillId="0" borderId="5" xfId="0" applyNumberFormat="1" applyFont="1" applyBorder="1" applyAlignment="1">
      <alignment horizontal="center" wrapText="1"/>
    </xf>
    <xf numFmtId="49" fontId="22" fillId="0" borderId="6" xfId="0" applyNumberFormat="1" applyFont="1" applyBorder="1" applyAlignment="1">
      <alignment horizontal="center" vertical="top" wrapText="1"/>
    </xf>
    <xf numFmtId="177" fontId="22" fillId="0" borderId="6" xfId="0" applyNumberFormat="1" applyFont="1" applyBorder="1" applyAlignment="1">
      <alignment horizontal="center" vertical="top" wrapText="1"/>
    </xf>
    <xf numFmtId="177" fontId="22" fillId="0" borderId="1" xfId="0" applyNumberFormat="1" applyFont="1" applyBorder="1" applyAlignment="1">
      <alignment horizontal="center" vertical="top" wrapText="1"/>
    </xf>
    <xf numFmtId="177" fontId="23" fillId="0" borderId="6" xfId="0" applyNumberFormat="1" applyFont="1" applyBorder="1" applyAlignment="1">
      <alignment horizontal="center" vertical="top" wrapText="1"/>
    </xf>
    <xf numFmtId="49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right" vertical="center"/>
    </xf>
    <xf numFmtId="177" fontId="24" fillId="0" borderId="1" xfId="0" applyNumberFormat="1" applyFont="1" applyBorder="1" applyAlignment="1">
      <alignment horizontal="right" vertical="center"/>
    </xf>
    <xf numFmtId="177" fontId="14" fillId="0" borderId="1" xfId="0" applyNumberFormat="1" applyFont="1" applyBorder="1" applyAlignment="1">
      <alignment horizontal="center" vertical="center"/>
    </xf>
    <xf numFmtId="49" fontId="14" fillId="7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left" vertical="center"/>
    </xf>
    <xf numFmtId="7" fontId="24" fillId="0" borderId="1" xfId="0" applyNumberFormat="1" applyFon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49" fontId="25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177" fontId="22" fillId="0" borderId="0" xfId="0" applyNumberFormat="1" applyFont="1" applyAlignment="1">
      <alignment horizontal="center" wrapText="1"/>
    </xf>
    <xf numFmtId="49" fontId="22" fillId="0" borderId="0" xfId="0" applyNumberFormat="1" applyFont="1" applyAlignment="1">
      <alignment horizontal="center" wrapText="1"/>
    </xf>
    <xf numFmtId="177" fontId="22" fillId="0" borderId="0" xfId="0" applyNumberFormat="1" applyFont="1" applyAlignment="1">
      <alignment horizontal="center" vertical="top" wrapText="1"/>
    </xf>
    <xf numFmtId="49" fontId="22" fillId="0" borderId="0" xfId="0" applyNumberFormat="1" applyFont="1" applyAlignment="1">
      <alignment horizontal="center" vertical="top" wrapText="1"/>
    </xf>
    <xf numFmtId="7" fontId="14" fillId="0" borderId="1" xfId="0" applyNumberFormat="1" applyFont="1" applyBorder="1" applyAlignment="1">
      <alignment horizontal="right" vertical="center"/>
    </xf>
    <xf numFmtId="7" fontId="14" fillId="0" borderId="4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7" fontId="14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7" fontId="17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28" fillId="0" borderId="1" xfId="0" applyFont="1" applyFill="1" applyBorder="1" applyAlignment="1">
      <alignment horizontal="center" vertical="center"/>
    </xf>
    <xf numFmtId="43" fontId="28" fillId="0" borderId="1" xfId="0" applyNumberFormat="1" applyFont="1" applyFill="1" applyBorder="1" applyAlignment="1">
      <alignment horizontal="center" vertical="center"/>
    </xf>
    <xf numFmtId="43" fontId="28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28" fillId="3" borderId="1" xfId="0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43" fontId="28" fillId="0" borderId="1" xfId="0" applyNumberFormat="1" applyFont="1" applyFill="1" applyBorder="1" applyAlignment="1">
      <alignment horizontal="right" vertical="center"/>
    </xf>
    <xf numFmtId="0" fontId="29" fillId="3" borderId="1" xfId="0" applyFont="1" applyFill="1" applyBorder="1" applyAlignment="1">
      <alignment horizontal="center" vertical="center"/>
    </xf>
    <xf numFmtId="43" fontId="29" fillId="3" borderId="1" xfId="0" applyNumberFormat="1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43" fontId="29" fillId="8" borderId="1" xfId="0" applyNumberFormat="1" applyFont="1" applyFill="1" applyBorder="1" applyAlignment="1">
      <alignment horizontal="center" vertical="center"/>
    </xf>
    <xf numFmtId="177" fontId="14" fillId="0" borderId="0" xfId="0" applyNumberFormat="1" applyFont="1" applyAlignment="1">
      <alignment horizontal="right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49" fontId="26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177" fontId="22" fillId="0" borderId="2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</cellXfs>
  <cellStyles count="8">
    <cellStyle name="常规" xfId="0" builtinId="0"/>
    <cellStyle name="常规 10" xfId="4" xr:uid="{00000000-0005-0000-0000-000033000000}"/>
    <cellStyle name="常规 2" xfId="5" xr:uid="{00000000-0005-0000-0000-000034000000}"/>
    <cellStyle name="常规 2 2" xfId="3" xr:uid="{00000000-0005-0000-0000-000032000000}"/>
    <cellStyle name="常规 3" xfId="6" xr:uid="{00000000-0005-0000-0000-000035000000}"/>
    <cellStyle name="常规 3 2" xfId="2" xr:uid="{00000000-0005-0000-0000-000031000000}"/>
    <cellStyle name="常规 3 3" xfId="7" xr:uid="{9EA1CF18-82BA-45F5-8D0B-3FEE9F89C1A4}"/>
    <cellStyle name="千位分隔" xfId="1" builtinId="3"/>
  </cellStyles>
  <dxfs count="5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2"/>
  <sheetViews>
    <sheetView zoomScale="110" zoomScaleNormal="110" workbookViewId="0">
      <pane xSplit="5" ySplit="2" topLeftCell="AX19" activePane="bottomRight" state="frozen"/>
      <selection pane="topRight"/>
      <selection pane="bottomLeft"/>
      <selection pane="bottomRight" activeCell="AW31" sqref="AW31"/>
    </sheetView>
  </sheetViews>
  <sheetFormatPr defaultColWidth="9" defaultRowHeight="16.2" x14ac:dyDescent="0.25"/>
  <cols>
    <col min="1" max="1" width="5" style="4" customWidth="1"/>
    <col min="2" max="2" width="7.6640625" style="4" customWidth="1"/>
    <col min="3" max="3" width="8.77734375" style="4" customWidth="1"/>
    <col min="4" max="4" width="5.6640625" style="4" customWidth="1"/>
    <col min="5" max="5" width="21.77734375" style="4" customWidth="1"/>
    <col min="6" max="6" width="12" style="4" customWidth="1"/>
    <col min="7" max="7" width="10.5546875" style="4" customWidth="1"/>
    <col min="8" max="8" width="10.109375" style="4" customWidth="1"/>
    <col min="9" max="9" width="12.88671875" style="4" customWidth="1"/>
    <col min="10" max="10" width="9.5546875" style="4" customWidth="1"/>
    <col min="11" max="11" width="27" style="4" customWidth="1"/>
    <col min="12" max="12" width="23.88671875" style="4" customWidth="1"/>
    <col min="13" max="13" width="17.44140625" style="4" customWidth="1"/>
    <col min="14" max="14" width="7.77734375" style="4" customWidth="1"/>
    <col min="15" max="15" width="7.88671875" style="4" customWidth="1"/>
    <col min="16" max="16" width="5.33203125" style="4" customWidth="1"/>
    <col min="17" max="17" width="9.109375" style="4" customWidth="1"/>
    <col min="18" max="18" width="8.44140625" style="4" customWidth="1"/>
    <col min="19" max="19" width="8" style="4" customWidth="1"/>
    <col min="20" max="20" width="9.21875" style="4" customWidth="1"/>
    <col min="21" max="21" width="7.109375" style="4" customWidth="1"/>
    <col min="22" max="22" width="8.6640625" style="4" customWidth="1"/>
    <col min="23" max="23" width="9.44140625" style="4" customWidth="1"/>
    <col min="24" max="24" width="8.109375" style="4" customWidth="1"/>
    <col min="25" max="25" width="9.44140625" style="4" customWidth="1"/>
    <col min="26" max="26" width="15" style="4" customWidth="1"/>
    <col min="27" max="27" width="10.44140625" style="4" customWidth="1"/>
    <col min="28" max="30" width="10.109375" style="4" customWidth="1"/>
    <col min="31" max="31" width="12.109375" style="4" customWidth="1"/>
    <col min="32" max="32" width="11.6640625" style="4" customWidth="1"/>
    <col min="33" max="33" width="14.77734375" style="4" customWidth="1"/>
    <col min="34" max="34" width="11.109375" style="4" customWidth="1"/>
    <col min="35" max="35" width="9.21875" style="4" customWidth="1"/>
    <col min="36" max="36" width="10.33203125" style="4" customWidth="1"/>
    <col min="37" max="37" width="16.77734375" style="4" customWidth="1"/>
    <col min="38" max="38" width="10.44140625" style="4" customWidth="1"/>
    <col min="39" max="39" width="12.109375" style="4" customWidth="1"/>
    <col min="40" max="40" width="9.5546875" style="4" customWidth="1"/>
    <col min="41" max="41" width="9.109375" style="4" customWidth="1"/>
    <col min="42" max="42" width="10" style="4" customWidth="1"/>
    <col min="43" max="43" width="9.77734375" style="4" customWidth="1"/>
    <col min="44" max="44" width="6.5546875" style="4" customWidth="1"/>
    <col min="45" max="45" width="8.88671875" style="4" customWidth="1"/>
    <col min="46" max="46" width="10.77734375" style="4" customWidth="1"/>
    <col min="47" max="47" width="14.44140625" style="4" customWidth="1"/>
    <col min="48" max="48" width="14.21875" style="4" customWidth="1"/>
    <col min="49" max="49" width="17.33203125" style="4" customWidth="1"/>
    <col min="50" max="50" width="14.77734375" style="4" customWidth="1"/>
    <col min="51" max="51" width="15.44140625" style="4" customWidth="1"/>
    <col min="52" max="52" width="24.5546875" style="4" customWidth="1"/>
    <col min="53" max="53" width="14.44140625" style="4" customWidth="1"/>
    <col min="54" max="54" width="20.88671875" style="4" customWidth="1"/>
    <col min="55" max="55" width="16" style="4" customWidth="1"/>
    <col min="56" max="56" width="15.33203125" style="4" customWidth="1"/>
    <col min="57" max="16384" width="9" style="4"/>
  </cols>
  <sheetData>
    <row r="1" spans="1:57" s="1" customFormat="1" ht="26.1" customHeight="1" x14ac:dyDescent="0.3">
      <c r="A1" s="5" t="s">
        <v>0</v>
      </c>
      <c r="B1" s="6" t="s">
        <v>1</v>
      </c>
      <c r="C1" s="7" t="s">
        <v>2</v>
      </c>
      <c r="D1" s="7" t="s">
        <v>3</v>
      </c>
      <c r="E1" s="7" t="s">
        <v>175</v>
      </c>
      <c r="F1" s="5" t="s">
        <v>4</v>
      </c>
      <c r="G1" s="5" t="s">
        <v>5</v>
      </c>
      <c r="H1" s="5" t="s">
        <v>6</v>
      </c>
      <c r="I1" s="5" t="s">
        <v>7</v>
      </c>
      <c r="J1" s="15" t="s">
        <v>8</v>
      </c>
      <c r="K1" s="5" t="s">
        <v>9</v>
      </c>
      <c r="L1" s="5" t="s">
        <v>10</v>
      </c>
      <c r="M1" s="116" t="s">
        <v>11</v>
      </c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8"/>
      <c r="Z1" s="19" t="s">
        <v>12</v>
      </c>
      <c r="AA1" s="15" t="s">
        <v>13</v>
      </c>
      <c r="AB1" s="15" t="s">
        <v>14</v>
      </c>
      <c r="AC1" s="15" t="s">
        <v>15</v>
      </c>
      <c r="AD1" s="15" t="s">
        <v>16</v>
      </c>
      <c r="AE1" s="15" t="s">
        <v>17</v>
      </c>
      <c r="AF1" s="15" t="s">
        <v>18</v>
      </c>
      <c r="AG1" s="19" t="s">
        <v>19</v>
      </c>
      <c r="AH1" s="15" t="s">
        <v>20</v>
      </c>
      <c r="AI1" s="15" t="s">
        <v>21</v>
      </c>
      <c r="AJ1" s="15" t="s">
        <v>22</v>
      </c>
      <c r="AK1" s="19" t="s">
        <v>23</v>
      </c>
      <c r="AL1" s="15" t="s">
        <v>24</v>
      </c>
      <c r="AM1" s="15" t="s">
        <v>25</v>
      </c>
      <c r="AN1" s="15" t="s">
        <v>26</v>
      </c>
      <c r="AO1" s="15" t="s">
        <v>27</v>
      </c>
      <c r="AP1" s="15" t="s">
        <v>28</v>
      </c>
      <c r="AQ1" s="15" t="s">
        <v>29</v>
      </c>
      <c r="AR1" s="15" t="s">
        <v>30</v>
      </c>
      <c r="AS1" s="15" t="s">
        <v>31</v>
      </c>
      <c r="AT1" s="15" t="s">
        <v>32</v>
      </c>
      <c r="AU1" s="19" t="s">
        <v>33</v>
      </c>
      <c r="AV1" s="19" t="s">
        <v>34</v>
      </c>
      <c r="AW1" s="26" t="s">
        <v>35</v>
      </c>
      <c r="AX1" s="32" t="s">
        <v>180</v>
      </c>
      <c r="AY1" s="27" t="s">
        <v>179</v>
      </c>
      <c r="AZ1" s="28" t="s">
        <v>36</v>
      </c>
      <c r="BA1" s="26" t="s">
        <v>37</v>
      </c>
      <c r="BB1" s="29" t="s">
        <v>38</v>
      </c>
      <c r="BC1" s="26" t="s">
        <v>39</v>
      </c>
      <c r="BD1" s="26" t="s">
        <v>40</v>
      </c>
    </row>
    <row r="2" spans="1:57" s="2" customFormat="1" ht="40.799999999999997" x14ac:dyDescent="0.25">
      <c r="A2" s="8" t="s">
        <v>41</v>
      </c>
      <c r="B2" s="9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48</v>
      </c>
      <c r="I2" s="8" t="s">
        <v>49</v>
      </c>
      <c r="J2" s="16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176</v>
      </c>
      <c r="V2" s="8" t="s">
        <v>61</v>
      </c>
      <c r="W2" s="8" t="s">
        <v>62</v>
      </c>
      <c r="X2" s="8" t="s">
        <v>63</v>
      </c>
      <c r="Y2" s="8" t="s">
        <v>64</v>
      </c>
      <c r="Z2" s="20" t="s">
        <v>65</v>
      </c>
      <c r="AA2" s="16" t="s">
        <v>66</v>
      </c>
      <c r="AB2" s="16" t="s">
        <v>67</v>
      </c>
      <c r="AC2" s="16" t="s">
        <v>68</v>
      </c>
      <c r="AD2" s="16" t="s">
        <v>69</v>
      </c>
      <c r="AE2" s="16" t="s">
        <v>70</v>
      </c>
      <c r="AF2" s="16" t="s">
        <v>71</v>
      </c>
      <c r="AG2" s="20" t="s">
        <v>72</v>
      </c>
      <c r="AH2" s="16" t="s">
        <v>73</v>
      </c>
      <c r="AI2" s="16" t="s">
        <v>74</v>
      </c>
      <c r="AJ2" s="16" t="s">
        <v>75</v>
      </c>
      <c r="AK2" s="20" t="s">
        <v>76</v>
      </c>
      <c r="AL2" s="16" t="s">
        <v>66</v>
      </c>
      <c r="AM2" s="16" t="s">
        <v>70</v>
      </c>
      <c r="AN2" s="16" t="s">
        <v>77</v>
      </c>
      <c r="AO2" s="16" t="s">
        <v>78</v>
      </c>
      <c r="AP2" s="16" t="s">
        <v>79</v>
      </c>
      <c r="AQ2" s="16" t="s">
        <v>80</v>
      </c>
      <c r="AR2" s="16" t="s">
        <v>81</v>
      </c>
      <c r="AS2" s="16" t="s">
        <v>82</v>
      </c>
      <c r="AT2" s="16" t="s">
        <v>83</v>
      </c>
      <c r="AU2" s="20" t="s">
        <v>84</v>
      </c>
      <c r="AV2" s="20" t="s">
        <v>85</v>
      </c>
      <c r="AW2" s="20" t="s">
        <v>86</v>
      </c>
      <c r="AX2" s="32"/>
      <c r="AY2" s="30"/>
      <c r="AZ2" s="31" t="s">
        <v>87</v>
      </c>
      <c r="BA2" s="26" t="s">
        <v>88</v>
      </c>
      <c r="BB2" s="29" t="s">
        <v>89</v>
      </c>
      <c r="BC2" s="26" t="s">
        <v>90</v>
      </c>
      <c r="BD2" s="26" t="s">
        <v>91</v>
      </c>
    </row>
    <row r="3" spans="1:57" s="3" customFormat="1" ht="15" customHeight="1" x14ac:dyDescent="0.25">
      <c r="A3" s="10">
        <f>ROW()-2</f>
        <v>1</v>
      </c>
      <c r="B3" s="11">
        <v>2501</v>
      </c>
      <c r="C3" s="11" t="s">
        <v>92</v>
      </c>
      <c r="D3" s="10" t="s">
        <v>93</v>
      </c>
      <c r="E3" s="12" t="s">
        <v>94</v>
      </c>
      <c r="F3" s="13">
        <v>45444</v>
      </c>
      <c r="G3" s="13">
        <v>45808</v>
      </c>
      <c r="H3" s="10"/>
      <c r="I3" s="17" t="s">
        <v>95</v>
      </c>
      <c r="J3" s="18">
        <v>1300</v>
      </c>
      <c r="K3" s="18">
        <v>5664.8</v>
      </c>
      <c r="L3" s="18">
        <v>1517.58</v>
      </c>
      <c r="M3" s="18"/>
      <c r="N3" s="18"/>
      <c r="O3" s="18"/>
      <c r="P3" s="18"/>
      <c r="Q3" s="18"/>
      <c r="R3" s="18">
        <v>630</v>
      </c>
      <c r="S3" s="18"/>
      <c r="T3" s="18"/>
      <c r="U3" s="18"/>
      <c r="V3" s="18"/>
      <c r="W3" s="18"/>
      <c r="X3" s="18" t="str">
        <f>IF((SUM(J3:L3,Y3)-AG3)&lt;2695,2695-(SUM(J3:L3,Y3)-AG3),"")</f>
        <v/>
      </c>
      <c r="Y3" s="18"/>
      <c r="Z3" s="21">
        <f>SUM(J3:Y3)</f>
        <v>9112.380000000001</v>
      </c>
      <c r="AA3" s="22">
        <v>8707</v>
      </c>
      <c r="AB3" s="23">
        <v>696.56</v>
      </c>
      <c r="AC3" s="23">
        <v>174.14</v>
      </c>
      <c r="AD3" s="23">
        <v>43.54</v>
      </c>
      <c r="AE3" s="22">
        <v>8707</v>
      </c>
      <c r="AF3" s="22">
        <f t="shared" ref="AF3:AF20" si="0">ROUND(AE3*7%,0)</f>
        <v>609</v>
      </c>
      <c r="AG3" s="21">
        <f t="shared" ref="AG3:AG29" si="1">AB3+AC3+AD3+AF3</f>
        <v>1523.2399999999998</v>
      </c>
      <c r="AH3" s="25"/>
      <c r="AI3" s="25"/>
      <c r="AJ3" s="25"/>
      <c r="AK3" s="21">
        <f t="shared" ref="AK3:AK30" si="2">Z3-AG3-AH3</f>
        <v>7589.1400000000012</v>
      </c>
      <c r="AL3" s="22">
        <v>8707</v>
      </c>
      <c r="AM3" s="22">
        <v>8707</v>
      </c>
      <c r="AN3" s="22">
        <f t="shared" ref="AN3:AN20" si="3">ROUND(AL3*16%,2)</f>
        <v>1393.12</v>
      </c>
      <c r="AO3" s="22">
        <v>783.64</v>
      </c>
      <c r="AP3" s="22">
        <f t="shared" ref="AP3:AP29" si="4">ROUND(AL3*0.5%,2)</f>
        <v>43.54</v>
      </c>
      <c r="AQ3" s="22">
        <v>17.41</v>
      </c>
      <c r="AR3" s="22"/>
      <c r="AS3" s="22">
        <f t="shared" ref="AS3:AS29" si="5">ROUND(AM3*7%,0)</f>
        <v>609</v>
      </c>
      <c r="AT3" s="22">
        <f t="shared" ref="AT3:AT29" si="6">ROUND(IF(AL3&lt;24366,AL3*1.5%,24366*1.5%),2)</f>
        <v>130.61000000000001</v>
      </c>
      <c r="AU3" s="21">
        <f t="shared" ref="AU3:AU30" si="7">SUM(AN3:AT3)</f>
        <v>2977.3199999999997</v>
      </c>
      <c r="AV3" s="21">
        <v>170</v>
      </c>
      <c r="AW3" s="21">
        <f t="shared" ref="AW3:AW29" si="8">AU3+Z3+AI3-AJ3+AV3</f>
        <v>12259.7</v>
      </c>
      <c r="AX3" s="32"/>
      <c r="AY3" s="30">
        <v>4.879999999999999</v>
      </c>
      <c r="AZ3" s="33" t="s">
        <v>181</v>
      </c>
      <c r="BA3" s="21">
        <v>255</v>
      </c>
      <c r="BB3" s="34">
        <f>ROUND(AW3+BA3+AX3+AY3,2)</f>
        <v>12519.58</v>
      </c>
      <c r="BC3" s="21">
        <f>ROUND(BB3*6%,2)</f>
        <v>751.17</v>
      </c>
      <c r="BD3" s="21">
        <f t="shared" ref="BD3:BD30" si="9">ROUND(SUM(BB3:BC3),2)</f>
        <v>13270.75</v>
      </c>
      <c r="BE3" s="35"/>
    </row>
    <row r="4" spans="1:57" s="3" customFormat="1" ht="15" customHeight="1" x14ac:dyDescent="0.25">
      <c r="A4" s="10">
        <f t="shared" ref="A4:A30" si="10">ROW()-2</f>
        <v>2</v>
      </c>
      <c r="B4" s="11">
        <v>2501</v>
      </c>
      <c r="C4" s="11" t="s">
        <v>96</v>
      </c>
      <c r="D4" s="10" t="s">
        <v>97</v>
      </c>
      <c r="E4" s="12" t="s">
        <v>98</v>
      </c>
      <c r="F4" s="13">
        <v>45444</v>
      </c>
      <c r="G4" s="13">
        <v>45808</v>
      </c>
      <c r="H4" s="10"/>
      <c r="I4" s="17" t="s">
        <v>95</v>
      </c>
      <c r="J4" s="18">
        <v>1030</v>
      </c>
      <c r="K4" s="18">
        <v>760.2</v>
      </c>
      <c r="L4" s="18">
        <v>501.48</v>
      </c>
      <c r="M4" s="18"/>
      <c r="N4" s="18"/>
      <c r="O4" s="18"/>
      <c r="P4" s="18"/>
      <c r="Q4" s="18"/>
      <c r="R4" s="18">
        <v>630</v>
      </c>
      <c r="S4" s="18"/>
      <c r="T4" s="18"/>
      <c r="U4" s="18"/>
      <c r="V4" s="18"/>
      <c r="W4" s="18"/>
      <c r="X4" s="18">
        <f t="shared" ref="X4:X30" si="11">IF((SUM(J4:L4,Y4)-AG4)&lt;2695,2695-(SUM(J4:L4,Y4)-AG4),"")</f>
        <v>1958.5599999999997</v>
      </c>
      <c r="Y4" s="18"/>
      <c r="Z4" s="21">
        <f t="shared" ref="Z4:Z30" si="12">SUM(J4:Y4)</f>
        <v>4880.24</v>
      </c>
      <c r="AA4" s="22">
        <v>8888</v>
      </c>
      <c r="AB4" s="23">
        <v>711.04</v>
      </c>
      <c r="AC4" s="23">
        <v>177.76</v>
      </c>
      <c r="AD4" s="23">
        <v>44.44</v>
      </c>
      <c r="AE4" s="22">
        <v>8888</v>
      </c>
      <c r="AF4" s="22">
        <f t="shared" si="0"/>
        <v>622</v>
      </c>
      <c r="AG4" s="21">
        <f t="shared" si="1"/>
        <v>1555.24</v>
      </c>
      <c r="AH4" s="25"/>
      <c r="AI4" s="25"/>
      <c r="AJ4" s="25"/>
      <c r="AK4" s="21">
        <f t="shared" si="2"/>
        <v>3325</v>
      </c>
      <c r="AL4" s="22">
        <v>8888</v>
      </c>
      <c r="AM4" s="22">
        <v>8888</v>
      </c>
      <c r="AN4" s="22">
        <f t="shared" si="3"/>
        <v>1422.08</v>
      </c>
      <c r="AO4" s="22">
        <f t="shared" ref="AO4:AO29" si="13">ROUND(AL4*9%,2)</f>
        <v>799.92</v>
      </c>
      <c r="AP4" s="22">
        <f t="shared" si="4"/>
        <v>44.44</v>
      </c>
      <c r="AQ4" s="22">
        <v>17.78</v>
      </c>
      <c r="AR4" s="22"/>
      <c r="AS4" s="22">
        <f t="shared" si="5"/>
        <v>622</v>
      </c>
      <c r="AT4" s="22">
        <f t="shared" si="6"/>
        <v>133.32</v>
      </c>
      <c r="AU4" s="21">
        <f t="shared" si="7"/>
        <v>3039.5400000000004</v>
      </c>
      <c r="AV4" s="21">
        <v>85</v>
      </c>
      <c r="AW4" s="21">
        <f t="shared" si="8"/>
        <v>8004.7800000000007</v>
      </c>
      <c r="AX4" s="32">
        <f>-5</f>
        <v>-5</v>
      </c>
      <c r="AY4" s="30">
        <v>4.9699999999999989</v>
      </c>
      <c r="AZ4" s="33" t="s">
        <v>187</v>
      </c>
      <c r="BA4" s="21">
        <v>255</v>
      </c>
      <c r="BB4" s="34">
        <f t="shared" ref="BB4:BB29" si="14">ROUND(AW4+BA4+AX4+AY4,2)</f>
        <v>8259.75</v>
      </c>
      <c r="BC4" s="21">
        <f t="shared" ref="BC4:BC29" si="15">ROUND(BB4*6%,2)</f>
        <v>495.59</v>
      </c>
      <c r="BD4" s="21">
        <f t="shared" si="9"/>
        <v>8755.34</v>
      </c>
      <c r="BE4" s="35"/>
    </row>
    <row r="5" spans="1:57" s="3" customFormat="1" ht="15" customHeight="1" x14ac:dyDescent="0.25">
      <c r="A5" s="10">
        <f t="shared" si="10"/>
        <v>3</v>
      </c>
      <c r="B5" s="11">
        <v>2501</v>
      </c>
      <c r="C5" s="11" t="s">
        <v>99</v>
      </c>
      <c r="D5" s="10" t="s">
        <v>100</v>
      </c>
      <c r="E5" s="12" t="s">
        <v>101</v>
      </c>
      <c r="F5" s="13">
        <v>45444</v>
      </c>
      <c r="G5" s="13">
        <v>45808</v>
      </c>
      <c r="H5" s="10"/>
      <c r="I5" s="17" t="s">
        <v>95</v>
      </c>
      <c r="J5" s="18">
        <v>1030</v>
      </c>
      <c r="K5" s="18">
        <v>3493.56</v>
      </c>
      <c r="L5" s="18">
        <v>1315.68</v>
      </c>
      <c r="M5" s="18"/>
      <c r="N5" s="18"/>
      <c r="O5" s="18"/>
      <c r="P5" s="18"/>
      <c r="Q5" s="18"/>
      <c r="R5" s="18">
        <v>630</v>
      </c>
      <c r="S5" s="18"/>
      <c r="T5" s="18"/>
      <c r="U5" s="18"/>
      <c r="V5" s="18"/>
      <c r="W5" s="18"/>
      <c r="X5" s="18" t="str">
        <f t="shared" si="11"/>
        <v/>
      </c>
      <c r="Y5" s="18"/>
      <c r="Z5" s="21">
        <f t="shared" si="12"/>
        <v>6469.24</v>
      </c>
      <c r="AA5" s="22">
        <v>9226</v>
      </c>
      <c r="AB5" s="23">
        <v>738.08</v>
      </c>
      <c r="AC5" s="23">
        <v>184.52</v>
      </c>
      <c r="AD5" s="23">
        <v>46.13</v>
      </c>
      <c r="AE5" s="22">
        <v>9226</v>
      </c>
      <c r="AF5" s="22">
        <f t="shared" si="0"/>
        <v>646</v>
      </c>
      <c r="AG5" s="21">
        <f t="shared" si="1"/>
        <v>1614.73</v>
      </c>
      <c r="AH5" s="25"/>
      <c r="AI5" s="25"/>
      <c r="AJ5" s="25"/>
      <c r="AK5" s="21">
        <f t="shared" si="2"/>
        <v>4854.51</v>
      </c>
      <c r="AL5" s="22">
        <v>9226</v>
      </c>
      <c r="AM5" s="22">
        <v>9226</v>
      </c>
      <c r="AN5" s="22">
        <f t="shared" si="3"/>
        <v>1476.16</v>
      </c>
      <c r="AO5" s="22">
        <f t="shared" si="13"/>
        <v>830.34</v>
      </c>
      <c r="AP5" s="22">
        <f t="shared" si="4"/>
        <v>46.13</v>
      </c>
      <c r="AQ5" s="22">
        <v>18.45</v>
      </c>
      <c r="AR5" s="22"/>
      <c r="AS5" s="22">
        <f t="shared" si="5"/>
        <v>646</v>
      </c>
      <c r="AT5" s="22">
        <f t="shared" si="6"/>
        <v>138.38999999999999</v>
      </c>
      <c r="AU5" s="21">
        <f t="shared" si="7"/>
        <v>3155.47</v>
      </c>
      <c r="AV5" s="21">
        <v>117</v>
      </c>
      <c r="AW5" s="21">
        <f t="shared" si="8"/>
        <v>9741.7099999999991</v>
      </c>
      <c r="AX5" s="32"/>
      <c r="AY5" s="30">
        <v>5.1700000000000017</v>
      </c>
      <c r="AZ5" s="33" t="s">
        <v>181</v>
      </c>
      <c r="BA5" s="21">
        <v>255</v>
      </c>
      <c r="BB5" s="34">
        <f t="shared" si="14"/>
        <v>10001.879999999999</v>
      </c>
      <c r="BC5" s="21">
        <f t="shared" si="15"/>
        <v>600.11</v>
      </c>
      <c r="BD5" s="21">
        <f t="shared" si="9"/>
        <v>10601.99</v>
      </c>
      <c r="BE5" s="35"/>
    </row>
    <row r="6" spans="1:57" s="3" customFormat="1" ht="15" customHeight="1" x14ac:dyDescent="0.25">
      <c r="A6" s="10">
        <f t="shared" si="10"/>
        <v>4</v>
      </c>
      <c r="B6" s="11">
        <v>2501</v>
      </c>
      <c r="C6" s="11" t="s">
        <v>102</v>
      </c>
      <c r="D6" s="10" t="s">
        <v>103</v>
      </c>
      <c r="E6" s="12" t="s">
        <v>104</v>
      </c>
      <c r="F6" s="13">
        <v>45444</v>
      </c>
      <c r="G6" s="13">
        <v>45808</v>
      </c>
      <c r="H6" s="10"/>
      <c r="I6" s="17" t="s">
        <v>95</v>
      </c>
      <c r="J6" s="18">
        <v>1030</v>
      </c>
      <c r="K6" s="18">
        <v>3600.2</v>
      </c>
      <c r="L6" s="18">
        <v>3916.62</v>
      </c>
      <c r="M6" s="18"/>
      <c r="N6" s="18"/>
      <c r="O6" s="18"/>
      <c r="P6" s="18"/>
      <c r="Q6" s="18"/>
      <c r="R6" s="18">
        <v>630</v>
      </c>
      <c r="S6" s="18"/>
      <c r="T6" s="18"/>
      <c r="U6" s="18"/>
      <c r="V6" s="18"/>
      <c r="W6" s="18"/>
      <c r="X6" s="18" t="str">
        <f t="shared" si="11"/>
        <v/>
      </c>
      <c r="Y6" s="18"/>
      <c r="Z6" s="21">
        <f t="shared" si="12"/>
        <v>9176.82</v>
      </c>
      <c r="AA6" s="22">
        <v>10979</v>
      </c>
      <c r="AB6" s="23">
        <v>878.32</v>
      </c>
      <c r="AC6" s="23">
        <v>219.58</v>
      </c>
      <c r="AD6" s="23">
        <v>54.9</v>
      </c>
      <c r="AE6" s="22">
        <v>10979</v>
      </c>
      <c r="AF6" s="22">
        <f t="shared" si="0"/>
        <v>769</v>
      </c>
      <c r="AG6" s="21">
        <f t="shared" si="1"/>
        <v>1921.8000000000002</v>
      </c>
      <c r="AH6" s="25"/>
      <c r="AI6" s="25"/>
      <c r="AJ6" s="25"/>
      <c r="AK6" s="21">
        <f t="shared" si="2"/>
        <v>7255.0199999999995</v>
      </c>
      <c r="AL6" s="22">
        <v>10979</v>
      </c>
      <c r="AM6" s="22">
        <v>10979</v>
      </c>
      <c r="AN6" s="22">
        <f t="shared" si="3"/>
        <v>1756.64</v>
      </c>
      <c r="AO6" s="22">
        <v>988.12</v>
      </c>
      <c r="AP6" s="22">
        <f t="shared" si="4"/>
        <v>54.9</v>
      </c>
      <c r="AQ6" s="22">
        <v>21.96</v>
      </c>
      <c r="AR6" s="22"/>
      <c r="AS6" s="22">
        <f t="shared" si="5"/>
        <v>769</v>
      </c>
      <c r="AT6" s="22">
        <f t="shared" si="6"/>
        <v>164.69</v>
      </c>
      <c r="AU6" s="21">
        <f t="shared" si="7"/>
        <v>3755.3100000000004</v>
      </c>
      <c r="AV6" s="21">
        <v>171</v>
      </c>
      <c r="AW6" s="21">
        <f t="shared" si="8"/>
        <v>13103.130000000001</v>
      </c>
      <c r="AX6" s="32"/>
      <c r="AY6" s="30">
        <v>6.1499999999999986</v>
      </c>
      <c r="AZ6" s="33" t="s">
        <v>181</v>
      </c>
      <c r="BA6" s="21">
        <v>255</v>
      </c>
      <c r="BB6" s="34">
        <f t="shared" si="14"/>
        <v>13364.28</v>
      </c>
      <c r="BC6" s="21">
        <f t="shared" si="15"/>
        <v>801.86</v>
      </c>
      <c r="BD6" s="21">
        <f t="shared" si="9"/>
        <v>14166.14</v>
      </c>
      <c r="BE6" s="35"/>
    </row>
    <row r="7" spans="1:57" s="3" customFormat="1" ht="15" customHeight="1" x14ac:dyDescent="0.25">
      <c r="A7" s="10">
        <f t="shared" si="10"/>
        <v>5</v>
      </c>
      <c r="B7" s="11">
        <v>2501</v>
      </c>
      <c r="C7" s="11" t="s">
        <v>105</v>
      </c>
      <c r="D7" s="10" t="s">
        <v>106</v>
      </c>
      <c r="E7" s="12" t="s">
        <v>107</v>
      </c>
      <c r="F7" s="13">
        <v>45444</v>
      </c>
      <c r="G7" s="13">
        <v>45808</v>
      </c>
      <c r="H7" s="10"/>
      <c r="I7" s="17" t="s">
        <v>95</v>
      </c>
      <c r="J7" s="18">
        <v>1030</v>
      </c>
      <c r="K7" s="18">
        <v>4660</v>
      </c>
      <c r="L7" s="18">
        <v>3295.2</v>
      </c>
      <c r="M7" s="18"/>
      <c r="N7" s="18"/>
      <c r="O7" s="18"/>
      <c r="P7" s="18"/>
      <c r="Q7" s="18"/>
      <c r="R7" s="18">
        <v>630</v>
      </c>
      <c r="S7" s="18"/>
      <c r="T7" s="18"/>
      <c r="U7" s="18"/>
      <c r="V7" s="18"/>
      <c r="W7" s="18"/>
      <c r="X7" s="18" t="str">
        <f t="shared" si="11"/>
        <v/>
      </c>
      <c r="Y7" s="18"/>
      <c r="Z7" s="21">
        <f t="shared" si="12"/>
        <v>9615.2000000000007</v>
      </c>
      <c r="AA7" s="22">
        <v>16443</v>
      </c>
      <c r="AB7" s="23">
        <v>1315.44</v>
      </c>
      <c r="AC7" s="23">
        <v>328.86</v>
      </c>
      <c r="AD7" s="23">
        <v>82.22</v>
      </c>
      <c r="AE7" s="22">
        <v>16443</v>
      </c>
      <c r="AF7" s="22">
        <f t="shared" si="0"/>
        <v>1151</v>
      </c>
      <c r="AG7" s="21">
        <f t="shared" si="1"/>
        <v>2877.5200000000004</v>
      </c>
      <c r="AH7" s="25"/>
      <c r="AI7" s="25"/>
      <c r="AJ7" s="25"/>
      <c r="AK7" s="21">
        <f t="shared" si="2"/>
        <v>6737.68</v>
      </c>
      <c r="AL7" s="22">
        <v>16443</v>
      </c>
      <c r="AM7" s="22">
        <v>16443</v>
      </c>
      <c r="AN7" s="22">
        <f t="shared" si="3"/>
        <v>2630.88</v>
      </c>
      <c r="AO7" s="22">
        <v>1479.88</v>
      </c>
      <c r="AP7" s="22">
        <f t="shared" si="4"/>
        <v>82.22</v>
      </c>
      <c r="AQ7" s="22">
        <v>32.89</v>
      </c>
      <c r="AR7" s="22"/>
      <c r="AS7" s="22">
        <f t="shared" si="5"/>
        <v>1151</v>
      </c>
      <c r="AT7" s="22">
        <f t="shared" si="6"/>
        <v>246.65</v>
      </c>
      <c r="AU7" s="21">
        <f t="shared" si="7"/>
        <v>5623.52</v>
      </c>
      <c r="AV7" s="21">
        <v>180</v>
      </c>
      <c r="AW7" s="21">
        <f t="shared" si="8"/>
        <v>15418.720000000001</v>
      </c>
      <c r="AX7" s="32"/>
      <c r="AY7" s="30">
        <v>9.2000000000000028</v>
      </c>
      <c r="AZ7" s="33" t="s">
        <v>181</v>
      </c>
      <c r="BA7" s="21">
        <v>255</v>
      </c>
      <c r="BB7" s="34">
        <f t="shared" si="14"/>
        <v>15682.92</v>
      </c>
      <c r="BC7" s="21">
        <f t="shared" si="15"/>
        <v>940.98</v>
      </c>
      <c r="BD7" s="21">
        <f t="shared" si="9"/>
        <v>16623.900000000001</v>
      </c>
      <c r="BE7" s="35"/>
    </row>
    <row r="8" spans="1:57" s="3" customFormat="1" ht="15" customHeight="1" x14ac:dyDescent="0.25">
      <c r="A8" s="10">
        <f t="shared" si="10"/>
        <v>6</v>
      </c>
      <c r="B8" s="11">
        <v>2501</v>
      </c>
      <c r="C8" s="11" t="s">
        <v>108</v>
      </c>
      <c r="D8" s="10" t="s">
        <v>109</v>
      </c>
      <c r="E8" s="12" t="s">
        <v>110</v>
      </c>
      <c r="F8" s="13">
        <v>45444</v>
      </c>
      <c r="G8" s="13">
        <v>45808</v>
      </c>
      <c r="H8" s="10"/>
      <c r="I8" s="17" t="s">
        <v>95</v>
      </c>
      <c r="J8" s="18">
        <v>1030</v>
      </c>
      <c r="K8" s="18">
        <v>2371.1999999999998</v>
      </c>
      <c r="L8" s="18">
        <v>1742.1</v>
      </c>
      <c r="M8" s="18"/>
      <c r="N8" s="18"/>
      <c r="O8" s="18"/>
      <c r="P8" s="18"/>
      <c r="Q8" s="18"/>
      <c r="R8" s="18">
        <v>630</v>
      </c>
      <c r="S8" s="18"/>
      <c r="T8" s="18"/>
      <c r="U8" s="18"/>
      <c r="V8" s="18"/>
      <c r="W8" s="18"/>
      <c r="X8" s="18" t="str">
        <f t="shared" si="11"/>
        <v/>
      </c>
      <c r="Y8" s="18"/>
      <c r="Z8" s="21">
        <f t="shared" si="12"/>
        <v>5773.2999999999993</v>
      </c>
      <c r="AA8" s="22">
        <v>8261</v>
      </c>
      <c r="AB8" s="23">
        <v>660.88</v>
      </c>
      <c r="AC8" s="23">
        <v>165.22</v>
      </c>
      <c r="AD8" s="23">
        <v>41.31</v>
      </c>
      <c r="AE8" s="22">
        <v>8261</v>
      </c>
      <c r="AF8" s="22">
        <f t="shared" si="0"/>
        <v>578</v>
      </c>
      <c r="AG8" s="21">
        <f t="shared" si="1"/>
        <v>1445.41</v>
      </c>
      <c r="AH8" s="25"/>
      <c r="AI8" s="25"/>
      <c r="AJ8" s="25"/>
      <c r="AK8" s="21">
        <f t="shared" si="2"/>
        <v>4327.8899999999994</v>
      </c>
      <c r="AL8" s="22">
        <v>8261</v>
      </c>
      <c r="AM8" s="22">
        <v>8261</v>
      </c>
      <c r="AN8" s="22">
        <f t="shared" si="3"/>
        <v>1321.76</v>
      </c>
      <c r="AO8" s="22">
        <v>743.5</v>
      </c>
      <c r="AP8" s="22">
        <f t="shared" si="4"/>
        <v>41.31</v>
      </c>
      <c r="AQ8" s="22">
        <v>16.52</v>
      </c>
      <c r="AR8" s="22"/>
      <c r="AS8" s="22">
        <f t="shared" si="5"/>
        <v>578</v>
      </c>
      <c r="AT8" s="22">
        <f t="shared" si="6"/>
        <v>123.92</v>
      </c>
      <c r="AU8" s="21">
        <f t="shared" si="7"/>
        <v>2825.01</v>
      </c>
      <c r="AV8" s="21">
        <v>103</v>
      </c>
      <c r="AW8" s="21">
        <f t="shared" si="8"/>
        <v>8701.31</v>
      </c>
      <c r="AX8" s="32"/>
      <c r="AY8" s="30">
        <v>4.629999999999999</v>
      </c>
      <c r="AZ8" s="33" t="s">
        <v>181</v>
      </c>
      <c r="BA8" s="21">
        <v>255</v>
      </c>
      <c r="BB8" s="34">
        <f t="shared" si="14"/>
        <v>8960.94</v>
      </c>
      <c r="BC8" s="21">
        <f t="shared" si="15"/>
        <v>537.66</v>
      </c>
      <c r="BD8" s="21">
        <f t="shared" si="9"/>
        <v>9498.6</v>
      </c>
      <c r="BE8" s="35"/>
    </row>
    <row r="9" spans="1:57" s="3" customFormat="1" ht="15" customHeight="1" x14ac:dyDescent="0.25">
      <c r="A9" s="10">
        <f t="shared" si="10"/>
        <v>7</v>
      </c>
      <c r="B9" s="11">
        <v>2501</v>
      </c>
      <c r="C9" s="11" t="s">
        <v>111</v>
      </c>
      <c r="D9" s="10" t="s">
        <v>112</v>
      </c>
      <c r="E9" s="12" t="s">
        <v>113</v>
      </c>
      <c r="F9" s="13">
        <v>45444</v>
      </c>
      <c r="G9" s="13">
        <v>45808</v>
      </c>
      <c r="H9" s="10"/>
      <c r="I9" s="17" t="s">
        <v>95</v>
      </c>
      <c r="J9" s="18">
        <v>1030</v>
      </c>
      <c r="K9" s="18">
        <v>1134</v>
      </c>
      <c r="L9" s="18">
        <v>664.5</v>
      </c>
      <c r="M9" s="18"/>
      <c r="N9" s="18"/>
      <c r="O9" s="18"/>
      <c r="P9" s="18"/>
      <c r="Q9" s="18"/>
      <c r="R9" s="18">
        <v>630</v>
      </c>
      <c r="S9" s="18"/>
      <c r="T9" s="18"/>
      <c r="U9" s="18"/>
      <c r="V9" s="18"/>
      <c r="W9" s="18"/>
      <c r="X9" s="18">
        <f t="shared" si="11"/>
        <v>969.82000000000016</v>
      </c>
      <c r="Y9" s="18"/>
      <c r="Z9" s="21">
        <f t="shared" si="12"/>
        <v>4428.32</v>
      </c>
      <c r="AA9" s="22">
        <v>7384</v>
      </c>
      <c r="AB9" s="23">
        <v>590.72</v>
      </c>
      <c r="AC9" s="23">
        <v>147.68</v>
      </c>
      <c r="AD9" s="23">
        <v>36.92</v>
      </c>
      <c r="AE9" s="22">
        <v>4686</v>
      </c>
      <c r="AF9" s="22">
        <f t="shared" si="0"/>
        <v>328</v>
      </c>
      <c r="AG9" s="21">
        <f t="shared" si="1"/>
        <v>1103.3200000000002</v>
      </c>
      <c r="AH9" s="25"/>
      <c r="AI9" s="25"/>
      <c r="AJ9" s="25"/>
      <c r="AK9" s="21">
        <f t="shared" si="2"/>
        <v>3324.9999999999995</v>
      </c>
      <c r="AL9" s="22">
        <v>7384</v>
      </c>
      <c r="AM9" s="22">
        <v>4686</v>
      </c>
      <c r="AN9" s="22">
        <f t="shared" si="3"/>
        <v>1181.44</v>
      </c>
      <c r="AO9" s="22">
        <f t="shared" si="13"/>
        <v>664.56</v>
      </c>
      <c r="AP9" s="22">
        <f t="shared" si="4"/>
        <v>36.92</v>
      </c>
      <c r="AQ9" s="22">
        <v>14.77</v>
      </c>
      <c r="AR9" s="22"/>
      <c r="AS9" s="22">
        <f t="shared" si="5"/>
        <v>328</v>
      </c>
      <c r="AT9" s="22">
        <f t="shared" si="6"/>
        <v>110.76</v>
      </c>
      <c r="AU9" s="21">
        <f t="shared" si="7"/>
        <v>2336.4500000000003</v>
      </c>
      <c r="AV9" s="21">
        <v>76</v>
      </c>
      <c r="AW9" s="21">
        <f t="shared" si="8"/>
        <v>6840.77</v>
      </c>
      <c r="AX9" s="32">
        <f>-5</f>
        <v>-5</v>
      </c>
      <c r="AY9" s="30">
        <v>4.129999999999999</v>
      </c>
      <c r="AZ9" s="33" t="s">
        <v>188</v>
      </c>
      <c r="BA9" s="21">
        <v>255</v>
      </c>
      <c r="BB9" s="34">
        <f t="shared" si="14"/>
        <v>7094.9</v>
      </c>
      <c r="BC9" s="21">
        <f t="shared" si="15"/>
        <v>425.69</v>
      </c>
      <c r="BD9" s="21">
        <f t="shared" si="9"/>
        <v>7520.59</v>
      </c>
      <c r="BE9" s="35"/>
    </row>
    <row r="10" spans="1:57" s="3" customFormat="1" ht="15" customHeight="1" x14ac:dyDescent="0.25">
      <c r="A10" s="10">
        <f t="shared" si="10"/>
        <v>8</v>
      </c>
      <c r="B10" s="11">
        <v>2501</v>
      </c>
      <c r="C10" s="11" t="s">
        <v>114</v>
      </c>
      <c r="D10" s="10" t="s">
        <v>115</v>
      </c>
      <c r="E10" s="12" t="s">
        <v>116</v>
      </c>
      <c r="F10" s="13">
        <v>45444</v>
      </c>
      <c r="G10" s="13">
        <v>45808</v>
      </c>
      <c r="H10" s="10"/>
      <c r="I10" s="17" t="s">
        <v>95</v>
      </c>
      <c r="J10" s="18">
        <v>1300</v>
      </c>
      <c r="K10" s="18">
        <v>7811.4</v>
      </c>
      <c r="L10" s="18">
        <v>3825.57</v>
      </c>
      <c r="M10" s="18"/>
      <c r="N10" s="18"/>
      <c r="O10" s="18"/>
      <c r="P10" s="18"/>
      <c r="Q10" s="18"/>
      <c r="R10" s="18">
        <v>630</v>
      </c>
      <c r="S10" s="18"/>
      <c r="T10" s="18"/>
      <c r="U10" s="18"/>
      <c r="V10" s="18"/>
      <c r="W10" s="18"/>
      <c r="X10" s="18" t="str">
        <f t="shared" si="11"/>
        <v/>
      </c>
      <c r="Y10" s="18"/>
      <c r="Z10" s="21">
        <f t="shared" si="12"/>
        <v>13566.97</v>
      </c>
      <c r="AA10" s="22">
        <v>9424</v>
      </c>
      <c r="AB10" s="23">
        <v>753.92</v>
      </c>
      <c r="AC10" s="23">
        <v>188.48</v>
      </c>
      <c r="AD10" s="23">
        <v>47.12</v>
      </c>
      <c r="AE10" s="22">
        <v>9424</v>
      </c>
      <c r="AF10" s="22">
        <f t="shared" si="0"/>
        <v>660</v>
      </c>
      <c r="AG10" s="21">
        <f t="shared" si="1"/>
        <v>1649.52</v>
      </c>
      <c r="AH10" s="25"/>
      <c r="AI10" s="25"/>
      <c r="AJ10" s="25"/>
      <c r="AK10" s="21">
        <f t="shared" si="2"/>
        <v>11917.449999999999</v>
      </c>
      <c r="AL10" s="22">
        <v>9424</v>
      </c>
      <c r="AM10" s="22">
        <v>9424</v>
      </c>
      <c r="AN10" s="22">
        <f t="shared" si="3"/>
        <v>1507.84</v>
      </c>
      <c r="AO10" s="22">
        <f t="shared" si="13"/>
        <v>848.16</v>
      </c>
      <c r="AP10" s="22">
        <f t="shared" si="4"/>
        <v>47.12</v>
      </c>
      <c r="AQ10" s="22">
        <v>18.850000000000001</v>
      </c>
      <c r="AR10" s="22"/>
      <c r="AS10" s="22">
        <f t="shared" si="5"/>
        <v>660</v>
      </c>
      <c r="AT10" s="22">
        <f t="shared" si="6"/>
        <v>141.36000000000001</v>
      </c>
      <c r="AU10" s="21">
        <f t="shared" si="7"/>
        <v>3223.33</v>
      </c>
      <c r="AV10" s="21">
        <v>259</v>
      </c>
      <c r="AW10" s="21">
        <f t="shared" si="8"/>
        <v>17049.3</v>
      </c>
      <c r="AX10" s="32"/>
      <c r="AY10" s="30">
        <v>5.2799999999999976</v>
      </c>
      <c r="AZ10" s="33" t="s">
        <v>182</v>
      </c>
      <c r="BA10" s="21">
        <v>255</v>
      </c>
      <c r="BB10" s="34">
        <f t="shared" si="14"/>
        <v>17309.580000000002</v>
      </c>
      <c r="BC10" s="21">
        <f t="shared" si="15"/>
        <v>1038.57</v>
      </c>
      <c r="BD10" s="21">
        <f t="shared" si="9"/>
        <v>18348.150000000001</v>
      </c>
      <c r="BE10" s="35"/>
    </row>
    <row r="11" spans="1:57" s="3" customFormat="1" ht="15" customHeight="1" x14ac:dyDescent="0.25">
      <c r="A11" s="10">
        <f t="shared" si="10"/>
        <v>9</v>
      </c>
      <c r="B11" s="11">
        <v>2501</v>
      </c>
      <c r="C11" s="11" t="s">
        <v>117</v>
      </c>
      <c r="D11" s="10" t="s">
        <v>118</v>
      </c>
      <c r="E11" s="12" t="s">
        <v>119</v>
      </c>
      <c r="F11" s="13">
        <v>45444</v>
      </c>
      <c r="G11" s="13">
        <v>45808</v>
      </c>
      <c r="H11" s="10"/>
      <c r="I11" s="17" t="s">
        <v>95</v>
      </c>
      <c r="J11" s="18">
        <v>1300</v>
      </c>
      <c r="K11" s="18">
        <v>6916</v>
      </c>
      <c r="L11" s="18">
        <v>2442.9</v>
      </c>
      <c r="M11" s="18"/>
      <c r="N11" s="18"/>
      <c r="O11" s="18"/>
      <c r="P11" s="18"/>
      <c r="Q11" s="18"/>
      <c r="R11" s="18">
        <v>630</v>
      </c>
      <c r="S11" s="18"/>
      <c r="T11" s="18"/>
      <c r="U11" s="18"/>
      <c r="V11" s="18"/>
      <c r="W11" s="18"/>
      <c r="X11" s="18" t="str">
        <f t="shared" si="11"/>
        <v/>
      </c>
      <c r="Y11" s="18"/>
      <c r="Z11" s="21">
        <f t="shared" si="12"/>
        <v>11288.9</v>
      </c>
      <c r="AA11" s="22">
        <v>10475</v>
      </c>
      <c r="AB11" s="23">
        <v>838</v>
      </c>
      <c r="AC11" s="23">
        <v>209.5</v>
      </c>
      <c r="AD11" s="23">
        <v>52.38</v>
      </c>
      <c r="AE11" s="22">
        <v>10475</v>
      </c>
      <c r="AF11" s="22">
        <f t="shared" si="0"/>
        <v>733</v>
      </c>
      <c r="AG11" s="21">
        <f t="shared" si="1"/>
        <v>1832.88</v>
      </c>
      <c r="AH11" s="25"/>
      <c r="AI11" s="25"/>
      <c r="AJ11" s="25"/>
      <c r="AK11" s="21">
        <f t="shared" si="2"/>
        <v>9456.02</v>
      </c>
      <c r="AL11" s="22">
        <v>10475</v>
      </c>
      <c r="AM11" s="22">
        <v>10475</v>
      </c>
      <c r="AN11" s="22">
        <f t="shared" si="3"/>
        <v>1676</v>
      </c>
      <c r="AO11" s="22">
        <v>942.76</v>
      </c>
      <c r="AP11" s="22">
        <f t="shared" si="4"/>
        <v>52.38</v>
      </c>
      <c r="AQ11" s="22">
        <v>20.95</v>
      </c>
      <c r="AR11" s="22"/>
      <c r="AS11" s="22">
        <f t="shared" si="5"/>
        <v>733</v>
      </c>
      <c r="AT11" s="22">
        <f t="shared" si="6"/>
        <v>157.13</v>
      </c>
      <c r="AU11" s="21">
        <f t="shared" si="7"/>
        <v>3582.2200000000003</v>
      </c>
      <c r="AV11" s="21">
        <v>213</v>
      </c>
      <c r="AW11" s="21">
        <f t="shared" si="8"/>
        <v>15084.119999999999</v>
      </c>
      <c r="AX11" s="32"/>
      <c r="AY11" s="30">
        <v>5.870000000000001</v>
      </c>
      <c r="AZ11" s="33" t="s">
        <v>181</v>
      </c>
      <c r="BA11" s="21">
        <v>255</v>
      </c>
      <c r="BB11" s="34">
        <f t="shared" si="14"/>
        <v>15344.99</v>
      </c>
      <c r="BC11" s="21">
        <f t="shared" si="15"/>
        <v>920.7</v>
      </c>
      <c r="BD11" s="21">
        <f t="shared" si="9"/>
        <v>16265.69</v>
      </c>
      <c r="BE11" s="35"/>
    </row>
    <row r="12" spans="1:57" s="3" customFormat="1" ht="15" customHeight="1" x14ac:dyDescent="0.25">
      <c r="A12" s="10">
        <f t="shared" si="10"/>
        <v>10</v>
      </c>
      <c r="B12" s="11">
        <v>2501</v>
      </c>
      <c r="C12" s="11" t="s">
        <v>120</v>
      </c>
      <c r="D12" s="10" t="s">
        <v>121</v>
      </c>
      <c r="E12" s="12" t="s">
        <v>122</v>
      </c>
      <c r="F12" s="13">
        <v>45444</v>
      </c>
      <c r="G12" s="13">
        <v>45808</v>
      </c>
      <c r="H12" s="10"/>
      <c r="I12" s="17" t="s">
        <v>95</v>
      </c>
      <c r="J12" s="18">
        <v>1030</v>
      </c>
      <c r="K12" s="18">
        <v>2836</v>
      </c>
      <c r="L12" s="18">
        <v>3042.3</v>
      </c>
      <c r="M12" s="18"/>
      <c r="N12" s="18"/>
      <c r="O12" s="18"/>
      <c r="P12" s="18"/>
      <c r="Q12" s="18"/>
      <c r="R12" s="18">
        <v>630</v>
      </c>
      <c r="S12" s="18"/>
      <c r="T12" s="18"/>
      <c r="U12" s="18"/>
      <c r="V12" s="18"/>
      <c r="W12" s="18"/>
      <c r="X12" s="18" t="str">
        <f t="shared" si="11"/>
        <v/>
      </c>
      <c r="Y12" s="18"/>
      <c r="Z12" s="21">
        <f t="shared" si="12"/>
        <v>7538.3</v>
      </c>
      <c r="AA12" s="22">
        <v>8472</v>
      </c>
      <c r="AB12" s="23">
        <v>677.76</v>
      </c>
      <c r="AC12" s="23">
        <v>169.44</v>
      </c>
      <c r="AD12" s="23">
        <v>42.36</v>
      </c>
      <c r="AE12" s="22">
        <v>8472</v>
      </c>
      <c r="AF12" s="22">
        <f t="shared" si="0"/>
        <v>593</v>
      </c>
      <c r="AG12" s="21">
        <f t="shared" si="1"/>
        <v>1482.56</v>
      </c>
      <c r="AH12" s="25"/>
      <c r="AI12" s="25"/>
      <c r="AJ12" s="25"/>
      <c r="AK12" s="21">
        <f t="shared" si="2"/>
        <v>6055.74</v>
      </c>
      <c r="AL12" s="22">
        <v>8472</v>
      </c>
      <c r="AM12" s="22">
        <v>8472</v>
      </c>
      <c r="AN12" s="22">
        <f t="shared" si="3"/>
        <v>1355.52</v>
      </c>
      <c r="AO12" s="22">
        <f t="shared" si="13"/>
        <v>762.48</v>
      </c>
      <c r="AP12" s="22">
        <f t="shared" si="4"/>
        <v>42.36</v>
      </c>
      <c r="AQ12" s="22">
        <v>16.940000000000001</v>
      </c>
      <c r="AR12" s="22"/>
      <c r="AS12" s="22">
        <f t="shared" si="5"/>
        <v>593</v>
      </c>
      <c r="AT12" s="22">
        <f t="shared" si="6"/>
        <v>127.08</v>
      </c>
      <c r="AU12" s="21">
        <f t="shared" si="7"/>
        <v>2897.38</v>
      </c>
      <c r="AV12" s="21">
        <v>138</v>
      </c>
      <c r="AW12" s="21">
        <f t="shared" si="8"/>
        <v>10573.68</v>
      </c>
      <c r="AX12" s="32"/>
      <c r="AY12" s="30">
        <v>4.75</v>
      </c>
      <c r="AZ12" s="33" t="s">
        <v>181</v>
      </c>
      <c r="BA12" s="21">
        <v>255</v>
      </c>
      <c r="BB12" s="34">
        <f t="shared" si="14"/>
        <v>10833.43</v>
      </c>
      <c r="BC12" s="21">
        <f t="shared" si="15"/>
        <v>650.01</v>
      </c>
      <c r="BD12" s="21">
        <f t="shared" si="9"/>
        <v>11483.44</v>
      </c>
      <c r="BE12" s="35"/>
    </row>
    <row r="13" spans="1:57" s="3" customFormat="1" ht="15" customHeight="1" x14ac:dyDescent="0.25">
      <c r="A13" s="10">
        <f t="shared" si="10"/>
        <v>11</v>
      </c>
      <c r="B13" s="11">
        <v>2501</v>
      </c>
      <c r="C13" s="11" t="s">
        <v>123</v>
      </c>
      <c r="D13" s="10" t="s">
        <v>124</v>
      </c>
      <c r="E13" s="12" t="s">
        <v>125</v>
      </c>
      <c r="F13" s="13">
        <v>45444</v>
      </c>
      <c r="G13" s="13">
        <v>45808</v>
      </c>
      <c r="H13" s="10"/>
      <c r="I13" s="17" t="s">
        <v>95</v>
      </c>
      <c r="J13" s="18">
        <v>1300</v>
      </c>
      <c r="K13" s="18">
        <v>4329.3999999999996</v>
      </c>
      <c r="L13" s="18">
        <v>3322.02</v>
      </c>
      <c r="M13" s="18"/>
      <c r="N13" s="18"/>
      <c r="O13" s="18"/>
      <c r="P13" s="18"/>
      <c r="Q13" s="18"/>
      <c r="R13" s="18">
        <v>630</v>
      </c>
      <c r="S13" s="18"/>
      <c r="T13" s="18"/>
      <c r="U13" s="18"/>
      <c r="V13" s="18"/>
      <c r="W13" s="18"/>
      <c r="X13" s="18" t="str">
        <f t="shared" si="11"/>
        <v/>
      </c>
      <c r="Y13" s="18"/>
      <c r="Z13" s="21">
        <f t="shared" si="12"/>
        <v>9581.42</v>
      </c>
      <c r="AA13" s="22">
        <v>9241</v>
      </c>
      <c r="AB13" s="23">
        <v>739.28</v>
      </c>
      <c r="AC13" s="23">
        <v>184.82</v>
      </c>
      <c r="AD13" s="23">
        <v>46.21</v>
      </c>
      <c r="AE13" s="22">
        <v>9241</v>
      </c>
      <c r="AF13" s="22">
        <f t="shared" si="0"/>
        <v>647</v>
      </c>
      <c r="AG13" s="21">
        <f t="shared" si="1"/>
        <v>1617.31</v>
      </c>
      <c r="AH13" s="25"/>
      <c r="AI13" s="25"/>
      <c r="AJ13" s="25"/>
      <c r="AK13" s="21">
        <f t="shared" si="2"/>
        <v>7964.1100000000006</v>
      </c>
      <c r="AL13" s="22">
        <v>9241</v>
      </c>
      <c r="AM13" s="22">
        <v>9241</v>
      </c>
      <c r="AN13" s="22">
        <f t="shared" si="3"/>
        <v>1478.56</v>
      </c>
      <c r="AO13" s="22">
        <v>831.7</v>
      </c>
      <c r="AP13" s="22">
        <f t="shared" si="4"/>
        <v>46.21</v>
      </c>
      <c r="AQ13" s="22">
        <v>18.48</v>
      </c>
      <c r="AR13" s="22"/>
      <c r="AS13" s="22">
        <f t="shared" si="5"/>
        <v>647</v>
      </c>
      <c r="AT13" s="22">
        <f t="shared" si="6"/>
        <v>138.62</v>
      </c>
      <c r="AU13" s="21">
        <f t="shared" si="7"/>
        <v>3160.57</v>
      </c>
      <c r="AV13" s="21">
        <v>179</v>
      </c>
      <c r="AW13" s="21">
        <f t="shared" si="8"/>
        <v>12920.99</v>
      </c>
      <c r="AX13" s="32"/>
      <c r="AY13" s="30">
        <v>5.18</v>
      </c>
      <c r="AZ13" s="33" t="s">
        <v>181</v>
      </c>
      <c r="BA13" s="21">
        <v>255</v>
      </c>
      <c r="BB13" s="34">
        <f t="shared" si="14"/>
        <v>13181.17</v>
      </c>
      <c r="BC13" s="21">
        <f t="shared" si="15"/>
        <v>790.87</v>
      </c>
      <c r="BD13" s="21">
        <f t="shared" si="9"/>
        <v>13972.04</v>
      </c>
      <c r="BE13" s="35"/>
    </row>
    <row r="14" spans="1:57" s="3" customFormat="1" ht="15" customHeight="1" x14ac:dyDescent="0.25">
      <c r="A14" s="10">
        <f t="shared" si="10"/>
        <v>12</v>
      </c>
      <c r="B14" s="11">
        <v>2501</v>
      </c>
      <c r="C14" s="11" t="s">
        <v>126</v>
      </c>
      <c r="D14" s="10" t="s">
        <v>127</v>
      </c>
      <c r="E14" s="12" t="s">
        <v>128</v>
      </c>
      <c r="F14" s="13">
        <v>45444</v>
      </c>
      <c r="G14" s="13">
        <v>45808</v>
      </c>
      <c r="H14" s="10"/>
      <c r="I14" s="17" t="s">
        <v>95</v>
      </c>
      <c r="J14" s="18">
        <v>1030</v>
      </c>
      <c r="K14" s="18">
        <v>2040</v>
      </c>
      <c r="L14" s="18">
        <v>2301.96</v>
      </c>
      <c r="M14" s="18"/>
      <c r="N14" s="18"/>
      <c r="O14" s="18"/>
      <c r="P14" s="18"/>
      <c r="Q14" s="18"/>
      <c r="R14" s="18">
        <v>630</v>
      </c>
      <c r="S14" s="18"/>
      <c r="T14" s="18"/>
      <c r="U14" s="18"/>
      <c r="V14" s="18"/>
      <c r="W14" s="18"/>
      <c r="X14" s="18" t="str">
        <f t="shared" si="11"/>
        <v/>
      </c>
      <c r="Y14" s="18"/>
      <c r="Z14" s="21">
        <f t="shared" si="12"/>
        <v>6001.96</v>
      </c>
      <c r="AA14" s="22">
        <v>7384</v>
      </c>
      <c r="AB14" s="23">
        <v>590.72</v>
      </c>
      <c r="AC14" s="23">
        <v>147.68</v>
      </c>
      <c r="AD14" s="23">
        <v>36.92</v>
      </c>
      <c r="AE14" s="22">
        <v>6830</v>
      </c>
      <c r="AF14" s="22">
        <f t="shared" si="0"/>
        <v>478</v>
      </c>
      <c r="AG14" s="21">
        <f t="shared" si="1"/>
        <v>1253.3200000000002</v>
      </c>
      <c r="AH14" s="25"/>
      <c r="AI14" s="25"/>
      <c r="AJ14" s="25"/>
      <c r="AK14" s="21">
        <f t="shared" si="2"/>
        <v>4748.6399999999994</v>
      </c>
      <c r="AL14" s="22">
        <v>7384</v>
      </c>
      <c r="AM14" s="22">
        <v>6830</v>
      </c>
      <c r="AN14" s="22">
        <f t="shared" si="3"/>
        <v>1181.44</v>
      </c>
      <c r="AO14" s="22">
        <f t="shared" si="13"/>
        <v>664.56</v>
      </c>
      <c r="AP14" s="22">
        <f t="shared" si="4"/>
        <v>36.92</v>
      </c>
      <c r="AQ14" s="22">
        <v>14.77</v>
      </c>
      <c r="AR14" s="22"/>
      <c r="AS14" s="22">
        <f t="shared" si="5"/>
        <v>478</v>
      </c>
      <c r="AT14" s="22">
        <f t="shared" si="6"/>
        <v>110.76</v>
      </c>
      <c r="AU14" s="21">
        <f t="shared" si="7"/>
        <v>2486.4500000000003</v>
      </c>
      <c r="AV14" s="21">
        <v>107</v>
      </c>
      <c r="AW14" s="21">
        <f t="shared" si="8"/>
        <v>8595.41</v>
      </c>
      <c r="AX14" s="32"/>
      <c r="AY14" s="30">
        <v>4.129999999999999</v>
      </c>
      <c r="AZ14" s="33" t="s">
        <v>181</v>
      </c>
      <c r="BA14" s="21">
        <v>255</v>
      </c>
      <c r="BB14" s="34">
        <f t="shared" si="14"/>
        <v>8854.5400000000009</v>
      </c>
      <c r="BC14" s="21">
        <f t="shared" si="15"/>
        <v>531.27</v>
      </c>
      <c r="BD14" s="21">
        <f t="shared" si="9"/>
        <v>9385.81</v>
      </c>
      <c r="BE14" s="35"/>
    </row>
    <row r="15" spans="1:57" s="3" customFormat="1" ht="15" customHeight="1" x14ac:dyDescent="0.25">
      <c r="A15" s="10">
        <f t="shared" si="10"/>
        <v>13</v>
      </c>
      <c r="B15" s="11">
        <v>2501</v>
      </c>
      <c r="C15" s="11" t="s">
        <v>129</v>
      </c>
      <c r="D15" s="10" t="s">
        <v>130</v>
      </c>
      <c r="E15" s="12" t="s">
        <v>131</v>
      </c>
      <c r="F15" s="13">
        <v>45444</v>
      </c>
      <c r="G15" s="13">
        <v>45808</v>
      </c>
      <c r="H15" s="10"/>
      <c r="I15" s="17" t="s">
        <v>95</v>
      </c>
      <c r="J15" s="18">
        <v>1300</v>
      </c>
      <c r="K15" s="18">
        <v>21825</v>
      </c>
      <c r="L15" s="18">
        <v>7163.64</v>
      </c>
      <c r="M15" s="18"/>
      <c r="N15" s="18"/>
      <c r="O15" s="18"/>
      <c r="P15" s="18"/>
      <c r="Q15" s="18"/>
      <c r="R15" s="18">
        <v>630</v>
      </c>
      <c r="S15" s="18"/>
      <c r="T15" s="18"/>
      <c r="U15" s="18"/>
      <c r="V15" s="18"/>
      <c r="W15" s="18"/>
      <c r="X15" s="18" t="str">
        <f t="shared" si="11"/>
        <v/>
      </c>
      <c r="Y15" s="18"/>
      <c r="Z15" s="21">
        <f t="shared" si="12"/>
        <v>30918.639999999999</v>
      </c>
      <c r="AA15" s="22">
        <v>18040</v>
      </c>
      <c r="AB15" s="23">
        <v>1443.2</v>
      </c>
      <c r="AC15" s="23">
        <v>360.8</v>
      </c>
      <c r="AD15" s="23">
        <v>90.2</v>
      </c>
      <c r="AE15" s="22">
        <v>18040</v>
      </c>
      <c r="AF15" s="22">
        <f t="shared" si="0"/>
        <v>1263</v>
      </c>
      <c r="AG15" s="21">
        <f t="shared" si="1"/>
        <v>3157.2</v>
      </c>
      <c r="AH15" s="25"/>
      <c r="AI15" s="25"/>
      <c r="AJ15" s="25"/>
      <c r="AK15" s="21">
        <f t="shared" si="2"/>
        <v>27761.439999999999</v>
      </c>
      <c r="AL15" s="22">
        <v>18040</v>
      </c>
      <c r="AM15" s="22">
        <v>18040</v>
      </c>
      <c r="AN15" s="22">
        <f t="shared" si="3"/>
        <v>2886.4</v>
      </c>
      <c r="AO15" s="22">
        <f t="shared" si="13"/>
        <v>1623.6</v>
      </c>
      <c r="AP15" s="22">
        <f t="shared" si="4"/>
        <v>90.2</v>
      </c>
      <c r="AQ15" s="22">
        <v>36.08</v>
      </c>
      <c r="AR15" s="22"/>
      <c r="AS15" s="22">
        <f t="shared" si="5"/>
        <v>1263</v>
      </c>
      <c r="AT15" s="22">
        <f t="shared" si="6"/>
        <v>270.60000000000002</v>
      </c>
      <c r="AU15" s="21">
        <f t="shared" si="7"/>
        <v>6169.88</v>
      </c>
      <c r="AV15" s="21">
        <v>606</v>
      </c>
      <c r="AW15" s="21">
        <f t="shared" si="8"/>
        <v>37694.519999999997</v>
      </c>
      <c r="AX15" s="32"/>
      <c r="AY15" s="30">
        <v>10.100000000000001</v>
      </c>
      <c r="AZ15" s="33" t="s">
        <v>181</v>
      </c>
      <c r="BA15" s="21">
        <v>255</v>
      </c>
      <c r="BB15" s="34">
        <f t="shared" si="14"/>
        <v>37959.620000000003</v>
      </c>
      <c r="BC15" s="21">
        <f t="shared" si="15"/>
        <v>2277.58</v>
      </c>
      <c r="BD15" s="21">
        <f t="shared" si="9"/>
        <v>40237.199999999997</v>
      </c>
      <c r="BE15" s="35"/>
    </row>
    <row r="16" spans="1:57" s="3" customFormat="1" ht="15" customHeight="1" x14ac:dyDescent="0.25">
      <c r="A16" s="10">
        <f t="shared" si="10"/>
        <v>14</v>
      </c>
      <c r="B16" s="11">
        <v>2501</v>
      </c>
      <c r="C16" s="11" t="s">
        <v>132</v>
      </c>
      <c r="D16" s="10" t="s">
        <v>133</v>
      </c>
      <c r="E16" s="12" t="s">
        <v>134</v>
      </c>
      <c r="F16" s="13">
        <v>45444</v>
      </c>
      <c r="G16" s="13">
        <v>45808</v>
      </c>
      <c r="H16" s="10"/>
      <c r="I16" s="17" t="s">
        <v>95</v>
      </c>
      <c r="J16" s="18">
        <v>1030</v>
      </c>
      <c r="K16" s="18">
        <v>3545.4</v>
      </c>
      <c r="L16" s="18">
        <v>1957.14</v>
      </c>
      <c r="M16" s="18"/>
      <c r="N16" s="18"/>
      <c r="O16" s="18"/>
      <c r="P16" s="18"/>
      <c r="Q16" s="18"/>
      <c r="R16" s="18">
        <v>630</v>
      </c>
      <c r="S16" s="18"/>
      <c r="T16" s="18"/>
      <c r="U16" s="18"/>
      <c r="V16" s="18"/>
      <c r="W16" s="18"/>
      <c r="X16" s="18" t="str">
        <f t="shared" si="11"/>
        <v/>
      </c>
      <c r="Y16" s="18"/>
      <c r="Z16" s="21">
        <f t="shared" si="12"/>
        <v>7162.54</v>
      </c>
      <c r="AA16" s="22">
        <v>7474</v>
      </c>
      <c r="AB16" s="23">
        <v>597.91999999999996</v>
      </c>
      <c r="AC16" s="23">
        <v>149.47999999999999</v>
      </c>
      <c r="AD16" s="23">
        <v>37.369999999999997</v>
      </c>
      <c r="AE16" s="22">
        <v>7474</v>
      </c>
      <c r="AF16" s="22">
        <f t="shared" si="0"/>
        <v>523</v>
      </c>
      <c r="AG16" s="21">
        <f t="shared" si="1"/>
        <v>1307.77</v>
      </c>
      <c r="AH16" s="25"/>
      <c r="AI16" s="25"/>
      <c r="AJ16" s="25"/>
      <c r="AK16" s="21">
        <f t="shared" si="2"/>
        <v>5854.77</v>
      </c>
      <c r="AL16" s="22">
        <v>7474</v>
      </c>
      <c r="AM16" s="22">
        <v>7474</v>
      </c>
      <c r="AN16" s="22">
        <f t="shared" si="3"/>
        <v>1195.8399999999999</v>
      </c>
      <c r="AO16" s="22">
        <f t="shared" si="13"/>
        <v>672.66</v>
      </c>
      <c r="AP16" s="22">
        <f t="shared" si="4"/>
        <v>37.369999999999997</v>
      </c>
      <c r="AQ16" s="22">
        <v>14.95</v>
      </c>
      <c r="AR16" s="22"/>
      <c r="AS16" s="22">
        <f t="shared" si="5"/>
        <v>523</v>
      </c>
      <c r="AT16" s="22">
        <f t="shared" si="6"/>
        <v>112.11</v>
      </c>
      <c r="AU16" s="21">
        <f t="shared" si="7"/>
        <v>2555.9299999999998</v>
      </c>
      <c r="AV16" s="21">
        <v>131</v>
      </c>
      <c r="AW16" s="21">
        <f t="shared" si="8"/>
        <v>9849.4699999999993</v>
      </c>
      <c r="AX16" s="32"/>
      <c r="AY16" s="30">
        <v>4.18</v>
      </c>
      <c r="AZ16" s="33" t="s">
        <v>181</v>
      </c>
      <c r="BA16" s="21">
        <v>255</v>
      </c>
      <c r="BB16" s="34">
        <f t="shared" si="14"/>
        <v>10108.65</v>
      </c>
      <c r="BC16" s="21">
        <f t="shared" si="15"/>
        <v>606.52</v>
      </c>
      <c r="BD16" s="21">
        <f t="shared" si="9"/>
        <v>10715.17</v>
      </c>
      <c r="BE16" s="35"/>
    </row>
    <row r="17" spans="1:57" s="3" customFormat="1" ht="15" customHeight="1" x14ac:dyDescent="0.25">
      <c r="A17" s="10">
        <f t="shared" si="10"/>
        <v>15</v>
      </c>
      <c r="B17" s="11">
        <v>2501</v>
      </c>
      <c r="C17" s="11" t="s">
        <v>135</v>
      </c>
      <c r="D17" s="10" t="s">
        <v>136</v>
      </c>
      <c r="E17" s="12" t="s">
        <v>137</v>
      </c>
      <c r="F17" s="13">
        <v>45444</v>
      </c>
      <c r="G17" s="13">
        <v>45808</v>
      </c>
      <c r="H17" s="10"/>
      <c r="I17" s="17" t="s">
        <v>95</v>
      </c>
      <c r="J17" s="18">
        <v>1300</v>
      </c>
      <c r="K17" s="18">
        <v>5472</v>
      </c>
      <c r="L17" s="18">
        <v>4021.68</v>
      </c>
      <c r="M17" s="18"/>
      <c r="N17" s="18"/>
      <c r="O17" s="18"/>
      <c r="P17" s="18"/>
      <c r="Q17" s="18"/>
      <c r="R17" s="18">
        <v>630</v>
      </c>
      <c r="S17" s="18"/>
      <c r="T17" s="18"/>
      <c r="U17" s="18"/>
      <c r="V17" s="18"/>
      <c r="W17" s="18"/>
      <c r="X17" s="18" t="str">
        <f t="shared" si="11"/>
        <v/>
      </c>
      <c r="Y17" s="18"/>
      <c r="Z17" s="21">
        <f t="shared" si="12"/>
        <v>11423.68</v>
      </c>
      <c r="AA17" s="22">
        <v>11152</v>
      </c>
      <c r="AB17" s="23">
        <v>892.16</v>
      </c>
      <c r="AC17" s="23">
        <v>223.04</v>
      </c>
      <c r="AD17" s="23">
        <v>55.76</v>
      </c>
      <c r="AE17" s="22">
        <v>11152</v>
      </c>
      <c r="AF17" s="22">
        <f t="shared" si="0"/>
        <v>781</v>
      </c>
      <c r="AG17" s="21">
        <f t="shared" si="1"/>
        <v>1951.96</v>
      </c>
      <c r="AH17" s="25"/>
      <c r="AI17" s="25"/>
      <c r="AJ17" s="25"/>
      <c r="AK17" s="21">
        <f t="shared" si="2"/>
        <v>9471.7200000000012</v>
      </c>
      <c r="AL17" s="22">
        <v>11152</v>
      </c>
      <c r="AM17" s="22">
        <v>11152</v>
      </c>
      <c r="AN17" s="22">
        <f t="shared" si="3"/>
        <v>1784.32</v>
      </c>
      <c r="AO17" s="22">
        <f t="shared" si="13"/>
        <v>1003.68</v>
      </c>
      <c r="AP17" s="22">
        <f t="shared" si="4"/>
        <v>55.76</v>
      </c>
      <c r="AQ17" s="22">
        <v>22.3</v>
      </c>
      <c r="AR17" s="22"/>
      <c r="AS17" s="22">
        <f t="shared" si="5"/>
        <v>781</v>
      </c>
      <c r="AT17" s="22">
        <f t="shared" si="6"/>
        <v>167.28</v>
      </c>
      <c r="AU17" s="21">
        <f t="shared" si="7"/>
        <v>3814.3400000000006</v>
      </c>
      <c r="AV17" s="21">
        <v>216</v>
      </c>
      <c r="AW17" s="21">
        <f t="shared" si="8"/>
        <v>15454.02</v>
      </c>
      <c r="AX17" s="32"/>
      <c r="AY17" s="30">
        <v>6.25</v>
      </c>
      <c r="AZ17" s="33" t="s">
        <v>181</v>
      </c>
      <c r="BA17" s="21">
        <v>255</v>
      </c>
      <c r="BB17" s="34">
        <f t="shared" si="14"/>
        <v>15715.27</v>
      </c>
      <c r="BC17" s="21">
        <f t="shared" si="15"/>
        <v>942.92</v>
      </c>
      <c r="BD17" s="21">
        <f t="shared" si="9"/>
        <v>16658.189999999999</v>
      </c>
      <c r="BE17" s="35"/>
    </row>
    <row r="18" spans="1:57" s="3" customFormat="1" ht="15" customHeight="1" x14ac:dyDescent="0.25">
      <c r="A18" s="10">
        <f t="shared" si="10"/>
        <v>16</v>
      </c>
      <c r="B18" s="11">
        <v>2501</v>
      </c>
      <c r="C18" s="11" t="s">
        <v>138</v>
      </c>
      <c r="D18" s="10" t="s">
        <v>139</v>
      </c>
      <c r="E18" s="12" t="s">
        <v>140</v>
      </c>
      <c r="F18" s="13">
        <v>45444</v>
      </c>
      <c r="G18" s="13">
        <v>45808</v>
      </c>
      <c r="H18" s="10"/>
      <c r="I18" s="17" t="s">
        <v>95</v>
      </c>
      <c r="J18" s="18">
        <v>1030</v>
      </c>
      <c r="K18" s="18">
        <v>5092.3</v>
      </c>
      <c r="L18" s="18">
        <v>3844.02</v>
      </c>
      <c r="M18" s="18"/>
      <c r="N18" s="18"/>
      <c r="O18" s="18"/>
      <c r="P18" s="18"/>
      <c r="Q18" s="18"/>
      <c r="R18" s="18">
        <v>630</v>
      </c>
      <c r="S18" s="18"/>
      <c r="T18" s="18"/>
      <c r="U18" s="18"/>
      <c r="V18" s="18"/>
      <c r="W18" s="18"/>
      <c r="X18" s="18" t="str">
        <f t="shared" si="11"/>
        <v/>
      </c>
      <c r="Y18" s="18"/>
      <c r="Z18" s="21">
        <f t="shared" si="12"/>
        <v>10596.32</v>
      </c>
      <c r="AA18" s="22">
        <v>10443</v>
      </c>
      <c r="AB18" s="23">
        <v>835.44</v>
      </c>
      <c r="AC18" s="23">
        <v>208.86</v>
      </c>
      <c r="AD18" s="23">
        <v>52.22</v>
      </c>
      <c r="AE18" s="22">
        <v>10443</v>
      </c>
      <c r="AF18" s="22">
        <f t="shared" si="0"/>
        <v>731</v>
      </c>
      <c r="AG18" s="21">
        <f t="shared" si="1"/>
        <v>1827.5200000000002</v>
      </c>
      <c r="AH18" s="25"/>
      <c r="AI18" s="25"/>
      <c r="AJ18" s="25"/>
      <c r="AK18" s="21">
        <f t="shared" si="2"/>
        <v>8768.7999999999993</v>
      </c>
      <c r="AL18" s="22">
        <v>10443</v>
      </c>
      <c r="AM18" s="22">
        <v>10443</v>
      </c>
      <c r="AN18" s="22">
        <f t="shared" si="3"/>
        <v>1670.88</v>
      </c>
      <c r="AO18" s="22">
        <v>939.88</v>
      </c>
      <c r="AP18" s="22">
        <f t="shared" si="4"/>
        <v>52.22</v>
      </c>
      <c r="AQ18" s="22">
        <v>20.89</v>
      </c>
      <c r="AR18" s="22"/>
      <c r="AS18" s="22">
        <f t="shared" si="5"/>
        <v>731</v>
      </c>
      <c r="AT18" s="22">
        <f t="shared" si="6"/>
        <v>156.65</v>
      </c>
      <c r="AU18" s="21">
        <f t="shared" si="7"/>
        <v>3571.52</v>
      </c>
      <c r="AV18" s="21">
        <v>199</v>
      </c>
      <c r="AW18" s="21">
        <f t="shared" si="8"/>
        <v>14366.84</v>
      </c>
      <c r="AX18" s="32"/>
      <c r="AY18" s="30">
        <v>5.84</v>
      </c>
      <c r="AZ18" s="33" t="s">
        <v>181</v>
      </c>
      <c r="BA18" s="21">
        <v>255</v>
      </c>
      <c r="BB18" s="34">
        <f t="shared" si="14"/>
        <v>14627.68</v>
      </c>
      <c r="BC18" s="21">
        <f t="shared" si="15"/>
        <v>877.66</v>
      </c>
      <c r="BD18" s="21">
        <f t="shared" si="9"/>
        <v>15505.34</v>
      </c>
      <c r="BE18" s="35"/>
    </row>
    <row r="19" spans="1:57" s="3" customFormat="1" ht="15" customHeight="1" x14ac:dyDescent="0.25">
      <c r="A19" s="10">
        <f t="shared" si="10"/>
        <v>17</v>
      </c>
      <c r="B19" s="11">
        <v>2501</v>
      </c>
      <c r="C19" s="11" t="s">
        <v>141</v>
      </c>
      <c r="D19" s="10" t="s">
        <v>142</v>
      </c>
      <c r="E19" s="12" t="s">
        <v>143</v>
      </c>
      <c r="F19" s="13">
        <v>45444</v>
      </c>
      <c r="G19" s="13">
        <v>45808</v>
      </c>
      <c r="H19" s="10"/>
      <c r="I19" s="17" t="s">
        <v>95</v>
      </c>
      <c r="J19" s="18">
        <v>1030</v>
      </c>
      <c r="K19" s="18">
        <v>5574.64</v>
      </c>
      <c r="L19" s="18">
        <v>1745.07</v>
      </c>
      <c r="M19" s="18"/>
      <c r="N19" s="18"/>
      <c r="O19" s="18"/>
      <c r="P19" s="18"/>
      <c r="Q19" s="18"/>
      <c r="R19" s="18">
        <v>630</v>
      </c>
      <c r="S19" s="18"/>
      <c r="T19" s="18"/>
      <c r="U19" s="18"/>
      <c r="V19" s="18"/>
      <c r="W19" s="18"/>
      <c r="X19" s="18" t="str">
        <f t="shared" si="11"/>
        <v/>
      </c>
      <c r="Y19" s="18"/>
      <c r="Z19" s="21">
        <f t="shared" si="12"/>
        <v>8979.7100000000009</v>
      </c>
      <c r="AA19" s="22">
        <v>8102</v>
      </c>
      <c r="AB19" s="23">
        <v>648.16</v>
      </c>
      <c r="AC19" s="23">
        <v>162.04</v>
      </c>
      <c r="AD19" s="23">
        <v>40.51</v>
      </c>
      <c r="AE19" s="22">
        <v>8102</v>
      </c>
      <c r="AF19" s="22">
        <f t="shared" si="0"/>
        <v>567</v>
      </c>
      <c r="AG19" s="21">
        <f t="shared" si="1"/>
        <v>1417.71</v>
      </c>
      <c r="AH19" s="25"/>
      <c r="AI19" s="25"/>
      <c r="AJ19" s="25"/>
      <c r="AK19" s="21">
        <f t="shared" si="2"/>
        <v>7562.0000000000009</v>
      </c>
      <c r="AL19" s="22">
        <v>8102</v>
      </c>
      <c r="AM19" s="22">
        <v>8102</v>
      </c>
      <c r="AN19" s="22">
        <f t="shared" si="3"/>
        <v>1296.32</v>
      </c>
      <c r="AO19" s="22">
        <f t="shared" si="13"/>
        <v>729.18</v>
      </c>
      <c r="AP19" s="22">
        <f t="shared" si="4"/>
        <v>40.51</v>
      </c>
      <c r="AQ19" s="22">
        <v>16.2</v>
      </c>
      <c r="AR19" s="22"/>
      <c r="AS19" s="22">
        <f t="shared" si="5"/>
        <v>567</v>
      </c>
      <c r="AT19" s="22">
        <f t="shared" si="6"/>
        <v>121.53</v>
      </c>
      <c r="AU19" s="21">
        <f t="shared" si="7"/>
        <v>2770.7400000000002</v>
      </c>
      <c r="AV19" s="21">
        <v>167</v>
      </c>
      <c r="AW19" s="21">
        <f t="shared" si="8"/>
        <v>11917.45</v>
      </c>
      <c r="AX19" s="32"/>
      <c r="AY19" s="30">
        <v>4.5399999999999991</v>
      </c>
      <c r="AZ19" s="33" t="s">
        <v>181</v>
      </c>
      <c r="BA19" s="21">
        <v>255</v>
      </c>
      <c r="BB19" s="34">
        <f t="shared" si="14"/>
        <v>12176.99</v>
      </c>
      <c r="BC19" s="21">
        <f t="shared" si="15"/>
        <v>730.62</v>
      </c>
      <c r="BD19" s="21">
        <f t="shared" si="9"/>
        <v>12907.61</v>
      </c>
      <c r="BE19" s="35"/>
    </row>
    <row r="20" spans="1:57" s="3" customFormat="1" ht="15" customHeight="1" x14ac:dyDescent="0.25">
      <c r="A20" s="10">
        <f t="shared" si="10"/>
        <v>18</v>
      </c>
      <c r="B20" s="11">
        <v>2501</v>
      </c>
      <c r="C20" s="11" t="s">
        <v>144</v>
      </c>
      <c r="D20" s="14" t="s">
        <v>145</v>
      </c>
      <c r="E20" s="12" t="s">
        <v>146</v>
      </c>
      <c r="F20" s="13">
        <v>45444</v>
      </c>
      <c r="G20" s="13">
        <v>45808</v>
      </c>
      <c r="H20" s="10"/>
      <c r="I20" s="17" t="s">
        <v>95</v>
      </c>
      <c r="J20" s="18">
        <v>800</v>
      </c>
      <c r="K20" s="18">
        <v>1955</v>
      </c>
      <c r="L20" s="18">
        <v>2202</v>
      </c>
      <c r="M20" s="18"/>
      <c r="N20" s="18"/>
      <c r="O20" s="18"/>
      <c r="P20" s="18"/>
      <c r="Q20" s="18"/>
      <c r="R20" s="18">
        <v>630</v>
      </c>
      <c r="S20" s="18"/>
      <c r="T20" s="18"/>
      <c r="U20" s="18"/>
      <c r="V20" s="18"/>
      <c r="W20" s="18"/>
      <c r="X20" s="18" t="str">
        <f t="shared" si="11"/>
        <v/>
      </c>
      <c r="Y20" s="18"/>
      <c r="Z20" s="21">
        <f t="shared" si="12"/>
        <v>5587</v>
      </c>
      <c r="AA20" s="22">
        <v>7384</v>
      </c>
      <c r="AB20" s="23">
        <v>590.72</v>
      </c>
      <c r="AC20" s="23">
        <v>147.68</v>
      </c>
      <c r="AD20" s="23">
        <v>36.92</v>
      </c>
      <c r="AE20" s="22">
        <v>4906</v>
      </c>
      <c r="AF20" s="22">
        <f t="shared" si="0"/>
        <v>343</v>
      </c>
      <c r="AG20" s="21">
        <f t="shared" si="1"/>
        <v>1118.3200000000002</v>
      </c>
      <c r="AH20" s="25"/>
      <c r="AI20" s="25"/>
      <c r="AJ20" s="25"/>
      <c r="AK20" s="21">
        <f t="shared" si="2"/>
        <v>4468.68</v>
      </c>
      <c r="AL20" s="22">
        <v>7384</v>
      </c>
      <c r="AM20" s="22">
        <v>4906</v>
      </c>
      <c r="AN20" s="22">
        <f t="shared" si="3"/>
        <v>1181.44</v>
      </c>
      <c r="AO20" s="22">
        <f t="shared" si="13"/>
        <v>664.56</v>
      </c>
      <c r="AP20" s="22">
        <f t="shared" si="4"/>
        <v>36.92</v>
      </c>
      <c r="AQ20" s="22">
        <v>14.77</v>
      </c>
      <c r="AR20" s="22"/>
      <c r="AS20" s="22">
        <f t="shared" si="5"/>
        <v>343</v>
      </c>
      <c r="AT20" s="22">
        <f t="shared" si="6"/>
        <v>110.76</v>
      </c>
      <c r="AU20" s="21">
        <f t="shared" si="7"/>
        <v>2351.4500000000003</v>
      </c>
      <c r="AV20" s="21">
        <v>99</v>
      </c>
      <c r="AW20" s="21">
        <f t="shared" si="8"/>
        <v>8037.4500000000007</v>
      </c>
      <c r="AX20" s="32"/>
      <c r="AY20" s="30">
        <v>4.129999999999999</v>
      </c>
      <c r="AZ20" s="33" t="s">
        <v>181</v>
      </c>
      <c r="BA20" s="21">
        <v>255</v>
      </c>
      <c r="BB20" s="34">
        <f t="shared" si="14"/>
        <v>8296.58</v>
      </c>
      <c r="BC20" s="21">
        <f t="shared" si="15"/>
        <v>497.79</v>
      </c>
      <c r="BD20" s="21">
        <f t="shared" si="9"/>
        <v>8794.3700000000008</v>
      </c>
      <c r="BE20" s="35"/>
    </row>
    <row r="21" spans="1:57" s="3" customFormat="1" ht="15" customHeight="1" x14ac:dyDescent="0.25">
      <c r="A21" s="10">
        <f t="shared" si="10"/>
        <v>19</v>
      </c>
      <c r="B21" s="11">
        <v>2501</v>
      </c>
      <c r="C21" s="11" t="s">
        <v>147</v>
      </c>
      <c r="D21" s="14" t="s">
        <v>148</v>
      </c>
      <c r="E21" s="12" t="s">
        <v>149</v>
      </c>
      <c r="F21" s="13">
        <v>45444</v>
      </c>
      <c r="G21" s="13">
        <v>45808</v>
      </c>
      <c r="H21" s="10"/>
      <c r="I21" s="17" t="s">
        <v>95</v>
      </c>
      <c r="J21" s="18">
        <v>1030</v>
      </c>
      <c r="K21" s="18">
        <v>5611</v>
      </c>
      <c r="L21" s="18">
        <v>760.32</v>
      </c>
      <c r="M21" s="18"/>
      <c r="N21" s="18"/>
      <c r="O21" s="18"/>
      <c r="P21" s="18"/>
      <c r="Q21" s="18"/>
      <c r="R21" s="18">
        <v>630</v>
      </c>
      <c r="S21" s="18"/>
      <c r="T21" s="18"/>
      <c r="U21" s="18"/>
      <c r="V21" s="18"/>
      <c r="W21" s="18"/>
      <c r="X21" s="18" t="str">
        <f t="shared" si="11"/>
        <v/>
      </c>
      <c r="Y21" s="18"/>
      <c r="Z21" s="21">
        <f t="shared" si="12"/>
        <v>8031.32</v>
      </c>
      <c r="AA21" s="22">
        <v>7759</v>
      </c>
      <c r="AB21" s="23">
        <v>620.72</v>
      </c>
      <c r="AC21" s="23">
        <v>155.18</v>
      </c>
      <c r="AD21" s="23">
        <v>38.799999999999997</v>
      </c>
      <c r="AE21" s="22">
        <v>7759</v>
      </c>
      <c r="AF21" s="22">
        <f t="shared" ref="AF21:AF29" si="16">ROUND(AE21*7%,0)</f>
        <v>543</v>
      </c>
      <c r="AG21" s="21">
        <f t="shared" si="1"/>
        <v>1357.7</v>
      </c>
      <c r="AH21" s="25"/>
      <c r="AI21" s="25"/>
      <c r="AJ21" s="25"/>
      <c r="AK21" s="21">
        <f t="shared" si="2"/>
        <v>6673.62</v>
      </c>
      <c r="AL21" s="22">
        <v>7759</v>
      </c>
      <c r="AM21" s="22">
        <v>7759</v>
      </c>
      <c r="AN21" s="22">
        <f t="shared" ref="AN21:AN26" si="17">ROUND(AL21*16%,2)</f>
        <v>1241.44</v>
      </c>
      <c r="AO21" s="22">
        <v>698.32</v>
      </c>
      <c r="AP21" s="22">
        <f t="shared" si="4"/>
        <v>38.799999999999997</v>
      </c>
      <c r="AQ21" s="22">
        <v>15.52</v>
      </c>
      <c r="AR21" s="22"/>
      <c r="AS21" s="22">
        <f t="shared" si="5"/>
        <v>543</v>
      </c>
      <c r="AT21" s="22">
        <f t="shared" si="6"/>
        <v>116.39</v>
      </c>
      <c r="AU21" s="21">
        <f t="shared" si="7"/>
        <v>2653.47</v>
      </c>
      <c r="AV21" s="21">
        <v>148</v>
      </c>
      <c r="AW21" s="21">
        <f t="shared" si="8"/>
        <v>10832.789999999999</v>
      </c>
      <c r="AX21" s="32"/>
      <c r="AY21" s="30">
        <v>4.34</v>
      </c>
      <c r="AZ21" s="33" t="s">
        <v>181</v>
      </c>
      <c r="BA21" s="21">
        <v>255</v>
      </c>
      <c r="BB21" s="34">
        <f t="shared" si="14"/>
        <v>11092.13</v>
      </c>
      <c r="BC21" s="21">
        <f t="shared" si="15"/>
        <v>665.53</v>
      </c>
      <c r="BD21" s="21">
        <f t="shared" si="9"/>
        <v>11757.66</v>
      </c>
      <c r="BE21" s="35"/>
    </row>
    <row r="22" spans="1:57" s="3" customFormat="1" ht="15" customHeight="1" x14ac:dyDescent="0.25">
      <c r="A22" s="10">
        <f t="shared" si="10"/>
        <v>20</v>
      </c>
      <c r="B22" s="11">
        <v>2501</v>
      </c>
      <c r="C22" s="11" t="s">
        <v>150</v>
      </c>
      <c r="D22" s="14" t="s">
        <v>151</v>
      </c>
      <c r="E22" s="12" t="s">
        <v>152</v>
      </c>
      <c r="F22" s="13">
        <v>45444</v>
      </c>
      <c r="G22" s="13">
        <v>45808</v>
      </c>
      <c r="H22" s="10"/>
      <c r="I22" s="17" t="s">
        <v>95</v>
      </c>
      <c r="J22" s="18">
        <v>1030</v>
      </c>
      <c r="K22" s="18">
        <v>5024</v>
      </c>
      <c r="L22" s="18">
        <v>2922.78</v>
      </c>
      <c r="M22" s="18"/>
      <c r="N22" s="18"/>
      <c r="O22" s="18"/>
      <c r="P22" s="18"/>
      <c r="Q22" s="18"/>
      <c r="R22" s="18">
        <v>630</v>
      </c>
      <c r="S22" s="18"/>
      <c r="T22" s="18"/>
      <c r="U22" s="18"/>
      <c r="V22" s="18"/>
      <c r="W22" s="18"/>
      <c r="X22" s="18" t="str">
        <f t="shared" si="11"/>
        <v/>
      </c>
      <c r="Y22" s="18"/>
      <c r="Z22" s="21">
        <f t="shared" si="12"/>
        <v>9606.7800000000007</v>
      </c>
      <c r="AA22" s="22">
        <v>10043</v>
      </c>
      <c r="AB22" s="23">
        <v>803.44</v>
      </c>
      <c r="AC22" s="23">
        <v>200.86</v>
      </c>
      <c r="AD22" s="23">
        <v>50.22</v>
      </c>
      <c r="AE22" s="22">
        <v>10043</v>
      </c>
      <c r="AF22" s="22">
        <f t="shared" si="16"/>
        <v>703</v>
      </c>
      <c r="AG22" s="21">
        <f t="shared" si="1"/>
        <v>1757.52</v>
      </c>
      <c r="AH22" s="25"/>
      <c r="AI22" s="25"/>
      <c r="AJ22" s="25"/>
      <c r="AK22" s="21">
        <f t="shared" si="2"/>
        <v>7849.26</v>
      </c>
      <c r="AL22" s="22">
        <v>10043</v>
      </c>
      <c r="AM22" s="22">
        <v>10043</v>
      </c>
      <c r="AN22" s="22">
        <f t="shared" si="17"/>
        <v>1606.88</v>
      </c>
      <c r="AO22" s="22">
        <v>903.88</v>
      </c>
      <c r="AP22" s="22">
        <f t="shared" si="4"/>
        <v>50.22</v>
      </c>
      <c r="AQ22" s="22">
        <v>20.09</v>
      </c>
      <c r="AR22" s="22"/>
      <c r="AS22" s="22">
        <f t="shared" si="5"/>
        <v>703</v>
      </c>
      <c r="AT22" s="22">
        <f t="shared" si="6"/>
        <v>150.65</v>
      </c>
      <c r="AU22" s="21">
        <f t="shared" si="7"/>
        <v>3434.7200000000003</v>
      </c>
      <c r="AV22" s="21">
        <v>180</v>
      </c>
      <c r="AW22" s="21">
        <f t="shared" si="8"/>
        <v>13221.5</v>
      </c>
      <c r="AX22" s="32"/>
      <c r="AY22" s="30">
        <v>5.620000000000001</v>
      </c>
      <c r="AZ22" s="33" t="s">
        <v>181</v>
      </c>
      <c r="BA22" s="21">
        <v>255</v>
      </c>
      <c r="BB22" s="34">
        <f t="shared" si="14"/>
        <v>13482.12</v>
      </c>
      <c r="BC22" s="21">
        <f t="shared" si="15"/>
        <v>808.93</v>
      </c>
      <c r="BD22" s="21">
        <f t="shared" si="9"/>
        <v>14291.05</v>
      </c>
      <c r="BE22" s="35"/>
    </row>
    <row r="23" spans="1:57" s="3" customFormat="1" ht="15" customHeight="1" x14ac:dyDescent="0.25">
      <c r="A23" s="10">
        <f t="shared" si="10"/>
        <v>21</v>
      </c>
      <c r="B23" s="11">
        <v>2501</v>
      </c>
      <c r="C23" s="11" t="s">
        <v>153</v>
      </c>
      <c r="D23" s="14" t="s">
        <v>154</v>
      </c>
      <c r="E23" s="12" t="s">
        <v>155</v>
      </c>
      <c r="F23" s="13">
        <v>45444</v>
      </c>
      <c r="G23" s="13">
        <v>45808</v>
      </c>
      <c r="H23" s="10"/>
      <c r="I23" s="17" t="s">
        <v>95</v>
      </c>
      <c r="J23" s="18">
        <v>1300</v>
      </c>
      <c r="K23" s="18">
        <v>16282.8</v>
      </c>
      <c r="L23" s="18">
        <v>874.86</v>
      </c>
      <c r="M23" s="18"/>
      <c r="N23" s="18"/>
      <c r="O23" s="18"/>
      <c r="P23" s="18"/>
      <c r="Q23" s="18"/>
      <c r="R23" s="18">
        <v>630</v>
      </c>
      <c r="S23" s="18"/>
      <c r="T23" s="18"/>
      <c r="U23" s="18"/>
      <c r="V23" s="18"/>
      <c r="W23" s="18"/>
      <c r="X23" s="18" t="str">
        <f t="shared" si="11"/>
        <v/>
      </c>
      <c r="Y23" s="18"/>
      <c r="Z23" s="21">
        <f t="shared" si="12"/>
        <v>19087.66</v>
      </c>
      <c r="AA23" s="22">
        <v>12136</v>
      </c>
      <c r="AB23" s="23">
        <v>970.88</v>
      </c>
      <c r="AC23" s="23">
        <v>242.72</v>
      </c>
      <c r="AD23" s="23">
        <v>60.68</v>
      </c>
      <c r="AE23" s="22">
        <v>12136</v>
      </c>
      <c r="AF23" s="22">
        <f t="shared" si="16"/>
        <v>850</v>
      </c>
      <c r="AG23" s="21">
        <f t="shared" si="1"/>
        <v>2124.2799999999997</v>
      </c>
      <c r="AH23" s="25"/>
      <c r="AI23" s="25"/>
      <c r="AJ23" s="25"/>
      <c r="AK23" s="21">
        <f t="shared" si="2"/>
        <v>16963.38</v>
      </c>
      <c r="AL23" s="22">
        <v>12136</v>
      </c>
      <c r="AM23" s="22">
        <v>12136</v>
      </c>
      <c r="AN23" s="22">
        <f t="shared" si="17"/>
        <v>1941.76</v>
      </c>
      <c r="AO23" s="22">
        <f t="shared" si="13"/>
        <v>1092.24</v>
      </c>
      <c r="AP23" s="22">
        <f t="shared" si="4"/>
        <v>60.68</v>
      </c>
      <c r="AQ23" s="22">
        <v>24.27</v>
      </c>
      <c r="AR23" s="22"/>
      <c r="AS23" s="22">
        <f t="shared" si="5"/>
        <v>850</v>
      </c>
      <c r="AT23" s="22">
        <f t="shared" si="6"/>
        <v>182.04</v>
      </c>
      <c r="AU23" s="21">
        <f t="shared" si="7"/>
        <v>4150.99</v>
      </c>
      <c r="AV23" s="21">
        <v>369</v>
      </c>
      <c r="AW23" s="21">
        <f t="shared" si="8"/>
        <v>23607.65</v>
      </c>
      <c r="AX23" s="32"/>
      <c r="AY23" s="30">
        <v>6.8000000000000007</v>
      </c>
      <c r="AZ23" s="33" t="s">
        <v>181</v>
      </c>
      <c r="BA23" s="21">
        <v>255</v>
      </c>
      <c r="BB23" s="34">
        <f t="shared" si="14"/>
        <v>23869.45</v>
      </c>
      <c r="BC23" s="21">
        <f t="shared" si="15"/>
        <v>1432.17</v>
      </c>
      <c r="BD23" s="21">
        <f t="shared" si="9"/>
        <v>25301.62</v>
      </c>
      <c r="BE23" s="35"/>
    </row>
    <row r="24" spans="1:57" s="3" customFormat="1" ht="15" customHeight="1" x14ac:dyDescent="0.25">
      <c r="A24" s="10">
        <f t="shared" si="10"/>
        <v>22</v>
      </c>
      <c r="B24" s="11">
        <v>2501</v>
      </c>
      <c r="C24" s="11" t="s">
        <v>156</v>
      </c>
      <c r="D24" s="14" t="s">
        <v>157</v>
      </c>
      <c r="E24" s="12" t="s">
        <v>158</v>
      </c>
      <c r="F24" s="13">
        <v>45444</v>
      </c>
      <c r="G24" s="13">
        <v>45808</v>
      </c>
      <c r="H24" s="10"/>
      <c r="I24" s="17" t="s">
        <v>95</v>
      </c>
      <c r="J24" s="18">
        <v>1200</v>
      </c>
      <c r="K24" s="18">
        <v>5853.12</v>
      </c>
      <c r="L24" s="18">
        <v>1377.24</v>
      </c>
      <c r="M24" s="18"/>
      <c r="N24" s="18"/>
      <c r="O24" s="18"/>
      <c r="P24" s="18"/>
      <c r="Q24" s="18"/>
      <c r="R24" s="18">
        <v>630</v>
      </c>
      <c r="S24" s="18"/>
      <c r="T24" s="18"/>
      <c r="U24" s="18"/>
      <c r="V24" s="18"/>
      <c r="W24" s="18"/>
      <c r="X24" s="18" t="str">
        <f t="shared" si="11"/>
        <v/>
      </c>
      <c r="Y24" s="18"/>
      <c r="Z24" s="21">
        <f t="shared" si="12"/>
        <v>9060.36</v>
      </c>
      <c r="AA24" s="22">
        <v>9608</v>
      </c>
      <c r="AB24" s="23">
        <v>768.64</v>
      </c>
      <c r="AC24" s="23">
        <v>192.16</v>
      </c>
      <c r="AD24" s="23">
        <v>48.04</v>
      </c>
      <c r="AE24" s="22">
        <v>9608</v>
      </c>
      <c r="AF24" s="22">
        <f t="shared" si="16"/>
        <v>673</v>
      </c>
      <c r="AG24" s="21">
        <f t="shared" si="1"/>
        <v>1681.84</v>
      </c>
      <c r="AH24" s="25"/>
      <c r="AI24" s="25"/>
      <c r="AJ24" s="25"/>
      <c r="AK24" s="21">
        <f t="shared" si="2"/>
        <v>7378.52</v>
      </c>
      <c r="AL24" s="22">
        <v>9608</v>
      </c>
      <c r="AM24" s="22">
        <v>9608</v>
      </c>
      <c r="AN24" s="22">
        <f t="shared" si="17"/>
        <v>1537.28</v>
      </c>
      <c r="AO24" s="22">
        <f t="shared" si="13"/>
        <v>864.72</v>
      </c>
      <c r="AP24" s="22">
        <f t="shared" si="4"/>
        <v>48.04</v>
      </c>
      <c r="AQ24" s="22">
        <v>19.22</v>
      </c>
      <c r="AR24" s="22"/>
      <c r="AS24" s="22">
        <f t="shared" si="5"/>
        <v>673</v>
      </c>
      <c r="AT24" s="22">
        <f t="shared" si="6"/>
        <v>144.12</v>
      </c>
      <c r="AU24" s="21">
        <f t="shared" si="7"/>
        <v>3286.3799999999997</v>
      </c>
      <c r="AV24" s="21">
        <v>169</v>
      </c>
      <c r="AW24" s="21">
        <f t="shared" si="8"/>
        <v>12515.74</v>
      </c>
      <c r="AX24" s="32"/>
      <c r="AY24" s="30">
        <v>5.3800000000000026</v>
      </c>
      <c r="AZ24" s="33" t="s">
        <v>181</v>
      </c>
      <c r="BA24" s="21">
        <v>255</v>
      </c>
      <c r="BB24" s="34">
        <f t="shared" si="14"/>
        <v>12776.12</v>
      </c>
      <c r="BC24" s="21">
        <f t="shared" si="15"/>
        <v>766.57</v>
      </c>
      <c r="BD24" s="21">
        <f t="shared" si="9"/>
        <v>13542.69</v>
      </c>
      <c r="BE24" s="35"/>
    </row>
    <row r="25" spans="1:57" s="3" customFormat="1" ht="15" customHeight="1" x14ac:dyDescent="0.25">
      <c r="A25" s="10">
        <f t="shared" si="10"/>
        <v>23</v>
      </c>
      <c r="B25" s="11">
        <v>2501</v>
      </c>
      <c r="C25" s="11" t="s">
        <v>159</v>
      </c>
      <c r="D25" s="14" t="s">
        <v>160</v>
      </c>
      <c r="E25" s="12" t="s">
        <v>161</v>
      </c>
      <c r="F25" s="13">
        <v>45444</v>
      </c>
      <c r="G25" s="13">
        <v>45808</v>
      </c>
      <c r="H25" s="10"/>
      <c r="I25" s="17" t="s">
        <v>95</v>
      </c>
      <c r="J25" s="18">
        <v>1030</v>
      </c>
      <c r="K25" s="18">
        <v>5144</v>
      </c>
      <c r="L25" s="18">
        <v>1489.2</v>
      </c>
      <c r="M25" s="18"/>
      <c r="N25" s="18"/>
      <c r="O25" s="18"/>
      <c r="P25" s="18"/>
      <c r="Q25" s="18"/>
      <c r="R25" s="18">
        <v>630</v>
      </c>
      <c r="S25" s="18"/>
      <c r="T25" s="18"/>
      <c r="U25" s="18"/>
      <c r="V25" s="18"/>
      <c r="W25" s="18"/>
      <c r="X25" s="18" t="str">
        <f t="shared" si="11"/>
        <v/>
      </c>
      <c r="Y25" s="18"/>
      <c r="Z25" s="21">
        <f t="shared" si="12"/>
        <v>8293.2000000000007</v>
      </c>
      <c r="AA25" s="22">
        <v>7974</v>
      </c>
      <c r="AB25" s="23">
        <v>637.91999999999996</v>
      </c>
      <c r="AC25" s="23">
        <v>159.47999999999999</v>
      </c>
      <c r="AD25" s="23">
        <v>39.869999999999997</v>
      </c>
      <c r="AE25" s="22">
        <v>7974</v>
      </c>
      <c r="AF25" s="22">
        <f t="shared" si="16"/>
        <v>558</v>
      </c>
      <c r="AG25" s="21">
        <f t="shared" si="1"/>
        <v>1395.27</v>
      </c>
      <c r="AH25" s="25"/>
      <c r="AI25" s="25"/>
      <c r="AJ25" s="25"/>
      <c r="AK25" s="21">
        <f t="shared" si="2"/>
        <v>6897.93</v>
      </c>
      <c r="AL25" s="22">
        <v>7974</v>
      </c>
      <c r="AM25" s="22">
        <v>7974</v>
      </c>
      <c r="AN25" s="22">
        <f t="shared" si="17"/>
        <v>1275.8399999999999</v>
      </c>
      <c r="AO25" s="22">
        <f t="shared" si="13"/>
        <v>717.66</v>
      </c>
      <c r="AP25" s="22">
        <f t="shared" si="4"/>
        <v>39.869999999999997</v>
      </c>
      <c r="AQ25" s="22">
        <v>15.95</v>
      </c>
      <c r="AR25" s="22"/>
      <c r="AS25" s="22">
        <f t="shared" si="5"/>
        <v>558</v>
      </c>
      <c r="AT25" s="22">
        <f t="shared" si="6"/>
        <v>119.61</v>
      </c>
      <c r="AU25" s="21">
        <f t="shared" si="7"/>
        <v>2726.93</v>
      </c>
      <c r="AV25" s="21">
        <v>153</v>
      </c>
      <c r="AW25" s="21">
        <f t="shared" si="8"/>
        <v>11173.130000000001</v>
      </c>
      <c r="AX25" s="32"/>
      <c r="AY25" s="30">
        <v>4.4600000000000009</v>
      </c>
      <c r="AZ25" s="33" t="s">
        <v>181</v>
      </c>
      <c r="BA25" s="21">
        <v>255</v>
      </c>
      <c r="BB25" s="34">
        <f t="shared" si="14"/>
        <v>11432.59</v>
      </c>
      <c r="BC25" s="21">
        <f t="shared" si="15"/>
        <v>685.96</v>
      </c>
      <c r="BD25" s="21">
        <f t="shared" si="9"/>
        <v>12118.55</v>
      </c>
      <c r="BE25" s="35"/>
    </row>
    <row r="26" spans="1:57" s="3" customFormat="1" ht="15" customHeight="1" x14ac:dyDescent="0.25">
      <c r="A26" s="10">
        <f t="shared" si="10"/>
        <v>24</v>
      </c>
      <c r="B26" s="11">
        <v>2501</v>
      </c>
      <c r="C26" s="11" t="s">
        <v>162</v>
      </c>
      <c r="D26" s="14" t="s">
        <v>163</v>
      </c>
      <c r="E26" s="12" t="s">
        <v>164</v>
      </c>
      <c r="F26" s="13">
        <v>45444</v>
      </c>
      <c r="G26" s="13">
        <v>45808</v>
      </c>
      <c r="H26" s="10"/>
      <c r="I26" s="17" t="s">
        <v>95</v>
      </c>
      <c r="J26" s="18">
        <v>1030</v>
      </c>
      <c r="K26" s="18">
        <v>4616.2</v>
      </c>
      <c r="L26" s="18">
        <v>2196.1799999999998</v>
      </c>
      <c r="M26" s="18"/>
      <c r="N26" s="18"/>
      <c r="O26" s="18"/>
      <c r="P26" s="18"/>
      <c r="Q26" s="18"/>
      <c r="R26" s="18">
        <v>630</v>
      </c>
      <c r="S26" s="18"/>
      <c r="T26" s="18"/>
      <c r="U26" s="18"/>
      <c r="V26" s="18"/>
      <c r="W26" s="18"/>
      <c r="X26" s="18" t="str">
        <f t="shared" si="11"/>
        <v/>
      </c>
      <c r="Y26" s="18"/>
      <c r="Z26" s="21">
        <f t="shared" si="12"/>
        <v>8472.3799999999992</v>
      </c>
      <c r="AA26" s="22">
        <v>7384</v>
      </c>
      <c r="AB26" s="23">
        <v>590.72</v>
      </c>
      <c r="AC26" s="23">
        <v>147.68</v>
      </c>
      <c r="AD26" s="23">
        <v>36.92</v>
      </c>
      <c r="AE26" s="22">
        <v>7139</v>
      </c>
      <c r="AF26" s="22">
        <f t="shared" si="16"/>
        <v>500</v>
      </c>
      <c r="AG26" s="21">
        <f t="shared" si="1"/>
        <v>1275.3200000000002</v>
      </c>
      <c r="AH26" s="25"/>
      <c r="AI26" s="25"/>
      <c r="AJ26" s="25"/>
      <c r="AK26" s="21">
        <f t="shared" si="2"/>
        <v>7197.0599999999995</v>
      </c>
      <c r="AL26" s="22">
        <v>7384</v>
      </c>
      <c r="AM26" s="22">
        <v>7139</v>
      </c>
      <c r="AN26" s="22">
        <f t="shared" si="17"/>
        <v>1181.44</v>
      </c>
      <c r="AO26" s="22">
        <f t="shared" si="13"/>
        <v>664.56</v>
      </c>
      <c r="AP26" s="22">
        <f t="shared" si="4"/>
        <v>36.92</v>
      </c>
      <c r="AQ26" s="22">
        <v>14.77</v>
      </c>
      <c r="AR26" s="22"/>
      <c r="AS26" s="22">
        <f t="shared" si="5"/>
        <v>500</v>
      </c>
      <c r="AT26" s="22">
        <f t="shared" si="6"/>
        <v>110.76</v>
      </c>
      <c r="AU26" s="21">
        <f t="shared" si="7"/>
        <v>2508.4500000000003</v>
      </c>
      <c r="AV26" s="21">
        <v>157</v>
      </c>
      <c r="AW26" s="21">
        <f t="shared" si="8"/>
        <v>11137.83</v>
      </c>
      <c r="AX26" s="32"/>
      <c r="AY26" s="30">
        <v>4.129999999999999</v>
      </c>
      <c r="AZ26" s="33" t="s">
        <v>181</v>
      </c>
      <c r="BA26" s="21">
        <v>255</v>
      </c>
      <c r="BB26" s="34">
        <f t="shared" si="14"/>
        <v>11396.96</v>
      </c>
      <c r="BC26" s="21">
        <f t="shared" si="15"/>
        <v>683.82</v>
      </c>
      <c r="BD26" s="21">
        <f t="shared" si="9"/>
        <v>12080.78</v>
      </c>
      <c r="BE26" s="35"/>
    </row>
    <row r="27" spans="1:57" s="3" customFormat="1" ht="15" customHeight="1" x14ac:dyDescent="0.25">
      <c r="A27" s="10">
        <f t="shared" si="10"/>
        <v>25</v>
      </c>
      <c r="B27" s="11">
        <v>2501</v>
      </c>
      <c r="C27" s="11" t="s">
        <v>165</v>
      </c>
      <c r="D27" s="40" t="s">
        <v>166</v>
      </c>
      <c r="E27" s="12" t="s">
        <v>167</v>
      </c>
      <c r="F27" s="13">
        <v>45444</v>
      </c>
      <c r="G27" s="13">
        <v>45808</v>
      </c>
      <c r="H27" s="10"/>
      <c r="I27" s="17" t="s">
        <v>95</v>
      </c>
      <c r="J27" s="18">
        <v>1030</v>
      </c>
      <c r="K27" s="18">
        <v>1398</v>
      </c>
      <c r="L27" s="18">
        <v>801.84</v>
      </c>
      <c r="M27" s="18"/>
      <c r="N27" s="18"/>
      <c r="O27" s="18"/>
      <c r="P27" s="18"/>
      <c r="Q27" s="18"/>
      <c r="R27" s="18">
        <v>630</v>
      </c>
      <c r="S27" s="18"/>
      <c r="T27" s="18"/>
      <c r="U27" s="18"/>
      <c r="V27" s="18"/>
      <c r="W27" s="18"/>
      <c r="X27" s="18">
        <f t="shared" si="11"/>
        <v>1549.6099999999997</v>
      </c>
      <c r="Y27" s="18"/>
      <c r="Z27" s="21">
        <f t="shared" si="12"/>
        <v>5409.45</v>
      </c>
      <c r="AA27" s="22">
        <v>11909</v>
      </c>
      <c r="AB27" s="23">
        <v>952.72</v>
      </c>
      <c r="AC27" s="23">
        <v>238.18</v>
      </c>
      <c r="AD27" s="23">
        <v>59.55</v>
      </c>
      <c r="AE27" s="22">
        <v>11909</v>
      </c>
      <c r="AF27" s="22">
        <f t="shared" si="16"/>
        <v>834</v>
      </c>
      <c r="AG27" s="21">
        <f t="shared" si="1"/>
        <v>2084.4499999999998</v>
      </c>
      <c r="AH27" s="25"/>
      <c r="AI27" s="25"/>
      <c r="AJ27" s="25"/>
      <c r="AK27" s="21">
        <f t="shared" si="2"/>
        <v>3325</v>
      </c>
      <c r="AL27" s="22">
        <v>11909</v>
      </c>
      <c r="AM27" s="22">
        <v>11909</v>
      </c>
      <c r="AN27" s="22">
        <f t="shared" ref="AN27:AN29" si="18">ROUND(AL27*16%,2)</f>
        <v>1905.44</v>
      </c>
      <c r="AO27" s="22">
        <v>1071.82</v>
      </c>
      <c r="AP27" s="22">
        <f t="shared" si="4"/>
        <v>59.55</v>
      </c>
      <c r="AQ27" s="22">
        <v>23.82</v>
      </c>
      <c r="AR27" s="22"/>
      <c r="AS27" s="22">
        <f t="shared" si="5"/>
        <v>834</v>
      </c>
      <c r="AT27" s="22">
        <f t="shared" si="6"/>
        <v>178.64</v>
      </c>
      <c r="AU27" s="21">
        <f t="shared" si="7"/>
        <v>4073.2700000000004</v>
      </c>
      <c r="AV27" s="21">
        <v>95</v>
      </c>
      <c r="AW27" s="21">
        <f t="shared" si="8"/>
        <v>9577.7200000000012</v>
      </c>
      <c r="AX27" s="32">
        <f>-5</f>
        <v>-5</v>
      </c>
      <c r="AY27" s="30">
        <v>6.6699999999999982</v>
      </c>
      <c r="AZ27" s="33" t="s">
        <v>187</v>
      </c>
      <c r="BA27" s="21">
        <v>255</v>
      </c>
      <c r="BB27" s="34">
        <f t="shared" si="14"/>
        <v>9834.39</v>
      </c>
      <c r="BC27" s="21">
        <f t="shared" si="15"/>
        <v>590.05999999999995</v>
      </c>
      <c r="BD27" s="21">
        <f t="shared" si="9"/>
        <v>10424.450000000001</v>
      </c>
      <c r="BE27" s="35"/>
    </row>
    <row r="28" spans="1:57" s="3" customFormat="1" ht="15" customHeight="1" x14ac:dyDescent="0.25">
      <c r="A28" s="10">
        <f t="shared" si="10"/>
        <v>26</v>
      </c>
      <c r="B28" s="11">
        <v>2501</v>
      </c>
      <c r="C28" s="11" t="s">
        <v>168</v>
      </c>
      <c r="D28" s="14" t="s">
        <v>169</v>
      </c>
      <c r="E28" s="12" t="s">
        <v>170</v>
      </c>
      <c r="F28" s="13">
        <v>45444</v>
      </c>
      <c r="G28" s="13">
        <v>45808</v>
      </c>
      <c r="H28" s="10"/>
      <c r="I28" s="17" t="s">
        <v>95</v>
      </c>
      <c r="J28" s="18">
        <v>1200</v>
      </c>
      <c r="K28" s="18">
        <v>3421</v>
      </c>
      <c r="L28" s="18">
        <v>814.5</v>
      </c>
      <c r="M28" s="18"/>
      <c r="N28" s="18"/>
      <c r="O28" s="18"/>
      <c r="P28" s="18"/>
      <c r="Q28" s="18"/>
      <c r="R28" s="18">
        <v>630</v>
      </c>
      <c r="S28" s="18"/>
      <c r="T28" s="18"/>
      <c r="U28" s="18"/>
      <c r="V28" s="18"/>
      <c r="W28" s="18"/>
      <c r="X28" s="18" t="str">
        <f t="shared" si="11"/>
        <v/>
      </c>
      <c r="Y28" s="18"/>
      <c r="Z28" s="21">
        <f t="shared" si="12"/>
        <v>6065.5</v>
      </c>
      <c r="AA28" s="22">
        <v>14537</v>
      </c>
      <c r="AB28" s="23">
        <v>1162.96</v>
      </c>
      <c r="AC28" s="23">
        <v>290.74</v>
      </c>
      <c r="AD28" s="23">
        <v>72.69</v>
      </c>
      <c r="AE28" s="22">
        <v>14537</v>
      </c>
      <c r="AF28" s="22">
        <f t="shared" si="16"/>
        <v>1018</v>
      </c>
      <c r="AG28" s="21">
        <f t="shared" si="1"/>
        <v>2544.3900000000003</v>
      </c>
      <c r="AH28" s="25"/>
      <c r="AI28" s="25"/>
      <c r="AJ28" s="25"/>
      <c r="AK28" s="21">
        <f t="shared" si="2"/>
        <v>3521.1099999999997</v>
      </c>
      <c r="AL28" s="22">
        <v>14537</v>
      </c>
      <c r="AM28" s="22">
        <v>14537</v>
      </c>
      <c r="AN28" s="22">
        <f t="shared" si="18"/>
        <v>2325.92</v>
      </c>
      <c r="AO28" s="22">
        <v>1308.3399999999999</v>
      </c>
      <c r="AP28" s="22">
        <f t="shared" si="4"/>
        <v>72.69</v>
      </c>
      <c r="AQ28" s="22">
        <v>29.07</v>
      </c>
      <c r="AR28" s="22"/>
      <c r="AS28" s="22">
        <f t="shared" si="5"/>
        <v>1018</v>
      </c>
      <c r="AT28" s="22">
        <f t="shared" si="6"/>
        <v>218.06</v>
      </c>
      <c r="AU28" s="21">
        <f t="shared" si="7"/>
        <v>4972.0800000000008</v>
      </c>
      <c r="AV28" s="21">
        <v>109</v>
      </c>
      <c r="AW28" s="21">
        <f>AU28+Z28+AI28-AJ28+AV28</f>
        <v>11146.580000000002</v>
      </c>
      <c r="AX28" s="32"/>
      <c r="AY28" s="30">
        <v>8.14</v>
      </c>
      <c r="AZ28" s="33" t="s">
        <v>181</v>
      </c>
      <c r="BA28" s="21">
        <v>255</v>
      </c>
      <c r="BB28" s="34">
        <f>ROUND(AW28+BA28+AX28+AY28,2)</f>
        <v>11409.72</v>
      </c>
      <c r="BC28" s="21">
        <f t="shared" si="15"/>
        <v>684.58</v>
      </c>
      <c r="BD28" s="21">
        <f t="shared" si="9"/>
        <v>12094.3</v>
      </c>
      <c r="BE28" s="35"/>
    </row>
    <row r="29" spans="1:57" s="3" customFormat="1" ht="15" customHeight="1" x14ac:dyDescent="0.25">
      <c r="A29" s="10">
        <f t="shared" si="10"/>
        <v>27</v>
      </c>
      <c r="B29" s="11">
        <v>2501</v>
      </c>
      <c r="C29" s="11" t="s">
        <v>171</v>
      </c>
      <c r="D29" s="14" t="s">
        <v>172</v>
      </c>
      <c r="E29" s="12" t="s">
        <v>173</v>
      </c>
      <c r="F29" s="13">
        <v>45444</v>
      </c>
      <c r="G29" s="13">
        <v>45808</v>
      </c>
      <c r="H29" s="10"/>
      <c r="I29" s="17" t="s">
        <v>95</v>
      </c>
      <c r="J29" s="18">
        <v>800</v>
      </c>
      <c r="K29" s="18">
        <v>3337.75</v>
      </c>
      <c r="L29" s="18">
        <v>4567.8</v>
      </c>
      <c r="M29" s="18"/>
      <c r="N29" s="18"/>
      <c r="O29" s="18"/>
      <c r="P29" s="18"/>
      <c r="Q29" s="18"/>
      <c r="R29" s="18">
        <v>630</v>
      </c>
      <c r="S29" s="18"/>
      <c r="T29" s="18"/>
      <c r="U29" s="18"/>
      <c r="V29" s="18"/>
      <c r="W29" s="18"/>
      <c r="X29" s="18" t="str">
        <f t="shared" si="11"/>
        <v/>
      </c>
      <c r="Y29" s="18"/>
      <c r="Z29" s="21">
        <f t="shared" si="12"/>
        <v>9335.5499999999993</v>
      </c>
      <c r="AA29" s="22">
        <v>7384</v>
      </c>
      <c r="AB29" s="23">
        <v>590.72</v>
      </c>
      <c r="AC29" s="23">
        <v>147.68</v>
      </c>
      <c r="AD29" s="23">
        <v>36.92</v>
      </c>
      <c r="AE29" s="22">
        <v>5239</v>
      </c>
      <c r="AF29" s="22">
        <f t="shared" si="16"/>
        <v>367</v>
      </c>
      <c r="AG29" s="21">
        <f t="shared" si="1"/>
        <v>1142.3200000000002</v>
      </c>
      <c r="AH29" s="25"/>
      <c r="AI29" s="25"/>
      <c r="AJ29" s="25"/>
      <c r="AK29" s="21">
        <f t="shared" si="2"/>
        <v>8193.23</v>
      </c>
      <c r="AL29" s="22">
        <v>7384</v>
      </c>
      <c r="AM29" s="22">
        <v>5239</v>
      </c>
      <c r="AN29" s="22">
        <f t="shared" si="18"/>
        <v>1181.44</v>
      </c>
      <c r="AO29" s="22">
        <f t="shared" si="13"/>
        <v>664.56</v>
      </c>
      <c r="AP29" s="22">
        <f t="shared" si="4"/>
        <v>36.92</v>
      </c>
      <c r="AQ29" s="22">
        <v>14.77</v>
      </c>
      <c r="AR29" s="22"/>
      <c r="AS29" s="22">
        <f t="shared" si="5"/>
        <v>367</v>
      </c>
      <c r="AT29" s="22">
        <f t="shared" si="6"/>
        <v>110.76</v>
      </c>
      <c r="AU29" s="21">
        <f t="shared" si="7"/>
        <v>2375.4500000000003</v>
      </c>
      <c r="AV29" s="21">
        <v>174</v>
      </c>
      <c r="AW29" s="21">
        <f t="shared" si="8"/>
        <v>11885</v>
      </c>
      <c r="AX29" s="32"/>
      <c r="AY29" s="30">
        <v>4.129999999999999</v>
      </c>
      <c r="AZ29" s="33" t="s">
        <v>181</v>
      </c>
      <c r="BA29" s="21">
        <v>255</v>
      </c>
      <c r="BB29" s="34">
        <f t="shared" si="14"/>
        <v>12144.13</v>
      </c>
      <c r="BC29" s="21">
        <f t="shared" si="15"/>
        <v>728.65</v>
      </c>
      <c r="BD29" s="21">
        <f t="shared" si="9"/>
        <v>12872.78</v>
      </c>
      <c r="BE29" s="35"/>
    </row>
    <row r="30" spans="1:57" s="3" customFormat="1" ht="15" customHeight="1" x14ac:dyDescent="0.25">
      <c r="A30" s="10">
        <f t="shared" si="10"/>
        <v>28</v>
      </c>
      <c r="B30" s="11">
        <v>2501</v>
      </c>
      <c r="C30" s="12" t="s">
        <v>184</v>
      </c>
      <c r="D30" s="14" t="s">
        <v>177</v>
      </c>
      <c r="E30" s="42" t="s">
        <v>178</v>
      </c>
      <c r="F30" s="13">
        <v>45658</v>
      </c>
      <c r="G30" s="13">
        <v>47118</v>
      </c>
      <c r="H30" s="10"/>
      <c r="I30" s="17" t="s">
        <v>95</v>
      </c>
      <c r="J30" s="18">
        <v>1300</v>
      </c>
      <c r="K30" s="18">
        <v>5230</v>
      </c>
      <c r="L30" s="18">
        <v>1209</v>
      </c>
      <c r="M30" s="18"/>
      <c r="N30" s="18"/>
      <c r="O30" s="18"/>
      <c r="P30" s="18"/>
      <c r="Q30" s="18"/>
      <c r="R30" s="18">
        <v>630</v>
      </c>
      <c r="S30" s="18"/>
      <c r="T30" s="18"/>
      <c r="U30" s="18"/>
      <c r="V30" s="18"/>
      <c r="W30" s="18"/>
      <c r="X30" s="18" t="str">
        <f t="shared" si="11"/>
        <v/>
      </c>
      <c r="Y30" s="18"/>
      <c r="Z30" s="21">
        <f t="shared" si="12"/>
        <v>8369</v>
      </c>
      <c r="AA30" s="22">
        <v>9575</v>
      </c>
      <c r="AB30" s="23">
        <v>766</v>
      </c>
      <c r="AC30" s="23">
        <v>191.5</v>
      </c>
      <c r="AD30" s="23">
        <v>47.88</v>
      </c>
      <c r="AE30" s="22">
        <v>9575</v>
      </c>
      <c r="AF30" s="22">
        <v>670</v>
      </c>
      <c r="AG30" s="21">
        <f>AB30+AC30+AD30+AF30</f>
        <v>1675.38</v>
      </c>
      <c r="AH30" s="25"/>
      <c r="AI30" s="25"/>
      <c r="AJ30" s="25"/>
      <c r="AK30" s="21">
        <f t="shared" si="2"/>
        <v>6693.62</v>
      </c>
      <c r="AL30" s="22">
        <v>9575</v>
      </c>
      <c r="AM30" s="22">
        <v>9575</v>
      </c>
      <c r="AN30" s="22">
        <v>1532</v>
      </c>
      <c r="AO30" s="22">
        <v>861.76</v>
      </c>
      <c r="AP30" s="22">
        <v>47.88</v>
      </c>
      <c r="AQ30" s="22">
        <v>19.149999999999999</v>
      </c>
      <c r="AR30" s="22"/>
      <c r="AS30" s="22">
        <v>670</v>
      </c>
      <c r="AT30" s="22">
        <v>143.63</v>
      </c>
      <c r="AU30" s="21">
        <f t="shared" si="7"/>
        <v>3274.4200000000005</v>
      </c>
      <c r="AV30" s="21">
        <v>155</v>
      </c>
      <c r="AW30" s="21">
        <f>AU30+Z30+AI30-AJ30+AV30</f>
        <v>11798.42</v>
      </c>
      <c r="AX30" s="32">
        <v>-3.8299999999999983</v>
      </c>
      <c r="AY30" s="30">
        <f>0.07</f>
        <v>7.0000000000000007E-2</v>
      </c>
      <c r="AZ30" s="33" t="s">
        <v>192</v>
      </c>
      <c r="BA30" s="21">
        <v>255</v>
      </c>
      <c r="BB30" s="34">
        <f>ROUND(AW30+BA30+AX30+AY30,2)</f>
        <v>12049.66</v>
      </c>
      <c r="BC30" s="21">
        <f>ROUND(BB30*6%,2)</f>
        <v>722.98</v>
      </c>
      <c r="BD30" s="21">
        <f t="shared" si="9"/>
        <v>12772.64</v>
      </c>
      <c r="BE30" s="35"/>
    </row>
    <row r="31" spans="1:57" x14ac:dyDescent="0.25">
      <c r="A31" s="4" t="s">
        <v>174</v>
      </c>
      <c r="Z31" s="24">
        <f>SUBTOTAL(9,Z3:Z30)</f>
        <v>263832.14</v>
      </c>
      <c r="AB31" s="37"/>
      <c r="AC31" s="37"/>
      <c r="AD31" s="37"/>
      <c r="AE31" s="36"/>
      <c r="AF31" s="37"/>
      <c r="AG31" s="24">
        <f>SUBTOTAL(9,AG3:AG30)</f>
        <v>47695.799999999988</v>
      </c>
      <c r="AK31" s="24">
        <f>SUBTOTAL(9,AK3:AK30)</f>
        <v>216136.34</v>
      </c>
      <c r="AU31" s="24">
        <f>SUBTOTAL(9,AU3:AU30)</f>
        <v>93752.589999999982</v>
      </c>
      <c r="AV31" s="41">
        <f>SUM(AV3:AV30)</f>
        <v>4925</v>
      </c>
      <c r="AW31" s="24">
        <f>SUBTOTAL(9,AW3:AW30)</f>
        <v>362509.73</v>
      </c>
      <c r="AX31" s="24">
        <f>SUBTOTAL(9,AX3:AX30)</f>
        <v>-18.829999999999998</v>
      </c>
      <c r="AY31" s="24">
        <f>SUBTOTAL(9,AY3:AY30)</f>
        <v>149.12</v>
      </c>
      <c r="AZ31" s="43"/>
      <c r="BA31" s="24">
        <f>SUBTOTAL(9,BA3:BA30)</f>
        <v>7140</v>
      </c>
      <c r="BB31" s="39">
        <f>SUBTOTAL(9,BB3:BB30)</f>
        <v>369780.02</v>
      </c>
      <c r="BC31" s="24">
        <f>SUBTOTAL(9,BC3:BC30)</f>
        <v>22186.820000000007</v>
      </c>
      <c r="BD31" s="24">
        <f>SUBTOTAL(9,BD3:BD30)</f>
        <v>391966.84</v>
      </c>
    </row>
    <row r="32" spans="1:57" x14ac:dyDescent="0.25">
      <c r="AZ32" s="43"/>
      <c r="BB32" s="38"/>
    </row>
    <row r="33" spans="1:56" s="1" customFormat="1" ht="25.8" x14ac:dyDescent="0.3">
      <c r="A33" s="59" t="s">
        <v>185</v>
      </c>
      <c r="B33" s="60"/>
      <c r="C33" s="60"/>
      <c r="D33" s="60"/>
      <c r="E33" s="60"/>
      <c r="F33" s="4"/>
      <c r="G33" s="4"/>
      <c r="H33" s="4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"/>
      <c r="Z33" s="41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r="34" spans="1:56" s="2" customFormat="1" ht="24" customHeight="1" x14ac:dyDescent="0.25">
      <c r="A34" s="5" t="s">
        <v>0</v>
      </c>
      <c r="B34" s="6" t="s">
        <v>1</v>
      </c>
      <c r="C34" s="44" t="s">
        <v>2</v>
      </c>
      <c r="D34" s="44" t="s">
        <v>3</v>
      </c>
      <c r="E34" s="44" t="s">
        <v>186</v>
      </c>
      <c r="F34" s="5" t="s">
        <v>4</v>
      </c>
      <c r="G34" s="5" t="s">
        <v>5</v>
      </c>
      <c r="H34" s="5" t="s">
        <v>6</v>
      </c>
      <c r="I34" s="5" t="s">
        <v>7</v>
      </c>
      <c r="J34" s="15" t="s">
        <v>29</v>
      </c>
      <c r="K34" s="27" t="s">
        <v>189</v>
      </c>
      <c r="L34" s="28" t="s">
        <v>36</v>
      </c>
      <c r="BB34" s="2" t="s">
        <v>343</v>
      </c>
    </row>
    <row r="35" spans="1:56" ht="20.399999999999999" x14ac:dyDescent="0.25">
      <c r="A35" s="8" t="s">
        <v>41</v>
      </c>
      <c r="B35" s="9" t="s">
        <v>42</v>
      </c>
      <c r="C35" s="8" t="s">
        <v>43</v>
      </c>
      <c r="D35" s="8" t="s">
        <v>44</v>
      </c>
      <c r="E35" s="8" t="s">
        <v>45</v>
      </c>
      <c r="F35" s="8" t="s">
        <v>46</v>
      </c>
      <c r="G35" s="8" t="s">
        <v>47</v>
      </c>
      <c r="H35" s="8" t="s">
        <v>48</v>
      </c>
      <c r="I35" s="8" t="s">
        <v>49</v>
      </c>
      <c r="J35" s="16" t="s">
        <v>80</v>
      </c>
      <c r="K35" s="27"/>
      <c r="L35" s="31" t="s">
        <v>87</v>
      </c>
    </row>
    <row r="36" spans="1:56" s="3" customFormat="1" ht="15" customHeight="1" x14ac:dyDescent="0.25">
      <c r="A36" s="10">
        <v>1</v>
      </c>
      <c r="B36" s="11">
        <v>2501</v>
      </c>
      <c r="C36" s="11" t="s">
        <v>92</v>
      </c>
      <c r="D36" s="10" t="s">
        <v>93</v>
      </c>
      <c r="E36" s="12" t="s">
        <v>94</v>
      </c>
      <c r="F36" s="13">
        <v>45444</v>
      </c>
      <c r="G36" s="13">
        <v>45808</v>
      </c>
      <c r="H36" s="10"/>
      <c r="I36" s="17" t="s">
        <v>95</v>
      </c>
      <c r="J36" s="22">
        <v>17.41</v>
      </c>
      <c r="K36" s="46">
        <v>-4.88</v>
      </c>
      <c r="L36" s="33" t="s">
        <v>181</v>
      </c>
      <c r="M36" s="35"/>
    </row>
    <row r="37" spans="1:56" s="3" customFormat="1" ht="15" customHeight="1" x14ac:dyDescent="0.25">
      <c r="A37" s="10">
        <v>2</v>
      </c>
      <c r="B37" s="11">
        <v>2501</v>
      </c>
      <c r="C37" s="11" t="s">
        <v>96</v>
      </c>
      <c r="D37" s="10" t="s">
        <v>97</v>
      </c>
      <c r="E37" s="12" t="s">
        <v>98</v>
      </c>
      <c r="F37" s="13">
        <v>45444</v>
      </c>
      <c r="G37" s="13">
        <v>45808</v>
      </c>
      <c r="H37" s="10"/>
      <c r="I37" s="17" t="s">
        <v>95</v>
      </c>
      <c r="J37" s="22">
        <v>17.78</v>
      </c>
      <c r="K37" s="46">
        <v>-4.9699999999999989</v>
      </c>
      <c r="L37" s="33" t="s">
        <v>181</v>
      </c>
      <c r="M37" s="35"/>
    </row>
    <row r="38" spans="1:56" s="3" customFormat="1" ht="15" customHeight="1" x14ac:dyDescent="0.25">
      <c r="A38" s="10">
        <v>3</v>
      </c>
      <c r="B38" s="11">
        <v>2501</v>
      </c>
      <c r="C38" s="11" t="s">
        <v>99</v>
      </c>
      <c r="D38" s="10" t="s">
        <v>100</v>
      </c>
      <c r="E38" s="12" t="s">
        <v>101</v>
      </c>
      <c r="F38" s="13">
        <v>45444</v>
      </c>
      <c r="G38" s="13">
        <v>45808</v>
      </c>
      <c r="H38" s="10"/>
      <c r="I38" s="17" t="s">
        <v>95</v>
      </c>
      <c r="J38" s="22">
        <v>18.45</v>
      </c>
      <c r="K38" s="46">
        <v>-5.1700000000000017</v>
      </c>
      <c r="L38" s="33" t="s">
        <v>181</v>
      </c>
      <c r="M38" s="35"/>
    </row>
    <row r="39" spans="1:56" s="3" customFormat="1" ht="15" customHeight="1" x14ac:dyDescent="0.25">
      <c r="A39" s="10">
        <v>4</v>
      </c>
      <c r="B39" s="11">
        <v>2501</v>
      </c>
      <c r="C39" s="11" t="s">
        <v>102</v>
      </c>
      <c r="D39" s="10" t="s">
        <v>103</v>
      </c>
      <c r="E39" s="12" t="s">
        <v>104</v>
      </c>
      <c r="F39" s="13">
        <v>45444</v>
      </c>
      <c r="G39" s="13">
        <v>45808</v>
      </c>
      <c r="H39" s="10"/>
      <c r="I39" s="17" t="s">
        <v>95</v>
      </c>
      <c r="J39" s="22">
        <v>21.96</v>
      </c>
      <c r="K39" s="46">
        <v>-6.1499999999999986</v>
      </c>
      <c r="L39" s="33" t="s">
        <v>181</v>
      </c>
      <c r="M39" s="35"/>
    </row>
    <row r="40" spans="1:56" s="3" customFormat="1" ht="15" customHeight="1" x14ac:dyDescent="0.25">
      <c r="A40" s="10">
        <v>5</v>
      </c>
      <c r="B40" s="11">
        <v>2501</v>
      </c>
      <c r="C40" s="11" t="s">
        <v>105</v>
      </c>
      <c r="D40" s="10" t="s">
        <v>106</v>
      </c>
      <c r="E40" s="12" t="s">
        <v>107</v>
      </c>
      <c r="F40" s="13">
        <v>45444</v>
      </c>
      <c r="G40" s="13">
        <v>45808</v>
      </c>
      <c r="H40" s="10"/>
      <c r="I40" s="17" t="s">
        <v>95</v>
      </c>
      <c r="J40" s="22">
        <v>32.89</v>
      </c>
      <c r="K40" s="46">
        <v>-9.2000000000000028</v>
      </c>
      <c r="L40" s="33" t="s">
        <v>181</v>
      </c>
      <c r="M40" s="35"/>
    </row>
    <row r="41" spans="1:56" s="3" customFormat="1" ht="15" customHeight="1" x14ac:dyDescent="0.25">
      <c r="A41" s="10">
        <v>6</v>
      </c>
      <c r="B41" s="11">
        <v>2501</v>
      </c>
      <c r="C41" s="11" t="s">
        <v>108</v>
      </c>
      <c r="D41" s="10" t="s">
        <v>109</v>
      </c>
      <c r="E41" s="12" t="s">
        <v>110</v>
      </c>
      <c r="F41" s="13">
        <v>45444</v>
      </c>
      <c r="G41" s="13">
        <v>45808</v>
      </c>
      <c r="H41" s="10"/>
      <c r="I41" s="17" t="s">
        <v>95</v>
      </c>
      <c r="J41" s="22">
        <v>16.52</v>
      </c>
      <c r="K41" s="46">
        <v>-4.629999999999999</v>
      </c>
      <c r="L41" s="33" t="s">
        <v>181</v>
      </c>
      <c r="M41" s="35"/>
    </row>
    <row r="42" spans="1:56" s="3" customFormat="1" ht="15" customHeight="1" x14ac:dyDescent="0.25">
      <c r="A42" s="10">
        <v>7</v>
      </c>
      <c r="B42" s="11">
        <v>2501</v>
      </c>
      <c r="C42" s="11" t="s">
        <v>111</v>
      </c>
      <c r="D42" s="10" t="s">
        <v>112</v>
      </c>
      <c r="E42" s="12" t="s">
        <v>113</v>
      </c>
      <c r="F42" s="13">
        <v>45444</v>
      </c>
      <c r="G42" s="13">
        <v>45808</v>
      </c>
      <c r="H42" s="10"/>
      <c r="I42" s="17" t="s">
        <v>95</v>
      </c>
      <c r="J42" s="22">
        <v>14.77</v>
      </c>
      <c r="K42" s="46">
        <v>-4.129999999999999</v>
      </c>
      <c r="L42" s="33" t="s">
        <v>182</v>
      </c>
      <c r="M42" s="35"/>
    </row>
    <row r="43" spans="1:56" s="3" customFormat="1" ht="15" customHeight="1" x14ac:dyDescent="0.25">
      <c r="A43" s="10">
        <v>8</v>
      </c>
      <c r="B43" s="11">
        <v>2501</v>
      </c>
      <c r="C43" s="11" t="s">
        <v>114</v>
      </c>
      <c r="D43" s="10" t="s">
        <v>115</v>
      </c>
      <c r="E43" s="12" t="s">
        <v>116</v>
      </c>
      <c r="F43" s="13">
        <v>45444</v>
      </c>
      <c r="G43" s="13">
        <v>45808</v>
      </c>
      <c r="H43" s="10"/>
      <c r="I43" s="17" t="s">
        <v>95</v>
      </c>
      <c r="J43" s="22">
        <v>18.850000000000001</v>
      </c>
      <c r="K43" s="46">
        <v>-5.2799999999999976</v>
      </c>
      <c r="L43" s="33" t="s">
        <v>182</v>
      </c>
      <c r="M43" s="35"/>
    </row>
    <row r="44" spans="1:56" s="3" customFormat="1" ht="15" customHeight="1" x14ac:dyDescent="0.25">
      <c r="A44" s="10">
        <v>9</v>
      </c>
      <c r="B44" s="11">
        <v>2501</v>
      </c>
      <c r="C44" s="11" t="s">
        <v>117</v>
      </c>
      <c r="D44" s="10" t="s">
        <v>118</v>
      </c>
      <c r="E44" s="12" t="s">
        <v>119</v>
      </c>
      <c r="F44" s="13">
        <v>45444</v>
      </c>
      <c r="G44" s="13">
        <v>45808</v>
      </c>
      <c r="H44" s="10"/>
      <c r="I44" s="17" t="s">
        <v>95</v>
      </c>
      <c r="J44" s="22">
        <v>20.95</v>
      </c>
      <c r="K44" s="46">
        <v>-5.870000000000001</v>
      </c>
      <c r="L44" s="33" t="s">
        <v>181</v>
      </c>
      <c r="M44" s="35"/>
    </row>
    <row r="45" spans="1:56" s="3" customFormat="1" ht="15" customHeight="1" x14ac:dyDescent="0.25">
      <c r="A45" s="10">
        <v>10</v>
      </c>
      <c r="B45" s="11">
        <v>2501</v>
      </c>
      <c r="C45" s="11" t="s">
        <v>120</v>
      </c>
      <c r="D45" s="10" t="s">
        <v>121</v>
      </c>
      <c r="E45" s="12" t="s">
        <v>122</v>
      </c>
      <c r="F45" s="13">
        <v>45444</v>
      </c>
      <c r="G45" s="13">
        <v>45808</v>
      </c>
      <c r="H45" s="10"/>
      <c r="I45" s="17" t="s">
        <v>95</v>
      </c>
      <c r="J45" s="22">
        <v>16.940000000000001</v>
      </c>
      <c r="K45" s="46">
        <v>-4.75</v>
      </c>
      <c r="L45" s="33" t="s">
        <v>181</v>
      </c>
      <c r="M45" s="35"/>
    </row>
    <row r="46" spans="1:56" s="3" customFormat="1" ht="15" customHeight="1" x14ac:dyDescent="0.25">
      <c r="A46" s="10">
        <v>11</v>
      </c>
      <c r="B46" s="11">
        <v>2501</v>
      </c>
      <c r="C46" s="11" t="s">
        <v>123</v>
      </c>
      <c r="D46" s="10" t="s">
        <v>124</v>
      </c>
      <c r="E46" s="12" t="s">
        <v>125</v>
      </c>
      <c r="F46" s="13">
        <v>45444</v>
      </c>
      <c r="G46" s="13">
        <v>45808</v>
      </c>
      <c r="H46" s="10"/>
      <c r="I46" s="17" t="s">
        <v>95</v>
      </c>
      <c r="J46" s="22">
        <v>18.48</v>
      </c>
      <c r="K46" s="46">
        <v>-5.18</v>
      </c>
      <c r="L46" s="33" t="s">
        <v>181</v>
      </c>
      <c r="M46" s="35"/>
    </row>
    <row r="47" spans="1:56" s="3" customFormat="1" ht="15" customHeight="1" x14ac:dyDescent="0.25">
      <c r="A47" s="10">
        <v>12</v>
      </c>
      <c r="B47" s="11">
        <v>2501</v>
      </c>
      <c r="C47" s="11" t="s">
        <v>126</v>
      </c>
      <c r="D47" s="10" t="s">
        <v>127</v>
      </c>
      <c r="E47" s="12" t="s">
        <v>128</v>
      </c>
      <c r="F47" s="13">
        <v>45444</v>
      </c>
      <c r="G47" s="13">
        <v>45808</v>
      </c>
      <c r="H47" s="10"/>
      <c r="I47" s="17" t="s">
        <v>95</v>
      </c>
      <c r="J47" s="22">
        <v>14.77</v>
      </c>
      <c r="K47" s="46">
        <v>-4.129999999999999</v>
      </c>
      <c r="L47" s="33" t="s">
        <v>181</v>
      </c>
      <c r="M47" s="35"/>
    </row>
    <row r="48" spans="1:56" s="3" customFormat="1" ht="15" customHeight="1" x14ac:dyDescent="0.25">
      <c r="A48" s="10">
        <v>13</v>
      </c>
      <c r="B48" s="11">
        <v>2501</v>
      </c>
      <c r="C48" s="11" t="s">
        <v>129</v>
      </c>
      <c r="D48" s="10" t="s">
        <v>130</v>
      </c>
      <c r="E48" s="12" t="s">
        <v>131</v>
      </c>
      <c r="F48" s="13">
        <v>45444</v>
      </c>
      <c r="G48" s="13">
        <v>45808</v>
      </c>
      <c r="H48" s="10"/>
      <c r="I48" s="17" t="s">
        <v>95</v>
      </c>
      <c r="J48" s="22">
        <v>36.08</v>
      </c>
      <c r="K48" s="46">
        <v>-10.100000000000001</v>
      </c>
      <c r="L48" s="33" t="s">
        <v>181</v>
      </c>
      <c r="M48" s="35"/>
    </row>
    <row r="49" spans="1:13" s="3" customFormat="1" ht="15" customHeight="1" x14ac:dyDescent="0.25">
      <c r="A49" s="10">
        <v>14</v>
      </c>
      <c r="B49" s="11">
        <v>2501</v>
      </c>
      <c r="C49" s="11" t="s">
        <v>132</v>
      </c>
      <c r="D49" s="10" t="s">
        <v>133</v>
      </c>
      <c r="E49" s="12" t="s">
        <v>134</v>
      </c>
      <c r="F49" s="13">
        <v>45444</v>
      </c>
      <c r="G49" s="13">
        <v>45808</v>
      </c>
      <c r="H49" s="10"/>
      <c r="I49" s="17" t="s">
        <v>95</v>
      </c>
      <c r="J49" s="22">
        <v>14.95</v>
      </c>
      <c r="K49" s="46">
        <v>-4.18</v>
      </c>
      <c r="L49" s="33" t="s">
        <v>181</v>
      </c>
      <c r="M49" s="35"/>
    </row>
    <row r="50" spans="1:13" s="3" customFormat="1" ht="15" customHeight="1" x14ac:dyDescent="0.25">
      <c r="A50" s="10">
        <v>15</v>
      </c>
      <c r="B50" s="11">
        <v>2501</v>
      </c>
      <c r="C50" s="11" t="s">
        <v>135</v>
      </c>
      <c r="D50" s="10" t="s">
        <v>136</v>
      </c>
      <c r="E50" s="12" t="s">
        <v>137</v>
      </c>
      <c r="F50" s="13">
        <v>45444</v>
      </c>
      <c r="G50" s="13">
        <v>45808</v>
      </c>
      <c r="H50" s="10"/>
      <c r="I50" s="17" t="s">
        <v>95</v>
      </c>
      <c r="J50" s="22">
        <v>22.3</v>
      </c>
      <c r="K50" s="46">
        <v>-6.25</v>
      </c>
      <c r="L50" s="33" t="s">
        <v>181</v>
      </c>
      <c r="M50" s="35"/>
    </row>
    <row r="51" spans="1:13" s="3" customFormat="1" ht="15" customHeight="1" x14ac:dyDescent="0.25">
      <c r="A51" s="10">
        <v>16</v>
      </c>
      <c r="B51" s="11">
        <v>2501</v>
      </c>
      <c r="C51" s="11" t="s">
        <v>138</v>
      </c>
      <c r="D51" s="10" t="s">
        <v>139</v>
      </c>
      <c r="E51" s="12" t="s">
        <v>140</v>
      </c>
      <c r="F51" s="13">
        <v>45444</v>
      </c>
      <c r="G51" s="13">
        <v>45808</v>
      </c>
      <c r="H51" s="10"/>
      <c r="I51" s="17" t="s">
        <v>95</v>
      </c>
      <c r="J51" s="22">
        <v>20.89</v>
      </c>
      <c r="K51" s="46">
        <v>-5.84</v>
      </c>
      <c r="L51" s="33" t="s">
        <v>181</v>
      </c>
      <c r="M51" s="35"/>
    </row>
    <row r="52" spans="1:13" s="3" customFormat="1" ht="15" customHeight="1" x14ac:dyDescent="0.25">
      <c r="A52" s="10">
        <v>17</v>
      </c>
      <c r="B52" s="11">
        <v>2501</v>
      </c>
      <c r="C52" s="11" t="s">
        <v>141</v>
      </c>
      <c r="D52" s="10" t="s">
        <v>142</v>
      </c>
      <c r="E52" s="12" t="s">
        <v>143</v>
      </c>
      <c r="F52" s="13">
        <v>45444</v>
      </c>
      <c r="G52" s="13">
        <v>45808</v>
      </c>
      <c r="H52" s="10"/>
      <c r="I52" s="17" t="s">
        <v>95</v>
      </c>
      <c r="J52" s="22">
        <v>16.2</v>
      </c>
      <c r="K52" s="46">
        <v>-4.5399999999999991</v>
      </c>
      <c r="L52" s="33" t="s">
        <v>181</v>
      </c>
      <c r="M52" s="35"/>
    </row>
    <row r="53" spans="1:13" s="3" customFormat="1" ht="15" customHeight="1" x14ac:dyDescent="0.25">
      <c r="A53" s="10">
        <v>18</v>
      </c>
      <c r="B53" s="11">
        <v>2501</v>
      </c>
      <c r="C53" s="11" t="s">
        <v>144</v>
      </c>
      <c r="D53" s="14" t="s">
        <v>145</v>
      </c>
      <c r="E53" s="12" t="s">
        <v>146</v>
      </c>
      <c r="F53" s="13">
        <v>45444</v>
      </c>
      <c r="G53" s="13">
        <v>45808</v>
      </c>
      <c r="H53" s="10"/>
      <c r="I53" s="17" t="s">
        <v>95</v>
      </c>
      <c r="J53" s="22">
        <v>14.77</v>
      </c>
      <c r="K53" s="46">
        <v>-4.129999999999999</v>
      </c>
      <c r="L53" s="33" t="s">
        <v>181</v>
      </c>
      <c r="M53" s="35"/>
    </row>
    <row r="54" spans="1:13" s="3" customFormat="1" ht="15" customHeight="1" x14ac:dyDescent="0.25">
      <c r="A54" s="10">
        <v>19</v>
      </c>
      <c r="B54" s="11">
        <v>2501</v>
      </c>
      <c r="C54" s="11" t="s">
        <v>147</v>
      </c>
      <c r="D54" s="14" t="s">
        <v>148</v>
      </c>
      <c r="E54" s="12" t="s">
        <v>149</v>
      </c>
      <c r="F54" s="13">
        <v>45444</v>
      </c>
      <c r="G54" s="13">
        <v>45808</v>
      </c>
      <c r="H54" s="10"/>
      <c r="I54" s="17" t="s">
        <v>95</v>
      </c>
      <c r="J54" s="22">
        <v>15.52</v>
      </c>
      <c r="K54" s="46">
        <v>-4.34</v>
      </c>
      <c r="L54" s="33" t="s">
        <v>181</v>
      </c>
      <c r="M54" s="35"/>
    </row>
    <row r="55" spans="1:13" s="3" customFormat="1" ht="15" customHeight="1" x14ac:dyDescent="0.25">
      <c r="A55" s="10">
        <v>20</v>
      </c>
      <c r="B55" s="11">
        <v>2501</v>
      </c>
      <c r="C55" s="11" t="s">
        <v>150</v>
      </c>
      <c r="D55" s="14" t="s">
        <v>151</v>
      </c>
      <c r="E55" s="12" t="s">
        <v>152</v>
      </c>
      <c r="F55" s="13">
        <v>45444</v>
      </c>
      <c r="G55" s="13">
        <v>45808</v>
      </c>
      <c r="H55" s="10"/>
      <c r="I55" s="17" t="s">
        <v>95</v>
      </c>
      <c r="J55" s="22">
        <v>20.09</v>
      </c>
      <c r="K55" s="46">
        <v>-5.620000000000001</v>
      </c>
      <c r="L55" s="33" t="s">
        <v>181</v>
      </c>
      <c r="M55" s="35"/>
    </row>
    <row r="56" spans="1:13" s="3" customFormat="1" ht="15" customHeight="1" x14ac:dyDescent="0.25">
      <c r="A56" s="10">
        <v>21</v>
      </c>
      <c r="B56" s="11">
        <v>2501</v>
      </c>
      <c r="C56" s="11" t="s">
        <v>153</v>
      </c>
      <c r="D56" s="14" t="s">
        <v>154</v>
      </c>
      <c r="E56" s="12" t="s">
        <v>155</v>
      </c>
      <c r="F56" s="13">
        <v>45444</v>
      </c>
      <c r="G56" s="13">
        <v>45808</v>
      </c>
      <c r="H56" s="10"/>
      <c r="I56" s="17" t="s">
        <v>95</v>
      </c>
      <c r="J56" s="22">
        <v>24.27</v>
      </c>
      <c r="K56" s="46">
        <v>-6.8000000000000007</v>
      </c>
      <c r="L56" s="33" t="s">
        <v>181</v>
      </c>
      <c r="M56" s="35"/>
    </row>
    <row r="57" spans="1:13" s="3" customFormat="1" ht="15" customHeight="1" x14ac:dyDescent="0.25">
      <c r="A57" s="10">
        <v>22</v>
      </c>
      <c r="B57" s="11">
        <v>2501</v>
      </c>
      <c r="C57" s="11" t="s">
        <v>156</v>
      </c>
      <c r="D57" s="14" t="s">
        <v>157</v>
      </c>
      <c r="E57" s="12" t="s">
        <v>158</v>
      </c>
      <c r="F57" s="13">
        <v>45444</v>
      </c>
      <c r="G57" s="13">
        <v>45808</v>
      </c>
      <c r="H57" s="10"/>
      <c r="I57" s="17" t="s">
        <v>95</v>
      </c>
      <c r="J57" s="22">
        <v>19.22</v>
      </c>
      <c r="K57" s="46">
        <v>-5.3800000000000026</v>
      </c>
      <c r="L57" s="33" t="s">
        <v>181</v>
      </c>
      <c r="M57" s="35"/>
    </row>
    <row r="58" spans="1:13" s="3" customFormat="1" ht="15" customHeight="1" x14ac:dyDescent="0.25">
      <c r="A58" s="10">
        <v>23</v>
      </c>
      <c r="B58" s="11">
        <v>2501</v>
      </c>
      <c r="C58" s="11" t="s">
        <v>159</v>
      </c>
      <c r="D58" s="14" t="s">
        <v>160</v>
      </c>
      <c r="E58" s="12" t="s">
        <v>161</v>
      </c>
      <c r="F58" s="13">
        <v>45444</v>
      </c>
      <c r="G58" s="13">
        <v>45808</v>
      </c>
      <c r="H58" s="10"/>
      <c r="I58" s="17" t="s">
        <v>95</v>
      </c>
      <c r="J58" s="22">
        <v>15.95</v>
      </c>
      <c r="K58" s="46">
        <v>-4.4600000000000009</v>
      </c>
      <c r="L58" s="33" t="s">
        <v>181</v>
      </c>
      <c r="M58" s="35"/>
    </row>
    <row r="59" spans="1:13" s="3" customFormat="1" ht="15" customHeight="1" x14ac:dyDescent="0.25">
      <c r="A59" s="10">
        <v>24</v>
      </c>
      <c r="B59" s="11">
        <v>2501</v>
      </c>
      <c r="C59" s="11" t="s">
        <v>162</v>
      </c>
      <c r="D59" s="14" t="s">
        <v>163</v>
      </c>
      <c r="E59" s="12" t="s">
        <v>164</v>
      </c>
      <c r="F59" s="13">
        <v>45444</v>
      </c>
      <c r="G59" s="13">
        <v>45808</v>
      </c>
      <c r="H59" s="10"/>
      <c r="I59" s="17" t="s">
        <v>95</v>
      </c>
      <c r="J59" s="22">
        <v>14.77</v>
      </c>
      <c r="K59" s="46">
        <v>-4.129999999999999</v>
      </c>
      <c r="L59" s="33" t="s">
        <v>181</v>
      </c>
      <c r="M59" s="35"/>
    </row>
    <row r="60" spans="1:13" s="3" customFormat="1" ht="15" customHeight="1" x14ac:dyDescent="0.25">
      <c r="A60" s="10">
        <v>25</v>
      </c>
      <c r="B60" s="11">
        <v>2501</v>
      </c>
      <c r="C60" s="11" t="s">
        <v>165</v>
      </c>
      <c r="D60" s="40" t="s">
        <v>166</v>
      </c>
      <c r="E60" s="12" t="s">
        <v>167</v>
      </c>
      <c r="F60" s="13">
        <v>45444</v>
      </c>
      <c r="G60" s="13">
        <v>45808</v>
      </c>
      <c r="H60" s="10"/>
      <c r="I60" s="17" t="s">
        <v>95</v>
      </c>
      <c r="J60" s="22">
        <v>23.82</v>
      </c>
      <c r="K60" s="46">
        <v>-6.6699999999999982</v>
      </c>
      <c r="L60" s="33" t="s">
        <v>181</v>
      </c>
      <c r="M60" s="35"/>
    </row>
    <row r="61" spans="1:13" s="3" customFormat="1" ht="15" customHeight="1" x14ac:dyDescent="0.25">
      <c r="A61" s="10">
        <v>26</v>
      </c>
      <c r="B61" s="11">
        <v>2501</v>
      </c>
      <c r="C61" s="11" t="s">
        <v>168</v>
      </c>
      <c r="D61" s="14" t="s">
        <v>169</v>
      </c>
      <c r="E61" s="12" t="s">
        <v>170</v>
      </c>
      <c r="F61" s="13">
        <v>45444</v>
      </c>
      <c r="G61" s="13">
        <v>45808</v>
      </c>
      <c r="H61" s="10"/>
      <c r="I61" s="17" t="s">
        <v>95</v>
      </c>
      <c r="J61" s="22">
        <v>29.07</v>
      </c>
      <c r="K61" s="46">
        <v>-8.14</v>
      </c>
      <c r="L61" s="33" t="s">
        <v>181</v>
      </c>
      <c r="M61" s="35"/>
    </row>
    <row r="62" spans="1:13" s="3" customFormat="1" ht="15" customHeight="1" x14ac:dyDescent="0.25">
      <c r="A62" s="10">
        <v>27</v>
      </c>
      <c r="B62" s="11">
        <v>2501</v>
      </c>
      <c r="C62" s="11" t="s">
        <v>171</v>
      </c>
      <c r="D62" s="14" t="s">
        <v>172</v>
      </c>
      <c r="E62" s="12" t="s">
        <v>173</v>
      </c>
      <c r="F62" s="13">
        <v>45444</v>
      </c>
      <c r="G62" s="13">
        <v>45808</v>
      </c>
      <c r="H62" s="10"/>
      <c r="I62" s="17" t="s">
        <v>95</v>
      </c>
      <c r="J62" s="22">
        <v>14.77</v>
      </c>
      <c r="K62" s="46">
        <v>-4.129999999999999</v>
      </c>
      <c r="L62" s="33" t="s">
        <v>181</v>
      </c>
      <c r="M62" s="35"/>
    </row>
    <row r="63" spans="1:13" s="3" customFormat="1" ht="15" customHeight="1" x14ac:dyDescent="0.25">
      <c r="A63" s="10">
        <v>28</v>
      </c>
      <c r="B63" s="11">
        <v>2501</v>
      </c>
      <c r="C63" s="12" t="s">
        <v>184</v>
      </c>
      <c r="D63" s="14" t="s">
        <v>177</v>
      </c>
      <c r="E63" s="42" t="s">
        <v>178</v>
      </c>
      <c r="F63" s="13">
        <v>45658</v>
      </c>
      <c r="G63" s="13">
        <v>47118</v>
      </c>
      <c r="H63" s="10"/>
      <c r="I63" s="17" t="s">
        <v>95</v>
      </c>
      <c r="J63" s="22">
        <v>19.149999999999999</v>
      </c>
      <c r="K63" s="46">
        <v>-7.0000000000000007E-2</v>
      </c>
      <c r="L63" s="33" t="s">
        <v>183</v>
      </c>
      <c r="M63" s="35"/>
    </row>
    <row r="64" spans="1:13" s="3" customFormat="1" ht="15" customHeight="1" x14ac:dyDescent="0.25">
      <c r="A64" s="49"/>
      <c r="B64" s="50"/>
      <c r="C64" s="51"/>
      <c r="D64" s="52"/>
      <c r="E64" s="53"/>
      <c r="F64" s="54"/>
      <c r="G64" s="54"/>
      <c r="H64" s="49"/>
      <c r="I64" s="55"/>
      <c r="J64" s="56"/>
      <c r="K64" s="57">
        <f>SUM(K36:K63)</f>
        <v>-149.12</v>
      </c>
      <c r="L64" s="43"/>
      <c r="M64" s="35"/>
    </row>
    <row r="65" spans="1:56" s="1" customFormat="1" ht="25.8" x14ac:dyDescent="0.3">
      <c r="A65" s="59" t="s">
        <v>185</v>
      </c>
      <c r="B65" s="60"/>
      <c r="C65" s="60"/>
      <c r="D65" s="60"/>
      <c r="E65" s="60"/>
      <c r="F65" s="4"/>
      <c r="G65" s="4"/>
      <c r="H65" s="4"/>
      <c r="I65" s="45"/>
      <c r="J65" s="45"/>
      <c r="K65" s="58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"/>
      <c r="Z65" s="41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</row>
    <row r="66" spans="1:56" s="2" customFormat="1" ht="24" customHeight="1" x14ac:dyDescent="0.25">
      <c r="A66" s="5" t="s">
        <v>0</v>
      </c>
      <c r="B66" s="6" t="s">
        <v>1</v>
      </c>
      <c r="C66" s="44" t="s">
        <v>2</v>
      </c>
      <c r="D66" s="44" t="s">
        <v>3</v>
      </c>
      <c r="E66" s="44" t="s">
        <v>186</v>
      </c>
      <c r="F66" s="5" t="s">
        <v>4</v>
      </c>
      <c r="G66" s="5" t="s">
        <v>5</v>
      </c>
      <c r="H66" s="5" t="s">
        <v>6</v>
      </c>
      <c r="I66" s="5" t="s">
        <v>7</v>
      </c>
      <c r="J66" s="27" t="s">
        <v>190</v>
      </c>
      <c r="K66" s="28" t="s">
        <v>36</v>
      </c>
    </row>
    <row r="67" spans="1:56" ht="20.399999999999999" x14ac:dyDescent="0.25">
      <c r="A67" s="8" t="s">
        <v>41</v>
      </c>
      <c r="B67" s="9" t="s">
        <v>42</v>
      </c>
      <c r="C67" s="8" t="s">
        <v>43</v>
      </c>
      <c r="D67" s="8" t="s">
        <v>44</v>
      </c>
      <c r="E67" s="8" t="s">
        <v>45</v>
      </c>
      <c r="F67" s="8" t="s">
        <v>46</v>
      </c>
      <c r="G67" s="8" t="s">
        <v>47</v>
      </c>
      <c r="H67" s="8" t="s">
        <v>48</v>
      </c>
      <c r="I67" s="8" t="s">
        <v>49</v>
      </c>
      <c r="J67" s="27"/>
      <c r="K67" s="31" t="s">
        <v>87</v>
      </c>
    </row>
    <row r="68" spans="1:56" s="3" customFormat="1" ht="15" customHeight="1" x14ac:dyDescent="0.25">
      <c r="A68" s="10">
        <v>7</v>
      </c>
      <c r="B68" s="11">
        <v>2501</v>
      </c>
      <c r="C68" s="11" t="s">
        <v>111</v>
      </c>
      <c r="D68" s="10" t="s">
        <v>112</v>
      </c>
      <c r="E68" s="12" t="s">
        <v>113</v>
      </c>
      <c r="F68" s="13">
        <v>45444</v>
      </c>
      <c r="G68" s="13">
        <v>45808</v>
      </c>
      <c r="H68" s="10"/>
      <c r="I68" s="17" t="s">
        <v>95</v>
      </c>
      <c r="J68" s="18">
        <v>5</v>
      </c>
      <c r="K68" s="47" t="s">
        <v>191</v>
      </c>
    </row>
    <row r="69" spans="1:56" s="3" customFormat="1" ht="15" customHeight="1" x14ac:dyDescent="0.25">
      <c r="A69" s="10">
        <v>25</v>
      </c>
      <c r="B69" s="11">
        <v>2501</v>
      </c>
      <c r="C69" s="11" t="s">
        <v>165</v>
      </c>
      <c r="D69" s="40" t="s">
        <v>166</v>
      </c>
      <c r="E69" s="12" t="s">
        <v>167</v>
      </c>
      <c r="F69" s="13">
        <v>45444</v>
      </c>
      <c r="G69" s="13">
        <v>45808</v>
      </c>
      <c r="H69" s="10"/>
      <c r="I69" s="17" t="s">
        <v>95</v>
      </c>
      <c r="J69" s="18">
        <v>5</v>
      </c>
      <c r="K69" s="47" t="s">
        <v>191</v>
      </c>
    </row>
    <row r="70" spans="1:56" s="3" customFormat="1" ht="15" customHeight="1" x14ac:dyDescent="0.25">
      <c r="A70" s="10">
        <v>28</v>
      </c>
      <c r="B70" s="11">
        <v>2501</v>
      </c>
      <c r="C70" s="12" t="s">
        <v>184</v>
      </c>
      <c r="D70" s="14" t="s">
        <v>177</v>
      </c>
      <c r="E70" s="42" t="s">
        <v>178</v>
      </c>
      <c r="F70" s="13">
        <v>45658</v>
      </c>
      <c r="G70" s="13">
        <v>47118</v>
      </c>
      <c r="H70" s="10"/>
      <c r="I70" s="17" t="s">
        <v>95</v>
      </c>
      <c r="J70" s="18">
        <v>3.83</v>
      </c>
      <c r="K70" s="47" t="s">
        <v>193</v>
      </c>
    </row>
    <row r="71" spans="1:56" s="3" customFormat="1" ht="15" customHeight="1" x14ac:dyDescent="0.25">
      <c r="A71" s="10">
        <f t="shared" ref="A71" si="19">ROW()-2</f>
        <v>69</v>
      </c>
      <c r="B71" s="11">
        <v>2501</v>
      </c>
      <c r="C71" s="11" t="s">
        <v>96</v>
      </c>
      <c r="D71" s="10" t="s">
        <v>97</v>
      </c>
      <c r="E71" s="12" t="s">
        <v>98</v>
      </c>
      <c r="F71" s="13">
        <v>45444</v>
      </c>
      <c r="G71" s="13">
        <v>45808</v>
      </c>
      <c r="H71" s="10"/>
      <c r="I71" s="17" t="s">
        <v>95</v>
      </c>
      <c r="J71" s="18">
        <v>5</v>
      </c>
      <c r="K71" s="47" t="s">
        <v>191</v>
      </c>
    </row>
    <row r="72" spans="1:56" x14ac:dyDescent="0.25">
      <c r="J72" s="48">
        <f>SUM(J68:J71)</f>
        <v>18.829999999999998</v>
      </c>
    </row>
  </sheetData>
  <autoFilter ref="A1:BE30" xr:uid="{00000000-0009-0000-0000-000000000000}"/>
  <mergeCells count="1">
    <mergeCell ref="M1:Y1"/>
  </mergeCells>
  <phoneticPr fontId="12" type="noConversion"/>
  <conditionalFormatting sqref="C1">
    <cfRule type="duplicateValues" dxfId="51" priority="138"/>
    <cfRule type="duplicateValues" dxfId="50" priority="139"/>
    <cfRule type="duplicateValues" dxfId="49" priority="140"/>
    <cfRule type="duplicateValues" dxfId="48" priority="141"/>
    <cfRule type="duplicateValues" dxfId="47" priority="142"/>
    <cfRule type="duplicateValues" dxfId="46" priority="143"/>
  </conditionalFormatting>
  <conditionalFormatting sqref="D1">
    <cfRule type="duplicateValues" dxfId="45" priority="165"/>
    <cfRule type="duplicateValues" dxfId="44" priority="166"/>
    <cfRule type="duplicateValues" dxfId="43" priority="167"/>
    <cfRule type="duplicateValues" dxfId="42" priority="168"/>
    <cfRule type="duplicateValues" dxfId="41" priority="169"/>
    <cfRule type="duplicateValues" dxfId="40" priority="170"/>
  </conditionalFormatting>
  <conditionalFormatting sqref="C2">
    <cfRule type="duplicateValues" dxfId="39" priority="135"/>
    <cfRule type="duplicateValues" dxfId="38" priority="136"/>
    <cfRule type="duplicateValues" dxfId="37" priority="137"/>
  </conditionalFormatting>
  <conditionalFormatting sqref="D2">
    <cfRule type="duplicateValues" dxfId="36" priority="162"/>
    <cfRule type="duplicateValues" dxfId="35" priority="163"/>
    <cfRule type="duplicateValues" dxfId="34" priority="164"/>
  </conditionalFormatting>
  <conditionalFormatting sqref="AA3:AA30">
    <cfRule type="cellIs" dxfId="33" priority="65" operator="lessThan">
      <formula>7384</formula>
    </cfRule>
  </conditionalFormatting>
  <conditionalFormatting sqref="AL3:AL30">
    <cfRule type="cellIs" dxfId="32" priority="63" operator="lessThan">
      <formula>7384</formula>
    </cfRule>
    <cfRule type="cellIs" dxfId="31" priority="64" operator="lessThan">
      <formula>7384</formula>
    </cfRule>
  </conditionalFormatting>
  <conditionalFormatting sqref="AE30">
    <cfRule type="cellIs" dxfId="30" priority="61" operator="lessThan">
      <formula>7384</formula>
    </cfRule>
  </conditionalFormatting>
  <conditionalFormatting sqref="E34">
    <cfRule type="duplicateValues" dxfId="29" priority="55"/>
  </conditionalFormatting>
  <conditionalFormatting sqref="E34">
    <cfRule type="duplicateValues" dxfId="28" priority="56"/>
    <cfRule type="duplicateValues" dxfId="27" priority="57"/>
  </conditionalFormatting>
  <conditionalFormatting sqref="C34">
    <cfRule type="duplicateValues" dxfId="26" priority="49"/>
  </conditionalFormatting>
  <conditionalFormatting sqref="C34">
    <cfRule type="duplicateValues" dxfId="25" priority="50"/>
  </conditionalFormatting>
  <conditionalFormatting sqref="C34">
    <cfRule type="duplicateValues" dxfId="24" priority="51"/>
    <cfRule type="duplicateValues" dxfId="23" priority="52"/>
  </conditionalFormatting>
  <conditionalFormatting sqref="C34">
    <cfRule type="duplicateValues" dxfId="22" priority="53"/>
    <cfRule type="duplicateValues" dxfId="21" priority="54"/>
  </conditionalFormatting>
  <conditionalFormatting sqref="C35">
    <cfRule type="duplicateValues" dxfId="20" priority="46"/>
    <cfRule type="duplicateValues" dxfId="19" priority="47"/>
  </conditionalFormatting>
  <conditionalFormatting sqref="C35">
    <cfRule type="duplicateValues" dxfId="18" priority="48"/>
  </conditionalFormatting>
  <conditionalFormatting sqref="E35">
    <cfRule type="duplicateValues" dxfId="17" priority="58"/>
    <cfRule type="duplicateValues" dxfId="16" priority="59"/>
  </conditionalFormatting>
  <conditionalFormatting sqref="E35">
    <cfRule type="duplicateValues" dxfId="15" priority="60"/>
  </conditionalFormatting>
  <conditionalFormatting sqref="E66">
    <cfRule type="duplicateValues" dxfId="14" priority="13"/>
  </conditionalFormatting>
  <conditionalFormatting sqref="E66">
    <cfRule type="duplicateValues" dxfId="13" priority="14"/>
    <cfRule type="duplicateValues" dxfId="12" priority="15"/>
  </conditionalFormatting>
  <conditionalFormatting sqref="C66">
    <cfRule type="duplicateValues" dxfId="11" priority="7"/>
  </conditionalFormatting>
  <conditionalFormatting sqref="C66">
    <cfRule type="duplicateValues" dxfId="10" priority="8"/>
  </conditionalFormatting>
  <conditionalFormatting sqref="C66">
    <cfRule type="duplicateValues" dxfId="9" priority="9"/>
    <cfRule type="duplicateValues" dxfId="8" priority="10"/>
  </conditionalFormatting>
  <conditionalFormatting sqref="C66">
    <cfRule type="duplicateValues" dxfId="7" priority="11"/>
    <cfRule type="duplicateValues" dxfId="6" priority="12"/>
  </conditionalFormatting>
  <conditionalFormatting sqref="C67">
    <cfRule type="duplicateValues" dxfId="5" priority="4"/>
    <cfRule type="duplicateValues" dxfId="4" priority="5"/>
  </conditionalFormatting>
  <conditionalFormatting sqref="C67">
    <cfRule type="duplicateValues" dxfId="3" priority="6"/>
  </conditionalFormatting>
  <conditionalFormatting sqref="E67">
    <cfRule type="duplicateValues" dxfId="2" priority="16"/>
    <cfRule type="duplicateValues" dxfId="1" priority="17"/>
  </conditionalFormatting>
  <conditionalFormatting sqref="E67">
    <cfRule type="duplicateValues" dxfId="0" priority="18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96C8-6D3D-45EA-9568-B8618BD34AF3}">
  <dimension ref="A1:J20"/>
  <sheetViews>
    <sheetView tabSelected="1" workbookViewId="0">
      <selection activeCell="H24" sqref="H24"/>
    </sheetView>
  </sheetViews>
  <sheetFormatPr defaultRowHeight="13.8" x14ac:dyDescent="0.25"/>
  <cols>
    <col min="1" max="1" width="21.6640625" customWidth="1"/>
    <col min="2" max="2" width="17.88671875" customWidth="1"/>
    <col min="3" max="3" width="20.33203125" customWidth="1"/>
    <col min="4" max="4" width="16.88671875" customWidth="1"/>
    <col min="5" max="5" width="25.33203125" customWidth="1"/>
    <col min="6" max="6" width="23.6640625" customWidth="1"/>
    <col min="7" max="8" width="19.77734375" customWidth="1"/>
    <col min="9" max="9" width="19.33203125" customWidth="1"/>
    <col min="10" max="10" width="11.77734375" customWidth="1"/>
  </cols>
  <sheetData>
    <row r="1" spans="1:10" x14ac:dyDescent="0.25">
      <c r="A1" s="104" t="s">
        <v>324</v>
      </c>
      <c r="B1" s="105" t="s">
        <v>325</v>
      </c>
      <c r="C1" s="105" t="s">
        <v>342</v>
      </c>
      <c r="D1" s="105">
        <v>155</v>
      </c>
      <c r="E1" s="105" t="s">
        <v>369</v>
      </c>
      <c r="F1" s="105" t="s">
        <v>326</v>
      </c>
      <c r="G1" s="105" t="s">
        <v>327</v>
      </c>
      <c r="H1" s="105" t="s">
        <v>328</v>
      </c>
      <c r="I1" s="105" t="s">
        <v>174</v>
      </c>
      <c r="J1" s="106" t="s">
        <v>329</v>
      </c>
    </row>
    <row r="2" spans="1:10" x14ac:dyDescent="0.25">
      <c r="A2" s="104" t="s">
        <v>205</v>
      </c>
      <c r="B2" s="105">
        <f>'202501'!BC31</f>
        <v>22186.820000000007</v>
      </c>
      <c r="C2" s="105">
        <f>系统!E46</f>
        <v>24414.71</v>
      </c>
      <c r="D2" s="105">
        <f>28*155+149.12-18.83</f>
        <v>4470.29</v>
      </c>
      <c r="E2" s="105"/>
      <c r="F2" s="105"/>
      <c r="G2" s="105"/>
      <c r="H2" s="105"/>
      <c r="I2" s="105">
        <f>SUM(C2:G2)</f>
        <v>28885</v>
      </c>
      <c r="J2" s="107">
        <f t="shared" ref="J2:J10" si="0">B2-C2</f>
        <v>-2227.8899999999921</v>
      </c>
    </row>
    <row r="3" spans="1:10" x14ac:dyDescent="0.25">
      <c r="A3" s="104" t="s">
        <v>330</v>
      </c>
      <c r="B3" s="105">
        <f>'202501'!BA31</f>
        <v>7140</v>
      </c>
      <c r="C3" s="105">
        <v>0</v>
      </c>
      <c r="D3" s="105"/>
      <c r="E3" s="105"/>
      <c r="F3" s="105"/>
      <c r="G3" s="105"/>
      <c r="H3" s="105"/>
      <c r="I3" s="105">
        <f>SUM(C3:G3)</f>
        <v>0</v>
      </c>
      <c r="J3" s="107">
        <f t="shared" si="0"/>
        <v>7140</v>
      </c>
    </row>
    <row r="4" spans="1:10" x14ac:dyDescent="0.25">
      <c r="A4" s="104" t="s">
        <v>331</v>
      </c>
      <c r="B4" s="105">
        <f>'202501'!AG31</f>
        <v>47695.799999999988</v>
      </c>
      <c r="C4" s="105">
        <f>系统!V46</f>
        <v>47695.799999999988</v>
      </c>
      <c r="D4" s="105"/>
      <c r="E4" s="105"/>
      <c r="F4" s="105"/>
      <c r="G4" s="105"/>
      <c r="H4" s="105"/>
      <c r="I4" s="105">
        <f>SUM(C4:G4)</f>
        <v>47695.799999999988</v>
      </c>
      <c r="J4" s="107">
        <f t="shared" si="0"/>
        <v>0</v>
      </c>
    </row>
    <row r="5" spans="1:10" x14ac:dyDescent="0.25">
      <c r="A5" s="104" t="s">
        <v>332</v>
      </c>
      <c r="B5" s="105">
        <f>'202501'!AU31</f>
        <v>93752.589999999982</v>
      </c>
      <c r="C5" s="105">
        <f>系统!O46</f>
        <v>93752.59</v>
      </c>
      <c r="D5" s="105"/>
      <c r="E5" s="108">
        <f>1660.13</f>
        <v>1660.13</v>
      </c>
      <c r="F5" s="105"/>
      <c r="G5" s="105"/>
      <c r="H5" s="105"/>
      <c r="I5" s="105">
        <f>SUM(C5:E5)</f>
        <v>95412.72</v>
      </c>
      <c r="J5" s="107">
        <f t="shared" si="0"/>
        <v>0</v>
      </c>
    </row>
    <row r="6" spans="1:10" x14ac:dyDescent="0.25">
      <c r="A6" s="104" t="s">
        <v>368</v>
      </c>
      <c r="B6" s="105"/>
      <c r="C6" s="105">
        <f>系统!S218</f>
        <v>-1660.13</v>
      </c>
      <c r="D6" s="105"/>
      <c r="E6" s="105"/>
      <c r="F6" s="105"/>
      <c r="G6" s="105"/>
      <c r="H6" s="105"/>
      <c r="I6" s="105">
        <f t="shared" ref="I6:I10" si="1">SUM(C6:G6)</f>
        <v>-1660.13</v>
      </c>
      <c r="J6" s="107">
        <f t="shared" si="0"/>
        <v>1660.13</v>
      </c>
    </row>
    <row r="7" spans="1:10" x14ac:dyDescent="0.25">
      <c r="A7" s="104" t="s">
        <v>333</v>
      </c>
      <c r="B7" s="105">
        <f>'202501'!AK31</f>
        <v>216136.34</v>
      </c>
      <c r="C7" s="105">
        <f>系统!W46</f>
        <v>215996.34000000003</v>
      </c>
      <c r="D7" s="105">
        <f>28*5-0.01</f>
        <v>139.99</v>
      </c>
      <c r="E7" s="105"/>
      <c r="F7" s="105"/>
      <c r="G7" s="105"/>
      <c r="H7" s="105"/>
      <c r="I7" s="105">
        <f t="shared" si="1"/>
        <v>216136.33000000002</v>
      </c>
      <c r="J7" s="107">
        <f t="shared" si="0"/>
        <v>139.9999999999709</v>
      </c>
    </row>
    <row r="8" spans="1:10" x14ac:dyDescent="0.25">
      <c r="A8" s="104" t="s">
        <v>334</v>
      </c>
      <c r="B8" s="105">
        <f>'202501'!AX31</f>
        <v>-18.829999999999998</v>
      </c>
      <c r="C8" s="105"/>
      <c r="D8" s="105"/>
      <c r="E8" s="109"/>
      <c r="F8" s="109"/>
      <c r="G8" s="110"/>
      <c r="H8" s="110"/>
      <c r="I8" s="105">
        <f t="shared" si="1"/>
        <v>0</v>
      </c>
      <c r="J8" s="107">
        <f t="shared" si="0"/>
        <v>-18.829999999999998</v>
      </c>
    </row>
    <row r="9" spans="1:10" x14ac:dyDescent="0.25">
      <c r="A9" s="104" t="s">
        <v>335</v>
      </c>
      <c r="B9" s="105">
        <f>'202501'!AV31</f>
        <v>4925</v>
      </c>
      <c r="C9" s="105"/>
      <c r="D9" s="105"/>
      <c r="E9" s="105"/>
      <c r="F9" s="105">
        <f>B9</f>
        <v>4925</v>
      </c>
      <c r="G9" s="110"/>
      <c r="H9" s="110"/>
      <c r="I9" s="105">
        <f t="shared" si="1"/>
        <v>4925</v>
      </c>
      <c r="J9" s="107">
        <f t="shared" si="0"/>
        <v>4925</v>
      </c>
    </row>
    <row r="10" spans="1:10" x14ac:dyDescent="0.25">
      <c r="A10" s="104" t="s">
        <v>336</v>
      </c>
      <c r="B10" s="105">
        <f>'202501'!AY31</f>
        <v>149.12</v>
      </c>
      <c r="C10" s="105"/>
      <c r="D10" s="105"/>
      <c r="E10" s="105"/>
      <c r="F10" s="105"/>
      <c r="G10" s="105"/>
      <c r="H10" s="105"/>
      <c r="I10" s="105">
        <f t="shared" si="1"/>
        <v>0</v>
      </c>
      <c r="J10" s="107">
        <f t="shared" si="0"/>
        <v>149.12</v>
      </c>
    </row>
    <row r="11" spans="1:10" x14ac:dyDescent="0.25">
      <c r="A11" s="111" t="s">
        <v>337</v>
      </c>
      <c r="B11" s="112">
        <f t="shared" ref="B11" si="2">SUM(B2:B10)</f>
        <v>391966.83999999991</v>
      </c>
      <c r="C11" s="112">
        <f>SUM(C2:C10)</f>
        <v>380199.31</v>
      </c>
      <c r="D11" s="112">
        <f>SUM(D2:D10)</f>
        <v>4610.28</v>
      </c>
      <c r="E11" s="112">
        <f>E5</f>
        <v>1660.13</v>
      </c>
      <c r="F11" s="112">
        <f>F9</f>
        <v>4925</v>
      </c>
      <c r="G11" s="112">
        <f>G9</f>
        <v>0</v>
      </c>
      <c r="H11" s="112">
        <f>H9</f>
        <v>0</v>
      </c>
      <c r="I11" s="112">
        <f>SUM(C11:G11)</f>
        <v>391394.72000000003</v>
      </c>
    </row>
    <row r="12" spans="1:10" x14ac:dyDescent="0.25">
      <c r="A12" s="104" t="s">
        <v>338</v>
      </c>
      <c r="B12" s="105"/>
      <c r="C12" s="105"/>
      <c r="D12" s="105"/>
      <c r="E12" s="105"/>
      <c r="F12" s="105"/>
      <c r="G12" s="105"/>
      <c r="H12" s="105"/>
      <c r="I12" s="105"/>
    </row>
    <row r="13" spans="1:10" x14ac:dyDescent="0.25">
      <c r="A13" s="104" t="s">
        <v>39</v>
      </c>
      <c r="B13" s="105"/>
      <c r="C13" s="105"/>
      <c r="D13" s="105">
        <f>ROUND((D11+D12)*6%,2)</f>
        <v>276.62</v>
      </c>
      <c r="E13" s="105"/>
      <c r="F13" s="105">
        <f>ROUND((F11+F12)*6%,2)</f>
        <v>295.5</v>
      </c>
      <c r="G13" s="105">
        <f>ROUND((G11+G12)*6%,2)</f>
        <v>0</v>
      </c>
      <c r="H13" s="105">
        <f>ROUND((H11+H12)*6%,2)</f>
        <v>0</v>
      </c>
      <c r="I13" s="105">
        <f>SUM(C13:G13)</f>
        <v>572.12</v>
      </c>
    </row>
    <row r="14" spans="1:10" x14ac:dyDescent="0.25">
      <c r="A14" s="113" t="s">
        <v>40</v>
      </c>
      <c r="B14" s="114">
        <f>SUM(B11:B13)</f>
        <v>391966.83999999991</v>
      </c>
      <c r="C14" s="114">
        <f t="shared" ref="C14" si="3">SUM(C11:C13)</f>
        <v>380199.31</v>
      </c>
      <c r="D14" s="114">
        <f>SUM(D11:D13)</f>
        <v>4886.8999999999996</v>
      </c>
      <c r="E14" s="114">
        <f>E11</f>
        <v>1660.13</v>
      </c>
      <c r="F14" s="114">
        <f>SUM(F11:F13)</f>
        <v>5220.5</v>
      </c>
      <c r="G14" s="114">
        <f>SUM(G11:G13)</f>
        <v>0</v>
      </c>
      <c r="H14" s="114">
        <f>SUM(H11:H13)</f>
        <v>0</v>
      </c>
      <c r="I14" s="114">
        <f>SUM(C14:H14)</f>
        <v>391966.84</v>
      </c>
    </row>
    <row r="15" spans="1:10" x14ac:dyDescent="0.25">
      <c r="A15" s="113" t="s">
        <v>339</v>
      </c>
      <c r="B15" s="114"/>
      <c r="C15" s="114"/>
      <c r="D15" s="114"/>
      <c r="E15" s="114"/>
      <c r="F15" s="114"/>
      <c r="G15" s="114"/>
      <c r="H15" s="114"/>
      <c r="I15" s="114">
        <f>B14</f>
        <v>391966.83999999991</v>
      </c>
    </row>
    <row r="16" spans="1:10" x14ac:dyDescent="0.25">
      <c r="A16" s="104" t="s">
        <v>340</v>
      </c>
      <c r="B16" s="105"/>
      <c r="C16" s="105"/>
      <c r="D16" s="105"/>
      <c r="E16" s="105"/>
      <c r="F16" s="105"/>
      <c r="G16" s="105"/>
      <c r="H16" s="105"/>
      <c r="I16" s="105">
        <f>I15-I14</f>
        <v>0</v>
      </c>
    </row>
    <row r="17" spans="1:9" x14ac:dyDescent="0.25">
      <c r="A17" s="104" t="s">
        <v>341</v>
      </c>
      <c r="B17" s="105"/>
      <c r="C17" s="105"/>
      <c r="D17" s="105"/>
      <c r="E17" s="105"/>
      <c r="F17" s="105"/>
      <c r="G17" s="105"/>
      <c r="H17" s="105"/>
      <c r="I17" s="105">
        <f>ROUND(I16/1.06,2)</f>
        <v>0</v>
      </c>
    </row>
    <row r="19" spans="1:9" x14ac:dyDescent="0.25">
      <c r="C19" s="107"/>
      <c r="D19" s="107"/>
    </row>
    <row r="20" spans="1:9" x14ac:dyDescent="0.25">
      <c r="B20" s="107"/>
    </row>
  </sheetData>
  <phoneticPr fontId="1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2646-0D97-4B6A-84B0-1A36144A4462}">
  <dimension ref="A1:AF267"/>
  <sheetViews>
    <sheetView topLeftCell="A221" workbookViewId="0">
      <selection activeCell="J239" sqref="J239"/>
    </sheetView>
  </sheetViews>
  <sheetFormatPr defaultRowHeight="13.8" x14ac:dyDescent="0.25"/>
  <cols>
    <col min="1" max="4" width="8.88671875" style="62"/>
    <col min="5" max="18" width="8.88671875" style="63"/>
    <col min="19" max="19" width="9.33203125" style="63" bestFit="1" customWidth="1"/>
    <col min="20" max="21" width="8.88671875" style="63"/>
    <col min="22" max="22" width="15.77734375" style="63" customWidth="1"/>
    <col min="23" max="23" width="9.21875" style="63" bestFit="1" customWidth="1"/>
    <col min="24" max="25" width="8.88671875" style="63"/>
    <col min="26" max="26" width="10.21875" style="63" bestFit="1" customWidth="1"/>
    <col min="27" max="28" width="8.88671875" style="62"/>
    <col min="29" max="29" width="15.77734375" style="62" customWidth="1"/>
    <col min="30" max="30" width="8.88671875" style="63"/>
    <col min="31" max="31" width="8.88671875" style="62"/>
    <col min="32" max="32" width="8.88671875" style="63"/>
    <col min="33" max="16384" width="8.88671875" style="62"/>
  </cols>
  <sheetData>
    <row r="1" spans="1:32" x14ac:dyDescent="0.25">
      <c r="A1" s="61" t="s">
        <v>194</v>
      </c>
    </row>
    <row r="2" spans="1:32" x14ac:dyDescent="0.25">
      <c r="A2" s="61" t="s">
        <v>195</v>
      </c>
    </row>
    <row r="3" spans="1:32" x14ac:dyDescent="0.25">
      <c r="B3" s="61" t="s">
        <v>196</v>
      </c>
    </row>
    <row r="6" spans="1:32" ht="20.399999999999999" x14ac:dyDescent="0.25">
      <c r="D6" s="64" t="s">
        <v>197</v>
      </c>
    </row>
    <row r="7" spans="1:32" ht="20.399999999999999" x14ac:dyDescent="0.25">
      <c r="C7" s="64" t="s">
        <v>198</v>
      </c>
    </row>
    <row r="9" spans="1:32" ht="20.399999999999999" x14ac:dyDescent="0.25">
      <c r="E9" s="65" t="s">
        <v>199</v>
      </c>
    </row>
    <row r="10" spans="1:32" ht="20.399999999999999" x14ac:dyDescent="0.25">
      <c r="E10" s="65" t="s">
        <v>200</v>
      </c>
    </row>
    <row r="11" spans="1:32" ht="15.6" x14ac:dyDescent="0.25">
      <c r="E11" s="66" t="s">
        <v>201</v>
      </c>
    </row>
    <row r="13" spans="1:32" s="68" customFormat="1" ht="13.2" x14ac:dyDescent="0.25">
      <c r="A13" s="67" t="s">
        <v>202</v>
      </c>
      <c r="E13" s="69"/>
      <c r="F13" s="69"/>
      <c r="G13" s="69"/>
      <c r="H13" s="69"/>
      <c r="I13" s="69"/>
      <c r="J13" s="70" t="s">
        <v>344</v>
      </c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D13" s="69"/>
      <c r="AF13" s="69"/>
    </row>
    <row r="14" spans="1:32" s="71" customFormat="1" ht="60" customHeight="1" x14ac:dyDescent="0.15">
      <c r="A14" s="71" t="s">
        <v>0</v>
      </c>
      <c r="B14" s="71" t="s">
        <v>3</v>
      </c>
      <c r="C14" s="71" t="s">
        <v>203</v>
      </c>
      <c r="D14" s="71" t="s">
        <v>204</v>
      </c>
      <c r="E14" s="72" t="s">
        <v>205</v>
      </c>
      <c r="F14" s="72" t="s">
        <v>206</v>
      </c>
      <c r="G14" s="72" t="s">
        <v>207</v>
      </c>
      <c r="H14" s="123" t="s">
        <v>208</v>
      </c>
      <c r="I14" s="124"/>
      <c r="J14" s="124"/>
      <c r="K14" s="124"/>
      <c r="L14" s="124"/>
      <c r="M14" s="125"/>
      <c r="N14" s="73" t="s">
        <v>209</v>
      </c>
      <c r="O14" s="72" t="s">
        <v>210</v>
      </c>
      <c r="P14" s="123" t="s">
        <v>211</v>
      </c>
      <c r="Q14" s="124"/>
      <c r="R14" s="124"/>
      <c r="S14" s="124"/>
      <c r="T14" s="125"/>
      <c r="U14" s="73" t="s">
        <v>212</v>
      </c>
      <c r="V14" s="72" t="s">
        <v>213</v>
      </c>
      <c r="W14" s="72" t="s">
        <v>214</v>
      </c>
      <c r="X14" s="72" t="s">
        <v>345</v>
      </c>
      <c r="Y14" s="72" t="s">
        <v>215</v>
      </c>
      <c r="Z14" s="74" t="s">
        <v>40</v>
      </c>
      <c r="AA14" s="71" t="s">
        <v>216</v>
      </c>
      <c r="AB14" s="71" t="s">
        <v>217</v>
      </c>
      <c r="AC14" s="71" t="s">
        <v>218</v>
      </c>
      <c r="AD14" s="72" t="s">
        <v>219</v>
      </c>
      <c r="AE14" s="71" t="s">
        <v>220</v>
      </c>
      <c r="AF14" s="72" t="s">
        <v>39</v>
      </c>
    </row>
    <row r="15" spans="1:32" s="75" customFormat="1" ht="60" customHeight="1" x14ac:dyDescent="0.25">
      <c r="A15" s="75" t="s">
        <v>221</v>
      </c>
      <c r="B15" s="75" t="s">
        <v>44</v>
      </c>
      <c r="C15" s="75" t="s">
        <v>222</v>
      </c>
      <c r="D15" s="75" t="s">
        <v>223</v>
      </c>
      <c r="E15" s="76" t="s">
        <v>224</v>
      </c>
      <c r="F15" s="76" t="s">
        <v>225</v>
      </c>
      <c r="G15" s="76" t="s">
        <v>226</v>
      </c>
      <c r="H15" s="77" t="s">
        <v>227</v>
      </c>
      <c r="I15" s="77" t="s">
        <v>228</v>
      </c>
      <c r="J15" s="77" t="s">
        <v>229</v>
      </c>
      <c r="K15" s="77" t="s">
        <v>230</v>
      </c>
      <c r="L15" s="77" t="s">
        <v>231</v>
      </c>
      <c r="M15" s="77" t="s">
        <v>232</v>
      </c>
      <c r="N15" s="77" t="s">
        <v>233</v>
      </c>
      <c r="O15" s="76" t="s">
        <v>234</v>
      </c>
      <c r="P15" s="77" t="s">
        <v>227</v>
      </c>
      <c r="Q15" s="77" t="s">
        <v>228</v>
      </c>
      <c r="R15" s="77" t="s">
        <v>229</v>
      </c>
      <c r="S15" s="77" t="s">
        <v>230</v>
      </c>
      <c r="T15" s="77" t="s">
        <v>231</v>
      </c>
      <c r="U15" s="77" t="s">
        <v>233</v>
      </c>
      <c r="V15" s="76" t="s">
        <v>235</v>
      </c>
      <c r="W15" s="76" t="s">
        <v>236</v>
      </c>
      <c r="X15" s="76" t="s">
        <v>346</v>
      </c>
      <c r="Y15" s="76" t="s">
        <v>237</v>
      </c>
      <c r="Z15" s="78" t="s">
        <v>89</v>
      </c>
      <c r="AA15" s="75" t="s">
        <v>238</v>
      </c>
      <c r="AB15" s="75" t="s">
        <v>239</v>
      </c>
      <c r="AC15" s="75" t="s">
        <v>240</v>
      </c>
      <c r="AD15" s="76" t="s">
        <v>241</v>
      </c>
      <c r="AE15" s="75" t="s">
        <v>242</v>
      </c>
      <c r="AF15" s="76" t="s">
        <v>90</v>
      </c>
    </row>
    <row r="16" spans="1:32" s="79" customFormat="1" ht="11.4" x14ac:dyDescent="0.25">
      <c r="A16" s="79">
        <v>1</v>
      </c>
      <c r="B16" s="79" t="s">
        <v>151</v>
      </c>
      <c r="C16" s="79" t="s">
        <v>243</v>
      </c>
      <c r="D16" s="79" t="s">
        <v>244</v>
      </c>
      <c r="E16" s="80">
        <v>888.19</v>
      </c>
      <c r="F16" s="80">
        <v>10043</v>
      </c>
      <c r="G16" s="80">
        <v>10043</v>
      </c>
      <c r="H16" s="80">
        <v>1606.88</v>
      </c>
      <c r="I16" s="80">
        <v>903.88</v>
      </c>
      <c r="J16" s="80">
        <v>50.22</v>
      </c>
      <c r="K16" s="80">
        <v>20.09</v>
      </c>
      <c r="L16" s="80"/>
      <c r="M16" s="80">
        <v>150.65</v>
      </c>
      <c r="N16" s="80">
        <v>703</v>
      </c>
      <c r="O16" s="80">
        <f t="shared" ref="O16:O45" si="0">SUM(H16:N16)</f>
        <v>3434.7200000000003</v>
      </c>
      <c r="P16" s="80">
        <v>803.44</v>
      </c>
      <c r="Q16" s="80">
        <v>200.86</v>
      </c>
      <c r="R16" s="80">
        <v>50.22</v>
      </c>
      <c r="S16" s="80"/>
      <c r="T16" s="80"/>
      <c r="U16" s="80">
        <v>703</v>
      </c>
      <c r="V16" s="80">
        <f t="shared" ref="V16:V45" si="1">SUM(P16:U16)</f>
        <v>1757.52</v>
      </c>
      <c r="W16" s="80">
        <v>7844.26</v>
      </c>
      <c r="X16" s="80">
        <v>-61.31</v>
      </c>
      <c r="Y16" s="80"/>
      <c r="Z16" s="81">
        <f t="shared" ref="Z16:Z44" si="2">SUM(E16,O16,V16:Y16)</f>
        <v>13863.380000000001</v>
      </c>
      <c r="AB16" s="79" t="s">
        <v>245</v>
      </c>
      <c r="AC16" s="79" t="s">
        <v>152</v>
      </c>
      <c r="AD16" s="82">
        <v>13078.66</v>
      </c>
      <c r="AE16" s="79" t="s">
        <v>246</v>
      </c>
      <c r="AF16" s="82">
        <v>784.72</v>
      </c>
    </row>
    <row r="17" spans="1:32" s="79" customFormat="1" ht="11.4" x14ac:dyDescent="0.25">
      <c r="A17" s="79">
        <v>2</v>
      </c>
      <c r="B17" s="79" t="s">
        <v>157</v>
      </c>
      <c r="C17" s="79" t="s">
        <v>243</v>
      </c>
      <c r="D17" s="79" t="s">
        <v>244</v>
      </c>
      <c r="E17" s="80">
        <v>846.5</v>
      </c>
      <c r="F17" s="80">
        <v>9608</v>
      </c>
      <c r="G17" s="80">
        <v>9608</v>
      </c>
      <c r="H17" s="80">
        <v>1537.28</v>
      </c>
      <c r="I17" s="80">
        <v>864.72</v>
      </c>
      <c r="J17" s="80">
        <v>48.04</v>
      </c>
      <c r="K17" s="80">
        <v>19.22</v>
      </c>
      <c r="L17" s="80"/>
      <c r="M17" s="80">
        <v>144.12</v>
      </c>
      <c r="N17" s="80">
        <v>673</v>
      </c>
      <c r="O17" s="80">
        <f t="shared" si="0"/>
        <v>3286.3799999999997</v>
      </c>
      <c r="P17" s="80">
        <v>768.64</v>
      </c>
      <c r="Q17" s="80">
        <v>192.16</v>
      </c>
      <c r="R17" s="80">
        <v>48.04</v>
      </c>
      <c r="S17" s="80"/>
      <c r="T17" s="80"/>
      <c r="U17" s="80">
        <v>673</v>
      </c>
      <c r="V17" s="80">
        <f t="shared" si="1"/>
        <v>1681.84</v>
      </c>
      <c r="W17" s="80">
        <v>7373.52</v>
      </c>
      <c r="X17" s="80">
        <v>-58.7</v>
      </c>
      <c r="Y17" s="80"/>
      <c r="Z17" s="81">
        <f t="shared" si="2"/>
        <v>13129.539999999999</v>
      </c>
      <c r="AB17" s="79" t="s">
        <v>247</v>
      </c>
      <c r="AC17" s="79" t="s">
        <v>158</v>
      </c>
      <c r="AD17" s="82">
        <v>12386.36</v>
      </c>
      <c r="AE17" s="79" t="s">
        <v>246</v>
      </c>
      <c r="AF17" s="82">
        <v>743.18</v>
      </c>
    </row>
    <row r="18" spans="1:32" s="79" customFormat="1" ht="11.4" x14ac:dyDescent="0.25">
      <c r="A18" s="79">
        <v>3</v>
      </c>
      <c r="B18" s="79" t="s">
        <v>115</v>
      </c>
      <c r="C18" s="79" t="s">
        <v>243</v>
      </c>
      <c r="D18" s="79" t="s">
        <v>244</v>
      </c>
      <c r="E18" s="80">
        <v>1113.1199999999999</v>
      </c>
      <c r="F18" s="80">
        <v>9424</v>
      </c>
      <c r="G18" s="80">
        <v>9424</v>
      </c>
      <c r="H18" s="80">
        <v>1507.84</v>
      </c>
      <c r="I18" s="80">
        <v>848.16</v>
      </c>
      <c r="J18" s="80">
        <v>47.12</v>
      </c>
      <c r="K18" s="80">
        <v>18.850000000000001</v>
      </c>
      <c r="L18" s="80"/>
      <c r="M18" s="80">
        <v>141.36000000000001</v>
      </c>
      <c r="N18" s="80">
        <v>660</v>
      </c>
      <c r="O18" s="80">
        <f t="shared" si="0"/>
        <v>3223.33</v>
      </c>
      <c r="P18" s="80">
        <v>753.92</v>
      </c>
      <c r="Q18" s="80">
        <v>188.48</v>
      </c>
      <c r="R18" s="80">
        <v>47.12</v>
      </c>
      <c r="S18" s="80"/>
      <c r="T18" s="80"/>
      <c r="U18" s="80">
        <v>660</v>
      </c>
      <c r="V18" s="80">
        <f t="shared" si="1"/>
        <v>1649.52</v>
      </c>
      <c r="W18" s="80">
        <v>11912.45</v>
      </c>
      <c r="X18" s="80">
        <v>-57.559999999999995</v>
      </c>
      <c r="Y18" s="80"/>
      <c r="Z18" s="81">
        <f t="shared" si="2"/>
        <v>17840.859999999997</v>
      </c>
      <c r="AB18" s="79" t="s">
        <v>248</v>
      </c>
      <c r="AC18" s="79" t="s">
        <v>116</v>
      </c>
      <c r="AD18" s="82">
        <v>16830.990000000002</v>
      </c>
      <c r="AE18" s="79" t="s">
        <v>246</v>
      </c>
      <c r="AF18" s="82">
        <v>1009.87</v>
      </c>
    </row>
    <row r="19" spans="1:32" s="79" customFormat="1" ht="11.4" x14ac:dyDescent="0.25">
      <c r="A19" s="79">
        <v>4</v>
      </c>
      <c r="B19" s="79" t="s">
        <v>139</v>
      </c>
      <c r="C19" s="79" t="s">
        <v>243</v>
      </c>
      <c r="D19" s="79" t="s">
        <v>244</v>
      </c>
      <c r="E19" s="80">
        <v>955.77</v>
      </c>
      <c r="F19" s="80">
        <v>10443</v>
      </c>
      <c r="G19" s="80">
        <v>10443</v>
      </c>
      <c r="H19" s="80">
        <v>1670.88</v>
      </c>
      <c r="I19" s="80">
        <v>939.88</v>
      </c>
      <c r="J19" s="80">
        <v>52.22</v>
      </c>
      <c r="K19" s="80">
        <v>20.89</v>
      </c>
      <c r="L19" s="80"/>
      <c r="M19" s="80">
        <v>156.65</v>
      </c>
      <c r="N19" s="80">
        <v>731</v>
      </c>
      <c r="O19" s="80">
        <f t="shared" si="0"/>
        <v>3571.52</v>
      </c>
      <c r="P19" s="80">
        <v>835.44</v>
      </c>
      <c r="Q19" s="80">
        <v>208.86</v>
      </c>
      <c r="R19" s="80">
        <v>52.22</v>
      </c>
      <c r="S19" s="80"/>
      <c r="T19" s="80"/>
      <c r="U19" s="80">
        <v>731</v>
      </c>
      <c r="V19" s="80">
        <f t="shared" si="1"/>
        <v>1827.5200000000002</v>
      </c>
      <c r="W19" s="80">
        <v>8763.7999999999993</v>
      </c>
      <c r="X19" s="80">
        <v>-63.73</v>
      </c>
      <c r="Y19" s="80"/>
      <c r="Z19" s="81">
        <f t="shared" si="2"/>
        <v>15054.880000000001</v>
      </c>
      <c r="AB19" s="79" t="s">
        <v>249</v>
      </c>
      <c r="AC19" s="79" t="s">
        <v>140</v>
      </c>
      <c r="AD19" s="82">
        <v>14202.73</v>
      </c>
      <c r="AE19" s="79" t="s">
        <v>246</v>
      </c>
      <c r="AF19" s="82">
        <v>852.15</v>
      </c>
    </row>
    <row r="20" spans="1:32" s="79" customFormat="1" ht="11.4" x14ac:dyDescent="0.25">
      <c r="A20" s="79">
        <v>5</v>
      </c>
      <c r="B20" s="79" t="s">
        <v>154</v>
      </c>
      <c r="C20" s="79" t="s">
        <v>243</v>
      </c>
      <c r="D20" s="79" t="s">
        <v>244</v>
      </c>
      <c r="E20" s="80">
        <v>1500.02</v>
      </c>
      <c r="F20" s="80">
        <v>12136</v>
      </c>
      <c r="G20" s="80">
        <v>12136</v>
      </c>
      <c r="H20" s="80">
        <v>1941.76</v>
      </c>
      <c r="I20" s="80">
        <v>1092.24</v>
      </c>
      <c r="J20" s="80">
        <v>60.68</v>
      </c>
      <c r="K20" s="80">
        <v>24.27</v>
      </c>
      <c r="L20" s="80"/>
      <c r="M20" s="80">
        <v>182.04</v>
      </c>
      <c r="N20" s="80">
        <v>850</v>
      </c>
      <c r="O20" s="80">
        <f t="shared" si="0"/>
        <v>4150.99</v>
      </c>
      <c r="P20" s="80">
        <v>970.88</v>
      </c>
      <c r="Q20" s="80">
        <v>242.72</v>
      </c>
      <c r="R20" s="80">
        <v>60.68</v>
      </c>
      <c r="S20" s="80"/>
      <c r="T20" s="80"/>
      <c r="U20" s="80">
        <v>850</v>
      </c>
      <c r="V20" s="80">
        <f t="shared" si="1"/>
        <v>2124.2799999999997</v>
      </c>
      <c r="W20" s="80">
        <v>16958.38</v>
      </c>
      <c r="X20" s="80">
        <v>-74.09</v>
      </c>
      <c r="Y20" s="80"/>
      <c r="Z20" s="81">
        <f t="shared" si="2"/>
        <v>24659.58</v>
      </c>
      <c r="AB20" s="79" t="s">
        <v>250</v>
      </c>
      <c r="AC20" s="79" t="s">
        <v>155</v>
      </c>
      <c r="AD20" s="82">
        <v>23263.759999999998</v>
      </c>
      <c r="AE20" s="79" t="s">
        <v>246</v>
      </c>
      <c r="AF20" s="82">
        <v>1395.82</v>
      </c>
    </row>
    <row r="21" spans="1:32" s="79" customFormat="1" ht="11.4" x14ac:dyDescent="0.25">
      <c r="A21" s="79">
        <v>6</v>
      </c>
      <c r="B21" s="79" t="s">
        <v>100</v>
      </c>
      <c r="C21" s="79" t="s">
        <v>243</v>
      </c>
      <c r="D21" s="79" t="s">
        <v>244</v>
      </c>
      <c r="E21" s="80">
        <v>683.18</v>
      </c>
      <c r="F21" s="80">
        <v>9226</v>
      </c>
      <c r="G21" s="80">
        <v>9226</v>
      </c>
      <c r="H21" s="80">
        <v>1476.16</v>
      </c>
      <c r="I21" s="80">
        <v>830.34</v>
      </c>
      <c r="J21" s="80">
        <v>46.13</v>
      </c>
      <c r="K21" s="80">
        <v>18.45</v>
      </c>
      <c r="L21" s="80"/>
      <c r="M21" s="80">
        <v>138.38999999999999</v>
      </c>
      <c r="N21" s="80">
        <v>646</v>
      </c>
      <c r="O21" s="80">
        <f t="shared" si="0"/>
        <v>3155.47</v>
      </c>
      <c r="P21" s="80">
        <v>738.08</v>
      </c>
      <c r="Q21" s="80">
        <v>184.52</v>
      </c>
      <c r="R21" s="80">
        <v>46.13</v>
      </c>
      <c r="S21" s="80"/>
      <c r="T21" s="80"/>
      <c r="U21" s="80">
        <v>646</v>
      </c>
      <c r="V21" s="80">
        <f t="shared" si="1"/>
        <v>1614.73</v>
      </c>
      <c r="W21" s="80">
        <v>4849.51</v>
      </c>
      <c r="X21" s="80">
        <v>-56.349999999999994</v>
      </c>
      <c r="Y21" s="80"/>
      <c r="Z21" s="81">
        <f t="shared" si="2"/>
        <v>10246.539999999999</v>
      </c>
      <c r="AB21" s="79" t="s">
        <v>251</v>
      </c>
      <c r="AC21" s="79" t="s">
        <v>101</v>
      </c>
      <c r="AD21" s="82">
        <v>9666.5499999999993</v>
      </c>
      <c r="AE21" s="79" t="s">
        <v>246</v>
      </c>
      <c r="AF21" s="82">
        <v>579.99</v>
      </c>
    </row>
    <row r="22" spans="1:32" s="79" customFormat="1" ht="11.4" x14ac:dyDescent="0.25">
      <c r="A22" s="79">
        <v>7</v>
      </c>
      <c r="B22" s="79" t="s">
        <v>145</v>
      </c>
      <c r="C22" s="79" t="s">
        <v>243</v>
      </c>
      <c r="D22" s="79" t="s">
        <v>244</v>
      </c>
      <c r="E22" s="80">
        <v>582.01</v>
      </c>
      <c r="F22" s="80">
        <v>7384</v>
      </c>
      <c r="G22" s="80">
        <v>4906</v>
      </c>
      <c r="H22" s="80">
        <v>1181.44</v>
      </c>
      <c r="I22" s="80">
        <v>664.56</v>
      </c>
      <c r="J22" s="80">
        <v>36.92</v>
      </c>
      <c r="K22" s="80">
        <v>14.77</v>
      </c>
      <c r="L22" s="80"/>
      <c r="M22" s="80">
        <v>110.76</v>
      </c>
      <c r="N22" s="80">
        <v>343</v>
      </c>
      <c r="O22" s="80">
        <f t="shared" si="0"/>
        <v>2351.4499999999998</v>
      </c>
      <c r="P22" s="80">
        <v>590.72</v>
      </c>
      <c r="Q22" s="80">
        <v>147.68</v>
      </c>
      <c r="R22" s="80">
        <v>36.92</v>
      </c>
      <c r="S22" s="80"/>
      <c r="T22" s="80"/>
      <c r="U22" s="80">
        <v>343</v>
      </c>
      <c r="V22" s="80">
        <f t="shared" si="1"/>
        <v>1118.3200000000002</v>
      </c>
      <c r="W22" s="80">
        <v>4463.68</v>
      </c>
      <c r="X22" s="80">
        <v>-45.089999999999996</v>
      </c>
      <c r="Y22" s="80"/>
      <c r="Z22" s="81">
        <f t="shared" si="2"/>
        <v>8470.3700000000008</v>
      </c>
      <c r="AB22" s="79" t="s">
        <v>252</v>
      </c>
      <c r="AC22" s="79" t="s">
        <v>146</v>
      </c>
      <c r="AD22" s="82">
        <v>7990.9</v>
      </c>
      <c r="AE22" s="79" t="s">
        <v>246</v>
      </c>
      <c r="AF22" s="82">
        <v>479.47</v>
      </c>
    </row>
    <row r="23" spans="1:32" s="79" customFormat="1" ht="11.4" x14ac:dyDescent="0.25">
      <c r="A23" s="79">
        <v>8</v>
      </c>
      <c r="B23" s="79" t="s">
        <v>177</v>
      </c>
      <c r="C23" s="79" t="s">
        <v>243</v>
      </c>
      <c r="D23" s="83" t="s">
        <v>253</v>
      </c>
      <c r="E23" s="80">
        <v>804.31</v>
      </c>
      <c r="F23" s="80">
        <v>9575</v>
      </c>
      <c r="G23" s="80">
        <v>9575</v>
      </c>
      <c r="H23" s="80">
        <v>1532</v>
      </c>
      <c r="I23" s="80">
        <v>861.76</v>
      </c>
      <c r="J23" s="80">
        <v>47.88</v>
      </c>
      <c r="K23" s="80">
        <v>19.149999999999999</v>
      </c>
      <c r="L23" s="80"/>
      <c r="M23" s="80">
        <v>143.63</v>
      </c>
      <c r="N23" s="80">
        <v>670</v>
      </c>
      <c r="O23" s="80">
        <f t="shared" si="0"/>
        <v>3274.4200000000005</v>
      </c>
      <c r="P23" s="80">
        <v>766</v>
      </c>
      <c r="Q23" s="80">
        <v>191.5</v>
      </c>
      <c r="R23" s="80">
        <v>47.88</v>
      </c>
      <c r="S23" s="80"/>
      <c r="T23" s="80"/>
      <c r="U23" s="80">
        <v>670</v>
      </c>
      <c r="V23" s="80">
        <f t="shared" si="1"/>
        <v>1675.38</v>
      </c>
      <c r="W23" s="80">
        <v>6688.62</v>
      </c>
      <c r="X23" s="80"/>
      <c r="Y23" s="80"/>
      <c r="Z23" s="81">
        <f t="shared" si="2"/>
        <v>12442.73</v>
      </c>
      <c r="AB23" s="79" t="s">
        <v>254</v>
      </c>
      <c r="AC23" s="79" t="s">
        <v>255</v>
      </c>
      <c r="AD23" s="82">
        <v>11738.42</v>
      </c>
      <c r="AE23" s="79" t="s">
        <v>246</v>
      </c>
      <c r="AF23" s="82">
        <v>704.31</v>
      </c>
    </row>
    <row r="24" spans="1:32" s="79" customFormat="1" ht="11.4" x14ac:dyDescent="0.25">
      <c r="A24" s="79">
        <v>9</v>
      </c>
      <c r="B24" s="79" t="s">
        <v>118</v>
      </c>
      <c r="C24" s="79" t="s">
        <v>243</v>
      </c>
      <c r="D24" s="79" t="s">
        <v>244</v>
      </c>
      <c r="E24" s="80">
        <v>997.97</v>
      </c>
      <c r="F24" s="80">
        <v>10475</v>
      </c>
      <c r="G24" s="80">
        <v>10475</v>
      </c>
      <c r="H24" s="80">
        <v>1676</v>
      </c>
      <c r="I24" s="80">
        <v>942.76</v>
      </c>
      <c r="J24" s="80">
        <v>52.38</v>
      </c>
      <c r="K24" s="80">
        <v>20.95</v>
      </c>
      <c r="L24" s="80"/>
      <c r="M24" s="80">
        <v>157.13</v>
      </c>
      <c r="N24" s="80">
        <v>733</v>
      </c>
      <c r="O24" s="80">
        <f t="shared" si="0"/>
        <v>3582.2200000000003</v>
      </c>
      <c r="P24" s="80">
        <v>838</v>
      </c>
      <c r="Q24" s="80">
        <v>209.5</v>
      </c>
      <c r="R24" s="80">
        <v>52.38</v>
      </c>
      <c r="S24" s="80"/>
      <c r="T24" s="80"/>
      <c r="U24" s="80">
        <v>733</v>
      </c>
      <c r="V24" s="80">
        <f t="shared" si="1"/>
        <v>1832.88</v>
      </c>
      <c r="W24" s="80">
        <v>9451.02</v>
      </c>
      <c r="X24" s="80">
        <v>-63.98</v>
      </c>
      <c r="Y24" s="80"/>
      <c r="Z24" s="81">
        <f t="shared" si="2"/>
        <v>15800.11</v>
      </c>
      <c r="AB24" s="79" t="s">
        <v>256</v>
      </c>
      <c r="AC24" s="79" t="s">
        <v>119</v>
      </c>
      <c r="AD24" s="82">
        <v>14905.76</v>
      </c>
      <c r="AE24" s="79" t="s">
        <v>246</v>
      </c>
      <c r="AF24" s="82">
        <v>894.35</v>
      </c>
    </row>
    <row r="25" spans="1:32" s="79" customFormat="1" ht="11.4" x14ac:dyDescent="0.25">
      <c r="A25" s="79">
        <v>10</v>
      </c>
      <c r="B25" s="79" t="s">
        <v>163</v>
      </c>
      <c r="C25" s="79" t="s">
        <v>243</v>
      </c>
      <c r="D25" s="79" t="s">
        <v>244</v>
      </c>
      <c r="E25" s="80">
        <v>764.55</v>
      </c>
      <c r="F25" s="80">
        <v>7384</v>
      </c>
      <c r="G25" s="80">
        <v>7139</v>
      </c>
      <c r="H25" s="80">
        <v>1181.44</v>
      </c>
      <c r="I25" s="80">
        <v>664.56</v>
      </c>
      <c r="J25" s="80">
        <v>36.92</v>
      </c>
      <c r="K25" s="80">
        <v>14.77</v>
      </c>
      <c r="L25" s="80"/>
      <c r="M25" s="80">
        <v>110.76</v>
      </c>
      <c r="N25" s="80">
        <v>500</v>
      </c>
      <c r="O25" s="80">
        <f t="shared" si="0"/>
        <v>2508.4499999999998</v>
      </c>
      <c r="P25" s="80">
        <v>590.72</v>
      </c>
      <c r="Q25" s="80">
        <v>147.68</v>
      </c>
      <c r="R25" s="80">
        <v>36.92</v>
      </c>
      <c r="S25" s="80"/>
      <c r="T25" s="80"/>
      <c r="U25" s="80">
        <v>500</v>
      </c>
      <c r="V25" s="80">
        <f t="shared" si="1"/>
        <v>1275.3200000000002</v>
      </c>
      <c r="W25" s="80">
        <v>7192.06</v>
      </c>
      <c r="X25" s="80">
        <v>-45.089999999999996</v>
      </c>
      <c r="Y25" s="80"/>
      <c r="Z25" s="81">
        <f t="shared" si="2"/>
        <v>11695.29</v>
      </c>
      <c r="AB25" s="79" t="s">
        <v>257</v>
      </c>
      <c r="AC25" s="79" t="s">
        <v>164</v>
      </c>
      <c r="AD25" s="82">
        <v>11033.28</v>
      </c>
      <c r="AE25" s="79" t="s">
        <v>246</v>
      </c>
      <c r="AF25" s="82">
        <v>662.01</v>
      </c>
    </row>
    <row r="26" spans="1:32" s="79" customFormat="1" ht="11.4" x14ac:dyDescent="0.25">
      <c r="A26" s="79">
        <v>11</v>
      </c>
      <c r="B26" s="79" t="s">
        <v>169</v>
      </c>
      <c r="C26" s="79" t="s">
        <v>243</v>
      </c>
      <c r="D26" s="79" t="s">
        <v>244</v>
      </c>
      <c r="E26" s="80">
        <v>767.96</v>
      </c>
      <c r="F26" s="80">
        <v>14537</v>
      </c>
      <c r="G26" s="80">
        <v>14537</v>
      </c>
      <c r="H26" s="80">
        <v>2325.92</v>
      </c>
      <c r="I26" s="80">
        <v>1308.3399999999999</v>
      </c>
      <c r="J26" s="80">
        <v>72.69</v>
      </c>
      <c r="K26" s="80">
        <v>29.07</v>
      </c>
      <c r="L26" s="80"/>
      <c r="M26" s="80">
        <v>218.06</v>
      </c>
      <c r="N26" s="80">
        <v>1018</v>
      </c>
      <c r="O26" s="80">
        <f t="shared" si="0"/>
        <v>4972.08</v>
      </c>
      <c r="P26" s="80">
        <v>1162.96</v>
      </c>
      <c r="Q26" s="80">
        <v>290.74</v>
      </c>
      <c r="R26" s="80">
        <v>72.69</v>
      </c>
      <c r="S26" s="80"/>
      <c r="T26" s="80"/>
      <c r="U26" s="80">
        <v>1018</v>
      </c>
      <c r="V26" s="80">
        <f t="shared" si="1"/>
        <v>2544.3900000000003</v>
      </c>
      <c r="W26" s="80">
        <v>3516.11</v>
      </c>
      <c r="X26" s="80">
        <v>-88.72</v>
      </c>
      <c r="Y26" s="80"/>
      <c r="Z26" s="81">
        <f t="shared" si="2"/>
        <v>11711.820000000002</v>
      </c>
      <c r="AB26" s="79" t="s">
        <v>258</v>
      </c>
      <c r="AC26" s="79" t="s">
        <v>170</v>
      </c>
      <c r="AD26" s="82">
        <v>11048.89</v>
      </c>
      <c r="AE26" s="79" t="s">
        <v>246</v>
      </c>
      <c r="AF26" s="82">
        <v>662.93</v>
      </c>
    </row>
    <row r="27" spans="1:32" s="79" customFormat="1" ht="11.4" x14ac:dyDescent="0.25">
      <c r="A27" s="79">
        <v>12</v>
      </c>
      <c r="B27" s="79" t="s">
        <v>124</v>
      </c>
      <c r="C27" s="79" t="s">
        <v>243</v>
      </c>
      <c r="D27" s="79" t="s">
        <v>244</v>
      </c>
      <c r="E27" s="80">
        <v>870.22</v>
      </c>
      <c r="F27" s="80">
        <v>9241</v>
      </c>
      <c r="G27" s="80">
        <v>9241</v>
      </c>
      <c r="H27" s="80">
        <v>1478.56</v>
      </c>
      <c r="I27" s="80">
        <v>831.7</v>
      </c>
      <c r="J27" s="80">
        <v>46.21</v>
      </c>
      <c r="K27" s="80">
        <v>18.48</v>
      </c>
      <c r="L27" s="80"/>
      <c r="M27" s="80">
        <v>138.62</v>
      </c>
      <c r="N27" s="80">
        <v>647</v>
      </c>
      <c r="O27" s="80">
        <f t="shared" si="0"/>
        <v>3160.57</v>
      </c>
      <c r="P27" s="80">
        <v>739.28</v>
      </c>
      <c r="Q27" s="80">
        <v>184.82</v>
      </c>
      <c r="R27" s="80">
        <v>46.21</v>
      </c>
      <c r="S27" s="80"/>
      <c r="T27" s="80"/>
      <c r="U27" s="80">
        <v>647</v>
      </c>
      <c r="V27" s="80">
        <f t="shared" si="1"/>
        <v>1617.31</v>
      </c>
      <c r="W27" s="80">
        <v>7959.11</v>
      </c>
      <c r="X27" s="80">
        <v>-56.41</v>
      </c>
      <c r="Y27" s="80"/>
      <c r="Z27" s="81">
        <f t="shared" si="2"/>
        <v>13550.8</v>
      </c>
      <c r="AB27" s="79" t="s">
        <v>259</v>
      </c>
      <c r="AC27" s="79" t="s">
        <v>125</v>
      </c>
      <c r="AD27" s="82">
        <v>12783.77</v>
      </c>
      <c r="AE27" s="79" t="s">
        <v>246</v>
      </c>
      <c r="AF27" s="82">
        <v>767.03</v>
      </c>
    </row>
    <row r="28" spans="1:32" s="79" customFormat="1" ht="11.4" x14ac:dyDescent="0.25">
      <c r="A28" s="79">
        <v>13</v>
      </c>
      <c r="B28" s="79" t="s">
        <v>136</v>
      </c>
      <c r="C28" s="79" t="s">
        <v>243</v>
      </c>
      <c r="D28" s="79" t="s">
        <v>244</v>
      </c>
      <c r="E28" s="80">
        <v>1019.98</v>
      </c>
      <c r="F28" s="80">
        <v>11152</v>
      </c>
      <c r="G28" s="80">
        <v>11152</v>
      </c>
      <c r="H28" s="80">
        <v>1784.32</v>
      </c>
      <c r="I28" s="80">
        <v>1003.68</v>
      </c>
      <c r="J28" s="80">
        <v>55.76</v>
      </c>
      <c r="K28" s="80">
        <v>22.3</v>
      </c>
      <c r="L28" s="80"/>
      <c r="M28" s="80">
        <v>167.28</v>
      </c>
      <c r="N28" s="80">
        <v>781</v>
      </c>
      <c r="O28" s="80">
        <f t="shared" si="0"/>
        <v>3814.3400000000006</v>
      </c>
      <c r="P28" s="80">
        <v>892.16</v>
      </c>
      <c r="Q28" s="80">
        <v>223.04</v>
      </c>
      <c r="R28" s="80">
        <v>55.76</v>
      </c>
      <c r="S28" s="80"/>
      <c r="T28" s="80"/>
      <c r="U28" s="80">
        <v>781</v>
      </c>
      <c r="V28" s="80">
        <f t="shared" si="1"/>
        <v>1951.96</v>
      </c>
      <c r="W28" s="80">
        <v>9466.7199999999993</v>
      </c>
      <c r="X28" s="80">
        <v>-68.12</v>
      </c>
      <c r="Y28" s="80"/>
      <c r="Z28" s="81">
        <f t="shared" si="2"/>
        <v>16184.88</v>
      </c>
      <c r="AB28" s="79" t="s">
        <v>260</v>
      </c>
      <c r="AC28" s="79" t="s">
        <v>137</v>
      </c>
      <c r="AD28" s="82">
        <v>15268.75</v>
      </c>
      <c r="AE28" s="79" t="s">
        <v>246</v>
      </c>
      <c r="AF28" s="82">
        <v>916.13</v>
      </c>
    </row>
    <row r="29" spans="1:32" s="79" customFormat="1" ht="11.4" x14ac:dyDescent="0.25">
      <c r="A29" s="79">
        <v>14</v>
      </c>
      <c r="B29" s="79" t="s">
        <v>133</v>
      </c>
      <c r="C29" s="79" t="s">
        <v>243</v>
      </c>
      <c r="D29" s="79" t="s">
        <v>244</v>
      </c>
      <c r="E29" s="80">
        <v>688.81000000000006</v>
      </c>
      <c r="F29" s="80">
        <v>7474</v>
      </c>
      <c r="G29" s="80">
        <v>7474</v>
      </c>
      <c r="H29" s="80">
        <v>1195.8399999999999</v>
      </c>
      <c r="I29" s="80">
        <v>672.66</v>
      </c>
      <c r="J29" s="80">
        <v>37.369999999999997</v>
      </c>
      <c r="K29" s="80">
        <v>14.95</v>
      </c>
      <c r="L29" s="80"/>
      <c r="M29" s="80">
        <v>112.11</v>
      </c>
      <c r="N29" s="80">
        <v>523</v>
      </c>
      <c r="O29" s="80">
        <f t="shared" si="0"/>
        <v>2555.9299999999998</v>
      </c>
      <c r="P29" s="80">
        <v>597.91999999999996</v>
      </c>
      <c r="Q29" s="80">
        <v>149.47999999999999</v>
      </c>
      <c r="R29" s="80">
        <v>37.369999999999997</v>
      </c>
      <c r="S29" s="80"/>
      <c r="T29" s="80"/>
      <c r="U29" s="80">
        <v>523</v>
      </c>
      <c r="V29" s="80">
        <f t="shared" si="1"/>
        <v>1307.77</v>
      </c>
      <c r="W29" s="80">
        <v>5849.77</v>
      </c>
      <c r="X29" s="80">
        <v>-45.6</v>
      </c>
      <c r="Y29" s="80"/>
      <c r="Z29" s="81">
        <f t="shared" si="2"/>
        <v>10356.68</v>
      </c>
      <c r="AB29" s="79" t="s">
        <v>261</v>
      </c>
      <c r="AC29" s="79" t="s">
        <v>134</v>
      </c>
      <c r="AD29" s="82">
        <v>9770.44</v>
      </c>
      <c r="AE29" s="79" t="s">
        <v>246</v>
      </c>
      <c r="AF29" s="82">
        <v>586.24</v>
      </c>
    </row>
    <row r="30" spans="1:32" s="79" customFormat="1" ht="11.4" x14ac:dyDescent="0.25">
      <c r="A30" s="79">
        <v>15</v>
      </c>
      <c r="B30" s="79" t="s">
        <v>347</v>
      </c>
      <c r="C30" s="79" t="s">
        <v>243</v>
      </c>
      <c r="D30" s="79" t="s">
        <v>244</v>
      </c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>
        <f t="shared" si="0"/>
        <v>0</v>
      </c>
      <c r="P30" s="80"/>
      <c r="Q30" s="80"/>
      <c r="R30" s="80"/>
      <c r="S30" s="80"/>
      <c r="T30" s="80"/>
      <c r="U30" s="80"/>
      <c r="V30" s="80">
        <f t="shared" si="1"/>
        <v>0</v>
      </c>
      <c r="W30" s="80"/>
      <c r="X30" s="80">
        <v>-11.99</v>
      </c>
      <c r="Y30" s="80"/>
      <c r="Z30" s="81">
        <f t="shared" si="2"/>
        <v>-11.99</v>
      </c>
      <c r="AB30" s="79" t="s">
        <v>348</v>
      </c>
      <c r="AC30" s="79" t="s">
        <v>349</v>
      </c>
      <c r="AD30" s="82">
        <v>-11.31</v>
      </c>
      <c r="AE30" s="79" t="s">
        <v>246</v>
      </c>
      <c r="AF30" s="82">
        <v>-0.68</v>
      </c>
    </row>
    <row r="31" spans="1:32" s="79" customFormat="1" ht="11.4" x14ac:dyDescent="0.25">
      <c r="A31" s="79">
        <v>16</v>
      </c>
      <c r="B31" s="79" t="s">
        <v>109</v>
      </c>
      <c r="C31" s="79" t="s">
        <v>243</v>
      </c>
      <c r="D31" s="79" t="s">
        <v>244</v>
      </c>
      <c r="E31" s="80">
        <v>621.6</v>
      </c>
      <c r="F31" s="80">
        <v>8261</v>
      </c>
      <c r="G31" s="80">
        <v>8261</v>
      </c>
      <c r="H31" s="80">
        <v>1321.76</v>
      </c>
      <c r="I31" s="80">
        <v>743.5</v>
      </c>
      <c r="J31" s="80">
        <v>41.31</v>
      </c>
      <c r="K31" s="80">
        <v>16.52</v>
      </c>
      <c r="L31" s="80"/>
      <c r="M31" s="80">
        <v>123.92</v>
      </c>
      <c r="N31" s="80">
        <v>578</v>
      </c>
      <c r="O31" s="80">
        <f t="shared" si="0"/>
        <v>2825.01</v>
      </c>
      <c r="P31" s="80">
        <v>660.88</v>
      </c>
      <c r="Q31" s="80">
        <v>165.22</v>
      </c>
      <c r="R31" s="80">
        <v>41.31</v>
      </c>
      <c r="S31" s="80"/>
      <c r="T31" s="80"/>
      <c r="U31" s="80">
        <v>578</v>
      </c>
      <c r="V31" s="80">
        <f t="shared" si="1"/>
        <v>1445.41</v>
      </c>
      <c r="W31" s="80">
        <v>4322.8900000000003</v>
      </c>
      <c r="X31" s="80">
        <v>-50.43</v>
      </c>
      <c r="Y31" s="80"/>
      <c r="Z31" s="81">
        <f t="shared" si="2"/>
        <v>9164.48</v>
      </c>
      <c r="AB31" s="79" t="s">
        <v>262</v>
      </c>
      <c r="AC31" s="79" t="s">
        <v>110</v>
      </c>
      <c r="AD31" s="82">
        <v>8645.73</v>
      </c>
      <c r="AE31" s="79" t="s">
        <v>246</v>
      </c>
      <c r="AF31" s="82">
        <v>518.75</v>
      </c>
    </row>
    <row r="32" spans="1:32" s="79" customFormat="1" ht="11.4" x14ac:dyDescent="0.25">
      <c r="A32" s="79">
        <v>17</v>
      </c>
      <c r="B32" s="79" t="s">
        <v>112</v>
      </c>
      <c r="C32" s="79" t="s">
        <v>243</v>
      </c>
      <c r="D32" s="79" t="s">
        <v>244</v>
      </c>
      <c r="E32" s="80">
        <v>511.59000000000003</v>
      </c>
      <c r="F32" s="80">
        <v>7384</v>
      </c>
      <c r="G32" s="80">
        <v>4686</v>
      </c>
      <c r="H32" s="80">
        <v>1181.44</v>
      </c>
      <c r="I32" s="80">
        <v>664.56</v>
      </c>
      <c r="J32" s="80">
        <v>36.92</v>
      </c>
      <c r="K32" s="80">
        <v>14.77</v>
      </c>
      <c r="L32" s="80"/>
      <c r="M32" s="80">
        <v>110.76</v>
      </c>
      <c r="N32" s="80">
        <v>328</v>
      </c>
      <c r="O32" s="80">
        <f t="shared" si="0"/>
        <v>2336.4499999999998</v>
      </c>
      <c r="P32" s="80">
        <v>590.72</v>
      </c>
      <c r="Q32" s="80">
        <v>147.68</v>
      </c>
      <c r="R32" s="80">
        <v>36.92</v>
      </c>
      <c r="S32" s="80"/>
      <c r="T32" s="80"/>
      <c r="U32" s="80">
        <v>328</v>
      </c>
      <c r="V32" s="80">
        <f t="shared" si="1"/>
        <v>1103.3200000000002</v>
      </c>
      <c r="W32" s="80">
        <v>3320</v>
      </c>
      <c r="X32" s="80">
        <v>-45.089999999999996</v>
      </c>
      <c r="Y32" s="80"/>
      <c r="Z32" s="81">
        <f t="shared" si="2"/>
        <v>7226.27</v>
      </c>
      <c r="AB32" s="79" t="s">
        <v>263</v>
      </c>
      <c r="AC32" s="79" t="s">
        <v>113</v>
      </c>
      <c r="AD32" s="82">
        <v>6817.22</v>
      </c>
      <c r="AE32" s="79" t="s">
        <v>246</v>
      </c>
      <c r="AF32" s="82">
        <v>409.05</v>
      </c>
    </row>
    <row r="33" spans="1:32" s="79" customFormat="1" ht="11.4" x14ac:dyDescent="0.25">
      <c r="A33" s="79">
        <v>18</v>
      </c>
      <c r="B33" s="79" t="s">
        <v>106</v>
      </c>
      <c r="C33" s="79" t="s">
        <v>243</v>
      </c>
      <c r="D33" s="79" t="s">
        <v>244</v>
      </c>
      <c r="E33" s="80">
        <v>1020.02</v>
      </c>
      <c r="F33" s="80">
        <v>16443</v>
      </c>
      <c r="G33" s="80">
        <v>16443</v>
      </c>
      <c r="H33" s="80">
        <v>2630.88</v>
      </c>
      <c r="I33" s="80">
        <v>1479.88</v>
      </c>
      <c r="J33" s="80">
        <v>82.22</v>
      </c>
      <c r="K33" s="80">
        <v>32.89</v>
      </c>
      <c r="L33" s="80"/>
      <c r="M33" s="80">
        <v>246.65</v>
      </c>
      <c r="N33" s="80">
        <v>1151</v>
      </c>
      <c r="O33" s="80">
        <f t="shared" si="0"/>
        <v>5623.52</v>
      </c>
      <c r="P33" s="80">
        <v>1315.44</v>
      </c>
      <c r="Q33" s="80">
        <v>328.86</v>
      </c>
      <c r="R33" s="80">
        <v>82.22</v>
      </c>
      <c r="S33" s="80"/>
      <c r="T33" s="80"/>
      <c r="U33" s="80">
        <v>1151</v>
      </c>
      <c r="V33" s="80">
        <f t="shared" si="1"/>
        <v>2877.5200000000004</v>
      </c>
      <c r="W33" s="80">
        <v>6732.68</v>
      </c>
      <c r="X33" s="80">
        <v>-100.36000000000001</v>
      </c>
      <c r="Y33" s="80"/>
      <c r="Z33" s="81">
        <f t="shared" si="2"/>
        <v>16153.380000000001</v>
      </c>
      <c r="AB33" s="79" t="s">
        <v>264</v>
      </c>
      <c r="AC33" s="79" t="s">
        <v>107</v>
      </c>
      <c r="AD33" s="82">
        <v>15239.05</v>
      </c>
      <c r="AE33" s="79" t="s">
        <v>246</v>
      </c>
      <c r="AF33" s="82">
        <v>914.33</v>
      </c>
    </row>
    <row r="34" spans="1:32" s="79" customFormat="1" ht="11.4" x14ac:dyDescent="0.25">
      <c r="A34" s="79">
        <v>19</v>
      </c>
      <c r="B34" s="79" t="s">
        <v>93</v>
      </c>
      <c r="C34" s="79" t="s">
        <v>243</v>
      </c>
      <c r="D34" s="79" t="s">
        <v>244</v>
      </c>
      <c r="E34" s="80">
        <v>831.08</v>
      </c>
      <c r="F34" s="80">
        <v>8707</v>
      </c>
      <c r="G34" s="80">
        <v>8707</v>
      </c>
      <c r="H34" s="80">
        <v>1393.12</v>
      </c>
      <c r="I34" s="80">
        <v>783.64</v>
      </c>
      <c r="J34" s="80">
        <v>43.54</v>
      </c>
      <c r="K34" s="80">
        <v>17.41</v>
      </c>
      <c r="L34" s="80"/>
      <c r="M34" s="80">
        <v>130.61000000000001</v>
      </c>
      <c r="N34" s="80">
        <v>609</v>
      </c>
      <c r="O34" s="80">
        <f t="shared" si="0"/>
        <v>2977.3199999999997</v>
      </c>
      <c r="P34" s="80">
        <v>696.56</v>
      </c>
      <c r="Q34" s="80">
        <v>174.14</v>
      </c>
      <c r="R34" s="80">
        <v>43.54</v>
      </c>
      <c r="S34" s="80"/>
      <c r="T34" s="80"/>
      <c r="U34" s="80">
        <v>609</v>
      </c>
      <c r="V34" s="80">
        <f t="shared" si="1"/>
        <v>1523.2399999999998</v>
      </c>
      <c r="W34" s="80">
        <v>7584.14</v>
      </c>
      <c r="X34" s="80">
        <v>-53.169999999999995</v>
      </c>
      <c r="Y34" s="80"/>
      <c r="Z34" s="81">
        <f t="shared" si="2"/>
        <v>12862.609999999999</v>
      </c>
      <c r="AB34" s="79" t="s">
        <v>265</v>
      </c>
      <c r="AC34" s="79" t="s">
        <v>94</v>
      </c>
      <c r="AD34" s="82">
        <v>12134.54</v>
      </c>
      <c r="AE34" s="79" t="s">
        <v>246</v>
      </c>
      <c r="AF34" s="82">
        <v>728.07</v>
      </c>
    </row>
    <row r="35" spans="1:32" s="79" customFormat="1" ht="11.4" x14ac:dyDescent="0.25">
      <c r="A35" s="79">
        <v>20</v>
      </c>
      <c r="B35" s="79" t="s">
        <v>130</v>
      </c>
      <c r="C35" s="79" t="s">
        <v>243</v>
      </c>
      <c r="D35" s="79" t="s">
        <v>244</v>
      </c>
      <c r="E35" s="80">
        <v>2331.0100000000002</v>
      </c>
      <c r="F35" s="80">
        <v>18040</v>
      </c>
      <c r="G35" s="80">
        <v>18040</v>
      </c>
      <c r="H35" s="80">
        <v>2886.4</v>
      </c>
      <c r="I35" s="80">
        <v>1623.6</v>
      </c>
      <c r="J35" s="80">
        <v>90.2</v>
      </c>
      <c r="K35" s="80">
        <v>36.08</v>
      </c>
      <c r="L35" s="80"/>
      <c r="M35" s="80">
        <v>270.60000000000002</v>
      </c>
      <c r="N35" s="80">
        <v>1263</v>
      </c>
      <c r="O35" s="80">
        <f t="shared" si="0"/>
        <v>6169.88</v>
      </c>
      <c r="P35" s="80">
        <v>1443.2</v>
      </c>
      <c r="Q35" s="80">
        <v>360.8</v>
      </c>
      <c r="R35" s="80">
        <v>90.2</v>
      </c>
      <c r="S35" s="80"/>
      <c r="T35" s="80"/>
      <c r="U35" s="80">
        <v>1263</v>
      </c>
      <c r="V35" s="80">
        <f t="shared" si="1"/>
        <v>3157.2</v>
      </c>
      <c r="W35" s="80">
        <v>27756.44</v>
      </c>
      <c r="X35" s="80">
        <v>-110.16</v>
      </c>
      <c r="Y35" s="80"/>
      <c r="Z35" s="81">
        <f t="shared" si="2"/>
        <v>39304.369999999995</v>
      </c>
      <c r="AB35" s="79" t="s">
        <v>266</v>
      </c>
      <c r="AC35" s="79" t="s">
        <v>131</v>
      </c>
      <c r="AD35" s="82">
        <v>37079.599999999999</v>
      </c>
      <c r="AE35" s="79" t="s">
        <v>246</v>
      </c>
      <c r="AF35" s="82">
        <v>2224.77</v>
      </c>
    </row>
    <row r="36" spans="1:32" s="79" customFormat="1" ht="11.4" x14ac:dyDescent="0.25">
      <c r="A36" s="79">
        <v>21</v>
      </c>
      <c r="B36" s="79" t="s">
        <v>142</v>
      </c>
      <c r="C36" s="79" t="s">
        <v>243</v>
      </c>
      <c r="D36" s="79" t="s">
        <v>244</v>
      </c>
      <c r="E36" s="80">
        <v>810.73</v>
      </c>
      <c r="F36" s="80">
        <v>8102</v>
      </c>
      <c r="G36" s="80">
        <v>8102</v>
      </c>
      <c r="H36" s="80">
        <v>1296.32</v>
      </c>
      <c r="I36" s="80">
        <v>729.18</v>
      </c>
      <c r="J36" s="80">
        <v>40.51</v>
      </c>
      <c r="K36" s="80">
        <v>16.2</v>
      </c>
      <c r="L36" s="80"/>
      <c r="M36" s="80">
        <v>121.53</v>
      </c>
      <c r="N36" s="80">
        <v>567</v>
      </c>
      <c r="O36" s="80">
        <f t="shared" si="0"/>
        <v>2770.7400000000002</v>
      </c>
      <c r="P36" s="80">
        <v>648.16</v>
      </c>
      <c r="Q36" s="80">
        <v>162.04</v>
      </c>
      <c r="R36" s="80">
        <v>40.51</v>
      </c>
      <c r="S36" s="80"/>
      <c r="T36" s="80"/>
      <c r="U36" s="80">
        <v>567</v>
      </c>
      <c r="V36" s="80">
        <f t="shared" si="1"/>
        <v>1417.71</v>
      </c>
      <c r="W36" s="80">
        <v>7557</v>
      </c>
      <c r="X36" s="80">
        <v>-49.48</v>
      </c>
      <c r="Y36" s="80"/>
      <c r="Z36" s="81">
        <f t="shared" si="2"/>
        <v>12506.7</v>
      </c>
      <c r="AB36" s="79" t="s">
        <v>267</v>
      </c>
      <c r="AC36" s="79" t="s">
        <v>143</v>
      </c>
      <c r="AD36" s="82">
        <v>11798.78</v>
      </c>
      <c r="AE36" s="79" t="s">
        <v>246</v>
      </c>
      <c r="AF36" s="82">
        <v>707.92</v>
      </c>
    </row>
    <row r="37" spans="1:32" s="79" customFormat="1" ht="11.4" x14ac:dyDescent="0.25">
      <c r="A37" s="79">
        <v>22</v>
      </c>
      <c r="B37" s="79" t="s">
        <v>160</v>
      </c>
      <c r="C37" s="79" t="s">
        <v>243</v>
      </c>
      <c r="D37" s="79" t="s">
        <v>244</v>
      </c>
      <c r="E37" s="80">
        <v>766.91</v>
      </c>
      <c r="F37" s="80">
        <v>7974</v>
      </c>
      <c r="G37" s="80">
        <v>7974</v>
      </c>
      <c r="H37" s="80">
        <v>1275.8399999999999</v>
      </c>
      <c r="I37" s="80">
        <v>717.66</v>
      </c>
      <c r="J37" s="80">
        <v>39.869999999999997</v>
      </c>
      <c r="K37" s="80">
        <v>15.95</v>
      </c>
      <c r="L37" s="80"/>
      <c r="M37" s="80">
        <v>119.61</v>
      </c>
      <c r="N37" s="80">
        <v>558</v>
      </c>
      <c r="O37" s="80">
        <f t="shared" si="0"/>
        <v>2726.93</v>
      </c>
      <c r="P37" s="80">
        <v>637.91999999999996</v>
      </c>
      <c r="Q37" s="80">
        <v>159.47999999999999</v>
      </c>
      <c r="R37" s="80">
        <v>39.869999999999997</v>
      </c>
      <c r="S37" s="80"/>
      <c r="T37" s="80"/>
      <c r="U37" s="80">
        <v>558</v>
      </c>
      <c r="V37" s="80">
        <f t="shared" si="1"/>
        <v>1395.27</v>
      </c>
      <c r="W37" s="80">
        <v>6892.93</v>
      </c>
      <c r="X37" s="80">
        <v>-48.65</v>
      </c>
      <c r="Y37" s="80"/>
      <c r="Z37" s="81">
        <f t="shared" si="2"/>
        <v>11733.390000000001</v>
      </c>
      <c r="AB37" s="79" t="s">
        <v>268</v>
      </c>
      <c r="AC37" s="79" t="s">
        <v>161</v>
      </c>
      <c r="AD37" s="82">
        <v>11069.22</v>
      </c>
      <c r="AE37" s="79" t="s">
        <v>246</v>
      </c>
      <c r="AF37" s="82">
        <v>664.17</v>
      </c>
    </row>
    <row r="38" spans="1:32" s="79" customFormat="1" ht="11.4" x14ac:dyDescent="0.25">
      <c r="A38" s="79">
        <v>23</v>
      </c>
      <c r="B38" s="79" t="s">
        <v>97</v>
      </c>
      <c r="C38" s="79" t="s">
        <v>243</v>
      </c>
      <c r="D38" s="79" t="s">
        <v>244</v>
      </c>
      <c r="E38" s="80">
        <v>580.89</v>
      </c>
      <c r="F38" s="80">
        <v>8888</v>
      </c>
      <c r="G38" s="80">
        <v>8888</v>
      </c>
      <c r="H38" s="80">
        <v>1422.08</v>
      </c>
      <c r="I38" s="80">
        <v>799.92</v>
      </c>
      <c r="J38" s="80">
        <v>44.44</v>
      </c>
      <c r="K38" s="80">
        <v>17.78</v>
      </c>
      <c r="L38" s="80"/>
      <c r="M38" s="80">
        <v>133.32</v>
      </c>
      <c r="N38" s="80">
        <v>622</v>
      </c>
      <c r="O38" s="80">
        <f t="shared" si="0"/>
        <v>3039.5400000000004</v>
      </c>
      <c r="P38" s="80">
        <v>711.04</v>
      </c>
      <c r="Q38" s="80">
        <v>177.76</v>
      </c>
      <c r="R38" s="80">
        <v>44.44</v>
      </c>
      <c r="S38" s="80"/>
      <c r="T38" s="80"/>
      <c r="U38" s="80">
        <v>622</v>
      </c>
      <c r="V38" s="80">
        <f t="shared" si="1"/>
        <v>1555.24</v>
      </c>
      <c r="W38" s="80">
        <v>3320</v>
      </c>
      <c r="X38" s="80">
        <v>-54.25</v>
      </c>
      <c r="Y38" s="80"/>
      <c r="Z38" s="81">
        <f t="shared" si="2"/>
        <v>8441.42</v>
      </c>
      <c r="AB38" s="79" t="s">
        <v>269</v>
      </c>
      <c r="AC38" s="79" t="s">
        <v>98</v>
      </c>
      <c r="AD38" s="82">
        <v>7963.59</v>
      </c>
      <c r="AE38" s="79" t="s">
        <v>246</v>
      </c>
      <c r="AF38" s="82">
        <v>477.83</v>
      </c>
    </row>
    <row r="39" spans="1:32" s="79" customFormat="1" ht="11.4" x14ac:dyDescent="0.25">
      <c r="A39" s="79">
        <v>24</v>
      </c>
      <c r="B39" s="79" t="s">
        <v>121</v>
      </c>
      <c r="C39" s="79" t="s">
        <v>243</v>
      </c>
      <c r="D39" s="79" t="s">
        <v>244</v>
      </c>
      <c r="E39" s="80">
        <v>731.84</v>
      </c>
      <c r="F39" s="80">
        <v>8472</v>
      </c>
      <c r="G39" s="80">
        <v>8472</v>
      </c>
      <c r="H39" s="80">
        <v>1355.52</v>
      </c>
      <c r="I39" s="80">
        <v>762.48</v>
      </c>
      <c r="J39" s="80">
        <v>42.36</v>
      </c>
      <c r="K39" s="80">
        <v>16.940000000000001</v>
      </c>
      <c r="L39" s="80"/>
      <c r="M39" s="80">
        <v>127.08</v>
      </c>
      <c r="N39" s="80">
        <v>593</v>
      </c>
      <c r="O39" s="80">
        <f t="shared" si="0"/>
        <v>2897.38</v>
      </c>
      <c r="P39" s="80">
        <v>677.76</v>
      </c>
      <c r="Q39" s="80">
        <v>169.44</v>
      </c>
      <c r="R39" s="80">
        <v>42.36</v>
      </c>
      <c r="S39" s="80"/>
      <c r="T39" s="80"/>
      <c r="U39" s="80">
        <v>593</v>
      </c>
      <c r="V39" s="80">
        <f t="shared" si="1"/>
        <v>1482.56</v>
      </c>
      <c r="W39" s="80">
        <v>6050.74</v>
      </c>
      <c r="X39" s="80">
        <v>-51.71</v>
      </c>
      <c r="Y39" s="80"/>
      <c r="Z39" s="81">
        <f t="shared" si="2"/>
        <v>11110.810000000001</v>
      </c>
      <c r="AB39" s="79" t="s">
        <v>270</v>
      </c>
      <c r="AC39" s="79" t="s">
        <v>122</v>
      </c>
      <c r="AD39" s="82">
        <v>10481.9</v>
      </c>
      <c r="AE39" s="79" t="s">
        <v>246</v>
      </c>
      <c r="AF39" s="82">
        <v>628.91</v>
      </c>
    </row>
    <row r="40" spans="1:32" s="79" customFormat="1" ht="11.4" x14ac:dyDescent="0.25">
      <c r="A40" s="79">
        <v>25</v>
      </c>
      <c r="B40" s="79" t="s">
        <v>148</v>
      </c>
      <c r="C40" s="79" t="s">
        <v>243</v>
      </c>
      <c r="D40" s="79" t="s">
        <v>244</v>
      </c>
      <c r="E40" s="80">
        <v>746.79</v>
      </c>
      <c r="F40" s="80">
        <v>7759</v>
      </c>
      <c r="G40" s="80">
        <v>7759</v>
      </c>
      <c r="H40" s="80">
        <v>1241.44</v>
      </c>
      <c r="I40" s="80">
        <v>698.32</v>
      </c>
      <c r="J40" s="80">
        <v>38.799999999999997</v>
      </c>
      <c r="K40" s="80">
        <v>15.52</v>
      </c>
      <c r="L40" s="80"/>
      <c r="M40" s="80">
        <v>116.39</v>
      </c>
      <c r="N40" s="80">
        <v>543</v>
      </c>
      <c r="O40" s="80">
        <f t="shared" si="0"/>
        <v>2653.4700000000003</v>
      </c>
      <c r="P40" s="80">
        <v>620.72</v>
      </c>
      <c r="Q40" s="80">
        <v>155.18</v>
      </c>
      <c r="R40" s="80">
        <v>38.799999999999997</v>
      </c>
      <c r="S40" s="80"/>
      <c r="T40" s="80"/>
      <c r="U40" s="80">
        <v>543</v>
      </c>
      <c r="V40" s="80">
        <f t="shared" si="1"/>
        <v>1357.7</v>
      </c>
      <c r="W40" s="80">
        <v>6668.62</v>
      </c>
      <c r="X40" s="80">
        <v>-47.38</v>
      </c>
      <c r="Y40" s="80"/>
      <c r="Z40" s="81">
        <f t="shared" si="2"/>
        <v>11379.2</v>
      </c>
      <c r="AB40" s="79" t="s">
        <v>271</v>
      </c>
      <c r="AC40" s="79" t="s">
        <v>149</v>
      </c>
      <c r="AD40" s="82">
        <v>10735.09</v>
      </c>
      <c r="AE40" s="79" t="s">
        <v>246</v>
      </c>
      <c r="AF40" s="82">
        <v>644.11</v>
      </c>
    </row>
    <row r="41" spans="1:32" s="79" customFormat="1" ht="11.4" x14ac:dyDescent="0.25">
      <c r="A41" s="79">
        <v>26</v>
      </c>
      <c r="B41" s="79" t="s">
        <v>172</v>
      </c>
      <c r="C41" s="79" t="s">
        <v>243</v>
      </c>
      <c r="D41" s="79" t="s">
        <v>244</v>
      </c>
      <c r="E41" s="80">
        <v>808.36</v>
      </c>
      <c r="F41" s="80">
        <v>7384</v>
      </c>
      <c r="G41" s="80">
        <v>5239</v>
      </c>
      <c r="H41" s="80">
        <v>1181.44</v>
      </c>
      <c r="I41" s="80">
        <v>664.56</v>
      </c>
      <c r="J41" s="80">
        <v>36.92</v>
      </c>
      <c r="K41" s="80">
        <v>14.77</v>
      </c>
      <c r="L41" s="80"/>
      <c r="M41" s="80">
        <v>110.76</v>
      </c>
      <c r="N41" s="80">
        <v>367</v>
      </c>
      <c r="O41" s="80">
        <f t="shared" si="0"/>
        <v>2375.4499999999998</v>
      </c>
      <c r="P41" s="80">
        <v>590.72</v>
      </c>
      <c r="Q41" s="80">
        <v>147.68</v>
      </c>
      <c r="R41" s="80">
        <v>36.92</v>
      </c>
      <c r="S41" s="80"/>
      <c r="T41" s="80"/>
      <c r="U41" s="80">
        <v>367</v>
      </c>
      <c r="V41" s="80">
        <f t="shared" si="1"/>
        <v>1142.3200000000002</v>
      </c>
      <c r="W41" s="80">
        <v>8188.23</v>
      </c>
      <c r="X41" s="80">
        <v>-45.089999999999996</v>
      </c>
      <c r="Y41" s="80"/>
      <c r="Z41" s="81">
        <f t="shared" si="2"/>
        <v>12469.27</v>
      </c>
      <c r="AB41" s="79" t="s">
        <v>272</v>
      </c>
      <c r="AC41" s="79" t="s">
        <v>173</v>
      </c>
      <c r="AD41" s="82">
        <v>11763.45</v>
      </c>
      <c r="AE41" s="79" t="s">
        <v>246</v>
      </c>
      <c r="AF41" s="82">
        <v>705.82</v>
      </c>
    </row>
    <row r="42" spans="1:32" s="79" customFormat="1" ht="11.4" x14ac:dyDescent="0.25">
      <c r="A42" s="79">
        <v>27</v>
      </c>
      <c r="B42" s="79" t="s">
        <v>127</v>
      </c>
      <c r="C42" s="79" t="s">
        <v>243</v>
      </c>
      <c r="D42" s="79" t="s">
        <v>244</v>
      </c>
      <c r="E42" s="80">
        <v>615.01</v>
      </c>
      <c r="F42" s="80">
        <v>7384</v>
      </c>
      <c r="G42" s="80">
        <v>6830</v>
      </c>
      <c r="H42" s="80">
        <v>1181.44</v>
      </c>
      <c r="I42" s="80">
        <v>664.56</v>
      </c>
      <c r="J42" s="80">
        <v>36.92</v>
      </c>
      <c r="K42" s="80">
        <v>14.77</v>
      </c>
      <c r="L42" s="80"/>
      <c r="M42" s="80">
        <v>110.76</v>
      </c>
      <c r="N42" s="80">
        <v>478</v>
      </c>
      <c r="O42" s="80">
        <f t="shared" si="0"/>
        <v>2486.4499999999998</v>
      </c>
      <c r="P42" s="80">
        <v>590.72</v>
      </c>
      <c r="Q42" s="80">
        <v>147.68</v>
      </c>
      <c r="R42" s="80">
        <v>36.92</v>
      </c>
      <c r="S42" s="80"/>
      <c r="T42" s="80"/>
      <c r="U42" s="80">
        <v>478</v>
      </c>
      <c r="V42" s="80">
        <f t="shared" si="1"/>
        <v>1253.3200000000002</v>
      </c>
      <c r="W42" s="80">
        <v>4743.6400000000003</v>
      </c>
      <c r="X42" s="80">
        <v>-45.089999999999996</v>
      </c>
      <c r="Y42" s="80"/>
      <c r="Z42" s="81">
        <f t="shared" si="2"/>
        <v>9053.3300000000017</v>
      </c>
      <c r="AB42" s="79" t="s">
        <v>273</v>
      </c>
      <c r="AC42" s="79" t="s">
        <v>128</v>
      </c>
      <c r="AD42" s="82">
        <v>8540.86</v>
      </c>
      <c r="AE42" s="79" t="s">
        <v>246</v>
      </c>
      <c r="AF42" s="82">
        <v>512.47</v>
      </c>
    </row>
    <row r="43" spans="1:32" s="79" customFormat="1" ht="11.4" x14ac:dyDescent="0.25">
      <c r="A43" s="79">
        <v>28</v>
      </c>
      <c r="B43" s="79" t="s">
        <v>103</v>
      </c>
      <c r="C43" s="79" t="s">
        <v>243</v>
      </c>
      <c r="D43" s="79" t="s">
        <v>244</v>
      </c>
      <c r="E43" s="80">
        <v>881.63</v>
      </c>
      <c r="F43" s="80">
        <v>10979</v>
      </c>
      <c r="G43" s="80">
        <v>10979</v>
      </c>
      <c r="H43" s="80">
        <v>1756.64</v>
      </c>
      <c r="I43" s="80">
        <v>988.12</v>
      </c>
      <c r="J43" s="80">
        <v>54.9</v>
      </c>
      <c r="K43" s="80">
        <v>21.96</v>
      </c>
      <c r="L43" s="80"/>
      <c r="M43" s="80">
        <v>164.69</v>
      </c>
      <c r="N43" s="80">
        <v>769</v>
      </c>
      <c r="O43" s="80">
        <f t="shared" si="0"/>
        <v>3755.3100000000004</v>
      </c>
      <c r="P43" s="80">
        <v>878.32</v>
      </c>
      <c r="Q43" s="80">
        <v>219.58</v>
      </c>
      <c r="R43" s="80">
        <v>54.9</v>
      </c>
      <c r="S43" s="80"/>
      <c r="T43" s="80"/>
      <c r="U43" s="80">
        <v>769</v>
      </c>
      <c r="V43" s="80">
        <f t="shared" si="1"/>
        <v>1921.8000000000002</v>
      </c>
      <c r="W43" s="80">
        <v>7250.02</v>
      </c>
      <c r="X43" s="80">
        <v>-67.03</v>
      </c>
      <c r="Y43" s="80"/>
      <c r="Z43" s="81">
        <f t="shared" si="2"/>
        <v>13741.730000000001</v>
      </c>
      <c r="AB43" s="79" t="s">
        <v>274</v>
      </c>
      <c r="AC43" s="79" t="s">
        <v>104</v>
      </c>
      <c r="AD43" s="82">
        <v>12963.9</v>
      </c>
      <c r="AE43" s="79" t="s">
        <v>246</v>
      </c>
      <c r="AF43" s="82">
        <v>777.83</v>
      </c>
    </row>
    <row r="44" spans="1:32" s="79" customFormat="1" ht="11.4" x14ac:dyDescent="0.25">
      <c r="A44" s="79">
        <v>29</v>
      </c>
      <c r="B44" s="79" t="s">
        <v>166</v>
      </c>
      <c r="C44" s="79" t="s">
        <v>243</v>
      </c>
      <c r="D44" s="79" t="s">
        <v>244</v>
      </c>
      <c r="E44" s="80">
        <v>674.66</v>
      </c>
      <c r="F44" s="80">
        <v>11909</v>
      </c>
      <c r="G44" s="80">
        <v>11909</v>
      </c>
      <c r="H44" s="80">
        <v>1905.44</v>
      </c>
      <c r="I44" s="80">
        <v>1071.82</v>
      </c>
      <c r="J44" s="80">
        <v>59.55</v>
      </c>
      <c r="K44" s="80">
        <v>23.82</v>
      </c>
      <c r="L44" s="80"/>
      <c r="M44" s="80">
        <v>178.64</v>
      </c>
      <c r="N44" s="80">
        <v>834</v>
      </c>
      <c r="O44" s="80">
        <f t="shared" si="0"/>
        <v>4073.2700000000004</v>
      </c>
      <c r="P44" s="80">
        <v>952.72</v>
      </c>
      <c r="Q44" s="80">
        <v>238.18</v>
      </c>
      <c r="R44" s="80">
        <v>59.55</v>
      </c>
      <c r="S44" s="80"/>
      <c r="T44" s="80"/>
      <c r="U44" s="80">
        <v>834</v>
      </c>
      <c r="V44" s="80">
        <f t="shared" si="1"/>
        <v>2084.4499999999998</v>
      </c>
      <c r="W44" s="80">
        <v>3320</v>
      </c>
      <c r="X44" s="80">
        <v>-72.760000000000005</v>
      </c>
      <c r="Y44" s="80"/>
      <c r="Z44" s="81">
        <f t="shared" si="2"/>
        <v>10079.620000000001</v>
      </c>
      <c r="AB44" s="79" t="s">
        <v>275</v>
      </c>
      <c r="AC44" s="79" t="s">
        <v>167</v>
      </c>
      <c r="AD44" s="82">
        <v>9509.08</v>
      </c>
      <c r="AE44" s="79" t="s">
        <v>246</v>
      </c>
      <c r="AF44" s="82">
        <v>570.54</v>
      </c>
    </row>
    <row r="45" spans="1:32" s="79" customFormat="1" ht="11.4" x14ac:dyDescent="0.25">
      <c r="A45" s="79">
        <v>30</v>
      </c>
      <c r="B45" s="79" t="s">
        <v>350</v>
      </c>
      <c r="C45" s="79" t="s">
        <v>243</v>
      </c>
      <c r="D45" s="79" t="s">
        <v>244</v>
      </c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>
        <f t="shared" si="0"/>
        <v>0</v>
      </c>
      <c r="P45" s="80"/>
      <c r="Q45" s="80"/>
      <c r="R45" s="80"/>
      <c r="S45" s="80"/>
      <c r="T45" s="80"/>
      <c r="U45" s="80"/>
      <c r="V45" s="80">
        <f t="shared" si="1"/>
        <v>0</v>
      </c>
      <c r="W45" s="80"/>
      <c r="X45" s="80">
        <v>-22.74</v>
      </c>
      <c r="Y45" s="80"/>
      <c r="Z45" s="81">
        <f>SUM(E45,O45,V45:Y45)</f>
        <v>-22.74</v>
      </c>
      <c r="AB45" s="79" t="s">
        <v>351</v>
      </c>
      <c r="AC45" s="79" t="s">
        <v>352</v>
      </c>
      <c r="AD45" s="82">
        <v>-21.45</v>
      </c>
      <c r="AE45" s="79" t="s">
        <v>246</v>
      </c>
      <c r="AF45" s="82">
        <v>-1.29</v>
      </c>
    </row>
    <row r="46" spans="1:32" s="79" customFormat="1" ht="11.4" x14ac:dyDescent="0.25">
      <c r="A46" s="79" t="s">
        <v>276</v>
      </c>
      <c r="E46" s="80">
        <f>SUM(E16:E45)</f>
        <v>24414.71</v>
      </c>
      <c r="F46" s="80"/>
      <c r="G46" s="80"/>
      <c r="H46" s="80">
        <f t="shared" ref="H46:Z46" si="3">SUM(H16:H45)</f>
        <v>44126.080000000002</v>
      </c>
      <c r="I46" s="80">
        <f t="shared" si="3"/>
        <v>24821.039999999997</v>
      </c>
      <c r="J46" s="80">
        <f t="shared" si="3"/>
        <v>1379.0000000000002</v>
      </c>
      <c r="K46" s="80">
        <f t="shared" si="3"/>
        <v>551.58999999999992</v>
      </c>
      <c r="L46" s="80">
        <f t="shared" si="3"/>
        <v>0</v>
      </c>
      <c r="M46" s="80">
        <f t="shared" si="3"/>
        <v>4136.880000000001</v>
      </c>
      <c r="N46" s="80">
        <f t="shared" si="3"/>
        <v>18738</v>
      </c>
      <c r="O46" s="80">
        <f t="shared" si="3"/>
        <v>93752.59</v>
      </c>
      <c r="P46" s="80">
        <f t="shared" si="3"/>
        <v>22063.040000000001</v>
      </c>
      <c r="Q46" s="80">
        <f t="shared" si="3"/>
        <v>5515.76</v>
      </c>
      <c r="R46" s="80">
        <f t="shared" si="3"/>
        <v>1379.0000000000002</v>
      </c>
      <c r="S46" s="80">
        <f t="shared" si="3"/>
        <v>0</v>
      </c>
      <c r="T46" s="80">
        <f t="shared" si="3"/>
        <v>0</v>
      </c>
      <c r="U46" s="80">
        <f t="shared" si="3"/>
        <v>18738</v>
      </c>
      <c r="V46" s="80">
        <f t="shared" si="3"/>
        <v>47695.799999999988</v>
      </c>
      <c r="W46" s="80">
        <f t="shared" si="3"/>
        <v>215996.34000000003</v>
      </c>
      <c r="X46" s="80">
        <f t="shared" si="3"/>
        <v>-1660.13</v>
      </c>
      <c r="Y46" s="80">
        <f t="shared" si="3"/>
        <v>0</v>
      </c>
      <c r="Z46" s="81">
        <f t="shared" si="3"/>
        <v>380199.31</v>
      </c>
      <c r="AD46" s="82">
        <f>SUM(AD16:AD45)</f>
        <v>358678.51000000007</v>
      </c>
      <c r="AF46" s="82">
        <f>SUM(AF16:AF45)</f>
        <v>21520.800000000003</v>
      </c>
    </row>
    <row r="47" spans="1:32" s="79" customFormat="1" ht="11.4" x14ac:dyDescent="0.25">
      <c r="A47" s="84" t="s">
        <v>353</v>
      </c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5">
        <v>380199.31</v>
      </c>
      <c r="AD47" s="82"/>
      <c r="AF47" s="82"/>
    </row>
    <row r="48" spans="1:32" s="88" customFormat="1" ht="11.4" x14ac:dyDescent="0.25">
      <c r="A48" s="87" t="s">
        <v>354</v>
      </c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D48" s="89"/>
      <c r="AF48" s="89"/>
    </row>
    <row r="49" spans="1:32" s="71" customFormat="1" ht="60" customHeight="1" x14ac:dyDescent="0.15">
      <c r="A49" s="71" t="s">
        <v>0</v>
      </c>
      <c r="B49" s="71" t="s">
        <v>3</v>
      </c>
      <c r="C49" s="71" t="s">
        <v>203</v>
      </c>
      <c r="D49" s="71" t="s">
        <v>204</v>
      </c>
      <c r="E49" s="72" t="s">
        <v>206</v>
      </c>
      <c r="F49" s="123" t="s">
        <v>208</v>
      </c>
      <c r="G49" s="124"/>
      <c r="H49" s="124"/>
      <c r="I49" s="124"/>
      <c r="J49" s="125"/>
      <c r="K49" s="72" t="s">
        <v>210</v>
      </c>
      <c r="L49" s="123" t="s">
        <v>211</v>
      </c>
      <c r="M49" s="124"/>
      <c r="N49" s="124"/>
      <c r="O49" s="124"/>
      <c r="P49" s="125"/>
      <c r="Q49" s="72" t="s">
        <v>213</v>
      </c>
      <c r="R49" s="72" t="s">
        <v>215</v>
      </c>
      <c r="S49" s="74" t="s">
        <v>40</v>
      </c>
      <c r="T49" s="72" t="s">
        <v>216</v>
      </c>
      <c r="U49" s="72" t="s">
        <v>217</v>
      </c>
      <c r="V49" s="72" t="s">
        <v>218</v>
      </c>
      <c r="W49" s="72" t="s">
        <v>219</v>
      </c>
      <c r="X49" s="72" t="s">
        <v>220</v>
      </c>
      <c r="Y49" s="72" t="s">
        <v>39</v>
      </c>
      <c r="Z49" s="72"/>
      <c r="AD49" s="72"/>
      <c r="AF49" s="72"/>
    </row>
    <row r="50" spans="1:32" s="75" customFormat="1" ht="60" customHeight="1" x14ac:dyDescent="0.25">
      <c r="A50" s="75" t="s">
        <v>221</v>
      </c>
      <c r="B50" s="75" t="s">
        <v>44</v>
      </c>
      <c r="C50" s="75" t="s">
        <v>222</v>
      </c>
      <c r="D50" s="75" t="s">
        <v>223</v>
      </c>
      <c r="E50" s="76" t="s">
        <v>225</v>
      </c>
      <c r="F50" s="77" t="s">
        <v>227</v>
      </c>
      <c r="G50" s="77" t="s">
        <v>228</v>
      </c>
      <c r="H50" s="77" t="s">
        <v>229</v>
      </c>
      <c r="I50" s="77" t="s">
        <v>230</v>
      </c>
      <c r="J50" s="77" t="s">
        <v>231</v>
      </c>
      <c r="K50" s="76" t="s">
        <v>234</v>
      </c>
      <c r="L50" s="77" t="s">
        <v>227</v>
      </c>
      <c r="M50" s="77" t="s">
        <v>228</v>
      </c>
      <c r="N50" s="77" t="s">
        <v>229</v>
      </c>
      <c r="O50" s="77" t="s">
        <v>230</v>
      </c>
      <c r="P50" s="77" t="s">
        <v>231</v>
      </c>
      <c r="Q50" s="76" t="s">
        <v>235</v>
      </c>
      <c r="R50" s="76" t="s">
        <v>237</v>
      </c>
      <c r="S50" s="78" t="s">
        <v>89</v>
      </c>
      <c r="T50" s="76" t="s">
        <v>238</v>
      </c>
      <c r="U50" s="76" t="s">
        <v>239</v>
      </c>
      <c r="V50" s="76" t="s">
        <v>240</v>
      </c>
      <c r="W50" s="76" t="s">
        <v>241</v>
      </c>
      <c r="X50" s="76" t="s">
        <v>242</v>
      </c>
      <c r="Y50" s="76" t="s">
        <v>90</v>
      </c>
      <c r="Z50" s="76"/>
      <c r="AD50" s="76"/>
      <c r="AF50" s="76"/>
    </row>
    <row r="51" spans="1:32" s="79" customFormat="1" ht="11.4" x14ac:dyDescent="0.25">
      <c r="A51" s="79">
        <v>1</v>
      </c>
      <c r="B51" s="79" t="s">
        <v>151</v>
      </c>
      <c r="C51" s="79" t="s">
        <v>355</v>
      </c>
      <c r="D51" s="79" t="s">
        <v>244</v>
      </c>
      <c r="E51" s="80"/>
      <c r="F51" s="80"/>
      <c r="G51" s="80"/>
      <c r="H51" s="80"/>
      <c r="I51" s="80">
        <v>-9.64</v>
      </c>
      <c r="J51" s="80"/>
      <c r="K51" s="80">
        <f t="shared" ref="K51:K114" si="4">SUM(F51:J51)</f>
        <v>-9.64</v>
      </c>
      <c r="L51" s="80"/>
      <c r="M51" s="80"/>
      <c r="N51" s="80"/>
      <c r="O51" s="80"/>
      <c r="P51" s="80"/>
      <c r="Q51" s="80">
        <f t="shared" ref="Q51:Q114" si="5">SUM(L51:P51)</f>
        <v>0</v>
      </c>
      <c r="R51" s="80"/>
      <c r="S51" s="81">
        <f t="shared" ref="S51:S114" si="6">SUM(K51,Q51:R51)</f>
        <v>-9.64</v>
      </c>
      <c r="U51" s="79" t="s">
        <v>245</v>
      </c>
      <c r="V51" s="79" t="s">
        <v>152</v>
      </c>
      <c r="W51" s="82">
        <v>-9.64</v>
      </c>
      <c r="X51" s="79" t="s">
        <v>246</v>
      </c>
      <c r="Y51" s="82">
        <v>-0.57999999999999996</v>
      </c>
      <c r="Z51" s="82"/>
      <c r="AD51" s="82"/>
      <c r="AF51" s="82"/>
    </row>
    <row r="52" spans="1:32" s="79" customFormat="1" ht="11.4" x14ac:dyDescent="0.25">
      <c r="B52" s="79" t="s">
        <v>151</v>
      </c>
      <c r="C52" s="79" t="s">
        <v>356</v>
      </c>
      <c r="D52" s="79" t="s">
        <v>244</v>
      </c>
      <c r="E52" s="80"/>
      <c r="F52" s="80"/>
      <c r="G52" s="80"/>
      <c r="H52" s="80"/>
      <c r="I52" s="80">
        <v>-9.64</v>
      </c>
      <c r="J52" s="80"/>
      <c r="K52" s="80">
        <f t="shared" si="4"/>
        <v>-9.64</v>
      </c>
      <c r="L52" s="80"/>
      <c r="M52" s="80"/>
      <c r="N52" s="80"/>
      <c r="O52" s="80"/>
      <c r="P52" s="80"/>
      <c r="Q52" s="80">
        <f t="shared" si="5"/>
        <v>0</v>
      </c>
      <c r="R52" s="80"/>
      <c r="S52" s="81">
        <f t="shared" si="6"/>
        <v>-9.64</v>
      </c>
      <c r="U52" s="79" t="s">
        <v>245</v>
      </c>
      <c r="V52" s="79" t="s">
        <v>152</v>
      </c>
      <c r="W52" s="82">
        <v>-9.64</v>
      </c>
      <c r="X52" s="79" t="s">
        <v>246</v>
      </c>
      <c r="Y52" s="82">
        <v>-0.57999999999999996</v>
      </c>
      <c r="Z52" s="82"/>
      <c r="AD52" s="82"/>
      <c r="AF52" s="82"/>
    </row>
    <row r="53" spans="1:32" s="79" customFormat="1" ht="11.4" x14ac:dyDescent="0.25">
      <c r="B53" s="79" t="s">
        <v>151</v>
      </c>
      <c r="C53" s="79" t="s">
        <v>357</v>
      </c>
      <c r="D53" s="79" t="s">
        <v>244</v>
      </c>
      <c r="E53" s="80"/>
      <c r="F53" s="80"/>
      <c r="G53" s="80"/>
      <c r="H53" s="80"/>
      <c r="I53" s="80">
        <v>-9.64</v>
      </c>
      <c r="J53" s="80"/>
      <c r="K53" s="80">
        <f t="shared" si="4"/>
        <v>-9.64</v>
      </c>
      <c r="L53" s="80"/>
      <c r="M53" s="80"/>
      <c r="N53" s="80"/>
      <c r="O53" s="80"/>
      <c r="P53" s="80"/>
      <c r="Q53" s="80">
        <f t="shared" si="5"/>
        <v>0</v>
      </c>
      <c r="R53" s="80"/>
      <c r="S53" s="81">
        <f t="shared" si="6"/>
        <v>-9.64</v>
      </c>
      <c r="U53" s="79" t="s">
        <v>245</v>
      </c>
      <c r="V53" s="79" t="s">
        <v>152</v>
      </c>
      <c r="W53" s="82">
        <v>-9.64</v>
      </c>
      <c r="X53" s="79" t="s">
        <v>246</v>
      </c>
      <c r="Y53" s="82">
        <v>-0.57999999999999996</v>
      </c>
      <c r="Z53" s="82"/>
      <c r="AD53" s="82"/>
      <c r="AF53" s="82"/>
    </row>
    <row r="54" spans="1:32" s="79" customFormat="1" ht="11.4" x14ac:dyDescent="0.25">
      <c r="B54" s="79" t="s">
        <v>151</v>
      </c>
      <c r="C54" s="79" t="s">
        <v>358</v>
      </c>
      <c r="D54" s="79" t="s">
        <v>244</v>
      </c>
      <c r="E54" s="80"/>
      <c r="F54" s="80"/>
      <c r="G54" s="80"/>
      <c r="H54" s="80"/>
      <c r="I54" s="80">
        <v>-9.64</v>
      </c>
      <c r="J54" s="80"/>
      <c r="K54" s="80">
        <f t="shared" si="4"/>
        <v>-9.64</v>
      </c>
      <c r="L54" s="80"/>
      <c r="M54" s="80"/>
      <c r="N54" s="80"/>
      <c r="O54" s="80"/>
      <c r="P54" s="80"/>
      <c r="Q54" s="80">
        <f t="shared" si="5"/>
        <v>0</v>
      </c>
      <c r="R54" s="80"/>
      <c r="S54" s="81">
        <f t="shared" si="6"/>
        <v>-9.64</v>
      </c>
      <c r="U54" s="79" t="s">
        <v>245</v>
      </c>
      <c r="V54" s="79" t="s">
        <v>152</v>
      </c>
      <c r="W54" s="82">
        <v>-9.64</v>
      </c>
      <c r="X54" s="79" t="s">
        <v>246</v>
      </c>
      <c r="Y54" s="82">
        <v>-0.57999999999999996</v>
      </c>
      <c r="Z54" s="82"/>
      <c r="AD54" s="82"/>
      <c r="AF54" s="82"/>
    </row>
    <row r="55" spans="1:32" s="79" customFormat="1" ht="11.4" x14ac:dyDescent="0.25">
      <c r="B55" s="79" t="s">
        <v>151</v>
      </c>
      <c r="C55" s="79" t="s">
        <v>359</v>
      </c>
      <c r="D55" s="79" t="s">
        <v>244</v>
      </c>
      <c r="E55" s="80"/>
      <c r="F55" s="80"/>
      <c r="G55" s="80"/>
      <c r="H55" s="80"/>
      <c r="I55" s="80">
        <v>-9.64</v>
      </c>
      <c r="J55" s="80"/>
      <c r="K55" s="80">
        <f t="shared" si="4"/>
        <v>-9.64</v>
      </c>
      <c r="L55" s="80"/>
      <c r="M55" s="80"/>
      <c r="N55" s="80"/>
      <c r="O55" s="80"/>
      <c r="P55" s="80"/>
      <c r="Q55" s="80">
        <f t="shared" si="5"/>
        <v>0</v>
      </c>
      <c r="R55" s="80"/>
      <c r="S55" s="81">
        <f t="shared" si="6"/>
        <v>-9.64</v>
      </c>
      <c r="U55" s="79" t="s">
        <v>245</v>
      </c>
      <c r="V55" s="79" t="s">
        <v>152</v>
      </c>
      <c r="W55" s="82">
        <v>-9.64</v>
      </c>
      <c r="X55" s="79" t="s">
        <v>246</v>
      </c>
      <c r="Y55" s="82">
        <v>-0.57999999999999996</v>
      </c>
      <c r="Z55" s="82"/>
      <c r="AD55" s="82"/>
      <c r="AF55" s="82"/>
    </row>
    <row r="56" spans="1:32" s="79" customFormat="1" ht="11.4" x14ac:dyDescent="0.25">
      <c r="B56" s="79" t="s">
        <v>151</v>
      </c>
      <c r="C56" s="79" t="s">
        <v>360</v>
      </c>
      <c r="D56" s="79" t="s">
        <v>244</v>
      </c>
      <c r="E56" s="80"/>
      <c r="F56" s="80"/>
      <c r="G56" s="80"/>
      <c r="H56" s="80"/>
      <c r="I56" s="80">
        <v>-9.64</v>
      </c>
      <c r="J56" s="80"/>
      <c r="K56" s="80">
        <f t="shared" si="4"/>
        <v>-9.64</v>
      </c>
      <c r="L56" s="80"/>
      <c r="M56" s="80"/>
      <c r="N56" s="80"/>
      <c r="O56" s="80"/>
      <c r="P56" s="80"/>
      <c r="Q56" s="80">
        <f t="shared" si="5"/>
        <v>0</v>
      </c>
      <c r="R56" s="80"/>
      <c r="S56" s="81">
        <f t="shared" si="6"/>
        <v>-9.64</v>
      </c>
      <c r="U56" s="79" t="s">
        <v>245</v>
      </c>
      <c r="V56" s="79" t="s">
        <v>152</v>
      </c>
      <c r="W56" s="82">
        <v>-9.64</v>
      </c>
      <c r="X56" s="79" t="s">
        <v>246</v>
      </c>
      <c r="Y56" s="82">
        <v>-0.56999999999999995</v>
      </c>
      <c r="Z56" s="82"/>
      <c r="AD56" s="82"/>
      <c r="AF56" s="82"/>
    </row>
    <row r="57" spans="1:32" s="79" customFormat="1" ht="11.4" x14ac:dyDescent="0.25">
      <c r="A57" s="79">
        <v>2</v>
      </c>
      <c r="B57" s="79" t="s">
        <v>157</v>
      </c>
      <c r="C57" s="79" t="s">
        <v>355</v>
      </c>
      <c r="D57" s="79" t="s">
        <v>244</v>
      </c>
      <c r="E57" s="80"/>
      <c r="F57" s="80"/>
      <c r="G57" s="80"/>
      <c r="H57" s="80"/>
      <c r="I57" s="80">
        <v>-9.23</v>
      </c>
      <c r="J57" s="80"/>
      <c r="K57" s="80">
        <f t="shared" si="4"/>
        <v>-9.23</v>
      </c>
      <c r="L57" s="80"/>
      <c r="M57" s="80"/>
      <c r="N57" s="80"/>
      <c r="O57" s="80"/>
      <c r="P57" s="80"/>
      <c r="Q57" s="80">
        <f t="shared" si="5"/>
        <v>0</v>
      </c>
      <c r="R57" s="80"/>
      <c r="S57" s="81">
        <f t="shared" si="6"/>
        <v>-9.23</v>
      </c>
      <c r="U57" s="79" t="s">
        <v>247</v>
      </c>
      <c r="V57" s="79" t="s">
        <v>158</v>
      </c>
      <c r="W57" s="82">
        <v>-9.23</v>
      </c>
      <c r="X57" s="79" t="s">
        <v>246</v>
      </c>
      <c r="Y57" s="82">
        <v>-0.55000000000000004</v>
      </c>
      <c r="Z57" s="82"/>
      <c r="AD57" s="82"/>
      <c r="AF57" s="82"/>
    </row>
    <row r="58" spans="1:32" s="79" customFormat="1" ht="11.4" x14ac:dyDescent="0.25">
      <c r="B58" s="79" t="s">
        <v>157</v>
      </c>
      <c r="C58" s="79" t="s">
        <v>356</v>
      </c>
      <c r="D58" s="79" t="s">
        <v>244</v>
      </c>
      <c r="E58" s="80"/>
      <c r="F58" s="80"/>
      <c r="G58" s="80"/>
      <c r="H58" s="80"/>
      <c r="I58" s="80">
        <v>-9.23</v>
      </c>
      <c r="J58" s="80"/>
      <c r="K58" s="80">
        <f t="shared" si="4"/>
        <v>-9.23</v>
      </c>
      <c r="L58" s="80"/>
      <c r="M58" s="80"/>
      <c r="N58" s="80"/>
      <c r="O58" s="80"/>
      <c r="P58" s="80"/>
      <c r="Q58" s="80">
        <f t="shared" si="5"/>
        <v>0</v>
      </c>
      <c r="R58" s="80"/>
      <c r="S58" s="81">
        <f t="shared" si="6"/>
        <v>-9.23</v>
      </c>
      <c r="U58" s="79" t="s">
        <v>247</v>
      </c>
      <c r="V58" s="79" t="s">
        <v>158</v>
      </c>
      <c r="W58" s="82">
        <v>-9.23</v>
      </c>
      <c r="X58" s="79" t="s">
        <v>246</v>
      </c>
      <c r="Y58" s="82">
        <v>-0.55000000000000004</v>
      </c>
      <c r="Z58" s="82"/>
      <c r="AD58" s="82"/>
      <c r="AF58" s="82"/>
    </row>
    <row r="59" spans="1:32" s="79" customFormat="1" ht="11.4" x14ac:dyDescent="0.25">
      <c r="B59" s="79" t="s">
        <v>157</v>
      </c>
      <c r="C59" s="79" t="s">
        <v>357</v>
      </c>
      <c r="D59" s="79" t="s">
        <v>244</v>
      </c>
      <c r="E59" s="80"/>
      <c r="F59" s="80"/>
      <c r="G59" s="80"/>
      <c r="H59" s="80"/>
      <c r="I59" s="80">
        <v>-9.23</v>
      </c>
      <c r="J59" s="80"/>
      <c r="K59" s="80">
        <f t="shared" si="4"/>
        <v>-9.23</v>
      </c>
      <c r="L59" s="80"/>
      <c r="M59" s="80"/>
      <c r="N59" s="80"/>
      <c r="O59" s="80"/>
      <c r="P59" s="80"/>
      <c r="Q59" s="80">
        <f t="shared" si="5"/>
        <v>0</v>
      </c>
      <c r="R59" s="80"/>
      <c r="S59" s="81">
        <f t="shared" si="6"/>
        <v>-9.23</v>
      </c>
      <c r="U59" s="79" t="s">
        <v>247</v>
      </c>
      <c r="V59" s="79" t="s">
        <v>158</v>
      </c>
      <c r="W59" s="82">
        <v>-9.23</v>
      </c>
      <c r="X59" s="79" t="s">
        <v>246</v>
      </c>
      <c r="Y59" s="82">
        <v>-0.55000000000000004</v>
      </c>
      <c r="Z59" s="82"/>
      <c r="AD59" s="82"/>
      <c r="AF59" s="82"/>
    </row>
    <row r="60" spans="1:32" s="79" customFormat="1" ht="11.4" x14ac:dyDescent="0.25">
      <c r="B60" s="79" t="s">
        <v>157</v>
      </c>
      <c r="C60" s="79" t="s">
        <v>358</v>
      </c>
      <c r="D60" s="79" t="s">
        <v>244</v>
      </c>
      <c r="E60" s="80"/>
      <c r="F60" s="80"/>
      <c r="G60" s="80"/>
      <c r="H60" s="80"/>
      <c r="I60" s="80">
        <v>-9.23</v>
      </c>
      <c r="J60" s="80"/>
      <c r="K60" s="80">
        <f t="shared" si="4"/>
        <v>-9.23</v>
      </c>
      <c r="L60" s="80"/>
      <c r="M60" s="80"/>
      <c r="N60" s="80"/>
      <c r="O60" s="80"/>
      <c r="P60" s="80"/>
      <c r="Q60" s="80">
        <f t="shared" si="5"/>
        <v>0</v>
      </c>
      <c r="R60" s="80"/>
      <c r="S60" s="81">
        <f t="shared" si="6"/>
        <v>-9.23</v>
      </c>
      <c r="U60" s="79" t="s">
        <v>247</v>
      </c>
      <c r="V60" s="79" t="s">
        <v>158</v>
      </c>
      <c r="W60" s="82">
        <v>-9.23</v>
      </c>
      <c r="X60" s="79" t="s">
        <v>246</v>
      </c>
      <c r="Y60" s="82">
        <v>-0.55000000000000004</v>
      </c>
      <c r="Z60" s="82"/>
      <c r="AD60" s="82"/>
      <c r="AF60" s="82"/>
    </row>
    <row r="61" spans="1:32" s="79" customFormat="1" ht="11.4" x14ac:dyDescent="0.25">
      <c r="B61" s="79" t="s">
        <v>157</v>
      </c>
      <c r="C61" s="79" t="s">
        <v>359</v>
      </c>
      <c r="D61" s="79" t="s">
        <v>244</v>
      </c>
      <c r="E61" s="80"/>
      <c r="F61" s="80"/>
      <c r="G61" s="80"/>
      <c r="H61" s="80"/>
      <c r="I61" s="80">
        <v>-9.23</v>
      </c>
      <c r="J61" s="80"/>
      <c r="K61" s="80">
        <f t="shared" si="4"/>
        <v>-9.23</v>
      </c>
      <c r="L61" s="80"/>
      <c r="M61" s="80"/>
      <c r="N61" s="80"/>
      <c r="O61" s="80"/>
      <c r="P61" s="80"/>
      <c r="Q61" s="80">
        <f t="shared" si="5"/>
        <v>0</v>
      </c>
      <c r="R61" s="80"/>
      <c r="S61" s="81">
        <f t="shared" si="6"/>
        <v>-9.23</v>
      </c>
      <c r="U61" s="79" t="s">
        <v>247</v>
      </c>
      <c r="V61" s="79" t="s">
        <v>158</v>
      </c>
      <c r="W61" s="82">
        <v>-9.23</v>
      </c>
      <c r="X61" s="79" t="s">
        <v>246</v>
      </c>
      <c r="Y61" s="82">
        <v>-0.55000000000000004</v>
      </c>
      <c r="Z61" s="82"/>
      <c r="AD61" s="82"/>
      <c r="AF61" s="82"/>
    </row>
    <row r="62" spans="1:32" s="79" customFormat="1" ht="11.4" x14ac:dyDescent="0.25">
      <c r="B62" s="79" t="s">
        <v>157</v>
      </c>
      <c r="C62" s="79" t="s">
        <v>360</v>
      </c>
      <c r="D62" s="79" t="s">
        <v>244</v>
      </c>
      <c r="E62" s="80"/>
      <c r="F62" s="80"/>
      <c r="G62" s="80"/>
      <c r="H62" s="80"/>
      <c r="I62" s="80">
        <v>-9.23</v>
      </c>
      <c r="J62" s="80"/>
      <c r="K62" s="80">
        <f t="shared" si="4"/>
        <v>-9.23</v>
      </c>
      <c r="L62" s="80"/>
      <c r="M62" s="80"/>
      <c r="N62" s="80"/>
      <c r="O62" s="80"/>
      <c r="P62" s="80"/>
      <c r="Q62" s="80">
        <f t="shared" si="5"/>
        <v>0</v>
      </c>
      <c r="R62" s="80"/>
      <c r="S62" s="81">
        <f t="shared" si="6"/>
        <v>-9.23</v>
      </c>
      <c r="U62" s="79" t="s">
        <v>247</v>
      </c>
      <c r="V62" s="79" t="s">
        <v>158</v>
      </c>
      <c r="W62" s="82">
        <v>-9.23</v>
      </c>
      <c r="X62" s="79" t="s">
        <v>246</v>
      </c>
      <c r="Y62" s="82">
        <v>-0.56999999999999995</v>
      </c>
      <c r="Z62" s="82"/>
      <c r="AD62" s="82"/>
      <c r="AF62" s="82"/>
    </row>
    <row r="63" spans="1:32" s="79" customFormat="1" ht="11.4" x14ac:dyDescent="0.25">
      <c r="A63" s="79">
        <v>3</v>
      </c>
      <c r="B63" s="79" t="s">
        <v>115</v>
      </c>
      <c r="C63" s="79" t="s">
        <v>355</v>
      </c>
      <c r="D63" s="79" t="s">
        <v>244</v>
      </c>
      <c r="E63" s="80"/>
      <c r="F63" s="80"/>
      <c r="G63" s="80"/>
      <c r="H63" s="80"/>
      <c r="I63" s="80">
        <v>-9.0500000000000007</v>
      </c>
      <c r="J63" s="80"/>
      <c r="K63" s="80">
        <f t="shared" si="4"/>
        <v>-9.0500000000000007</v>
      </c>
      <c r="L63" s="80"/>
      <c r="M63" s="80"/>
      <c r="N63" s="80"/>
      <c r="O63" s="80"/>
      <c r="P63" s="80"/>
      <c r="Q63" s="80">
        <f t="shared" si="5"/>
        <v>0</v>
      </c>
      <c r="R63" s="80"/>
      <c r="S63" s="81">
        <f t="shared" si="6"/>
        <v>-9.0500000000000007</v>
      </c>
      <c r="U63" s="79" t="s">
        <v>248</v>
      </c>
      <c r="V63" s="79" t="s">
        <v>116</v>
      </c>
      <c r="W63" s="82">
        <v>-9.0500000000000007</v>
      </c>
      <c r="X63" s="79" t="s">
        <v>246</v>
      </c>
      <c r="Y63" s="82">
        <v>-0.54</v>
      </c>
      <c r="Z63" s="82"/>
      <c r="AD63" s="82"/>
      <c r="AF63" s="82"/>
    </row>
    <row r="64" spans="1:32" s="79" customFormat="1" ht="11.4" x14ac:dyDescent="0.25">
      <c r="B64" s="79" t="s">
        <v>115</v>
      </c>
      <c r="C64" s="79" t="s">
        <v>356</v>
      </c>
      <c r="D64" s="79" t="s">
        <v>244</v>
      </c>
      <c r="E64" s="80"/>
      <c r="F64" s="80"/>
      <c r="G64" s="80"/>
      <c r="H64" s="80"/>
      <c r="I64" s="80">
        <v>-9.0500000000000007</v>
      </c>
      <c r="J64" s="80"/>
      <c r="K64" s="80">
        <f t="shared" si="4"/>
        <v>-9.0500000000000007</v>
      </c>
      <c r="L64" s="80"/>
      <c r="M64" s="80"/>
      <c r="N64" s="80"/>
      <c r="O64" s="80"/>
      <c r="P64" s="80"/>
      <c r="Q64" s="80">
        <f t="shared" si="5"/>
        <v>0</v>
      </c>
      <c r="R64" s="80"/>
      <c r="S64" s="81">
        <f t="shared" si="6"/>
        <v>-9.0500000000000007</v>
      </c>
      <c r="U64" s="79" t="s">
        <v>248</v>
      </c>
      <c r="V64" s="79" t="s">
        <v>116</v>
      </c>
      <c r="W64" s="82">
        <v>-9.0500000000000007</v>
      </c>
      <c r="X64" s="79" t="s">
        <v>246</v>
      </c>
      <c r="Y64" s="82">
        <v>-0.54</v>
      </c>
      <c r="Z64" s="82"/>
      <c r="AD64" s="82"/>
      <c r="AF64" s="82"/>
    </row>
    <row r="65" spans="1:32" s="79" customFormat="1" ht="11.4" x14ac:dyDescent="0.25">
      <c r="B65" s="79" t="s">
        <v>115</v>
      </c>
      <c r="C65" s="79" t="s">
        <v>357</v>
      </c>
      <c r="D65" s="79" t="s">
        <v>244</v>
      </c>
      <c r="E65" s="80"/>
      <c r="F65" s="80"/>
      <c r="G65" s="80"/>
      <c r="H65" s="80"/>
      <c r="I65" s="80">
        <v>-9.0500000000000007</v>
      </c>
      <c r="J65" s="80"/>
      <c r="K65" s="80">
        <f t="shared" si="4"/>
        <v>-9.0500000000000007</v>
      </c>
      <c r="L65" s="80"/>
      <c r="M65" s="80"/>
      <c r="N65" s="80"/>
      <c r="O65" s="80"/>
      <c r="P65" s="80"/>
      <c r="Q65" s="80">
        <f t="shared" si="5"/>
        <v>0</v>
      </c>
      <c r="R65" s="80"/>
      <c r="S65" s="81">
        <f t="shared" si="6"/>
        <v>-9.0500000000000007</v>
      </c>
      <c r="U65" s="79" t="s">
        <v>248</v>
      </c>
      <c r="V65" s="79" t="s">
        <v>116</v>
      </c>
      <c r="W65" s="82">
        <v>-9.0500000000000007</v>
      </c>
      <c r="X65" s="79" t="s">
        <v>246</v>
      </c>
      <c r="Y65" s="82">
        <v>-0.54</v>
      </c>
      <c r="Z65" s="82"/>
      <c r="AD65" s="82"/>
      <c r="AF65" s="82"/>
    </row>
    <row r="66" spans="1:32" s="79" customFormat="1" ht="11.4" x14ac:dyDescent="0.25">
      <c r="B66" s="79" t="s">
        <v>115</v>
      </c>
      <c r="C66" s="79" t="s">
        <v>358</v>
      </c>
      <c r="D66" s="79" t="s">
        <v>244</v>
      </c>
      <c r="E66" s="80"/>
      <c r="F66" s="80"/>
      <c r="G66" s="80"/>
      <c r="H66" s="80"/>
      <c r="I66" s="80">
        <v>-9.0500000000000007</v>
      </c>
      <c r="J66" s="80"/>
      <c r="K66" s="80">
        <f t="shared" si="4"/>
        <v>-9.0500000000000007</v>
      </c>
      <c r="L66" s="80"/>
      <c r="M66" s="80"/>
      <c r="N66" s="80"/>
      <c r="O66" s="80"/>
      <c r="P66" s="80"/>
      <c r="Q66" s="80">
        <f t="shared" si="5"/>
        <v>0</v>
      </c>
      <c r="R66" s="80"/>
      <c r="S66" s="81">
        <f t="shared" si="6"/>
        <v>-9.0500000000000007</v>
      </c>
      <c r="U66" s="79" t="s">
        <v>248</v>
      </c>
      <c r="V66" s="79" t="s">
        <v>116</v>
      </c>
      <c r="W66" s="82">
        <v>-9.0500000000000007</v>
      </c>
      <c r="X66" s="79" t="s">
        <v>246</v>
      </c>
      <c r="Y66" s="82">
        <v>-0.54</v>
      </c>
      <c r="Z66" s="82"/>
      <c r="AD66" s="82"/>
      <c r="AF66" s="82"/>
    </row>
    <row r="67" spans="1:32" s="79" customFormat="1" ht="11.4" x14ac:dyDescent="0.25">
      <c r="B67" s="79" t="s">
        <v>115</v>
      </c>
      <c r="C67" s="79" t="s">
        <v>359</v>
      </c>
      <c r="D67" s="79" t="s">
        <v>244</v>
      </c>
      <c r="E67" s="80"/>
      <c r="F67" s="80"/>
      <c r="G67" s="80"/>
      <c r="H67" s="80"/>
      <c r="I67" s="80">
        <v>-9.0500000000000007</v>
      </c>
      <c r="J67" s="80"/>
      <c r="K67" s="80">
        <f t="shared" si="4"/>
        <v>-9.0500000000000007</v>
      </c>
      <c r="L67" s="80"/>
      <c r="M67" s="80"/>
      <c r="N67" s="80"/>
      <c r="O67" s="80"/>
      <c r="P67" s="80"/>
      <c r="Q67" s="80">
        <f t="shared" si="5"/>
        <v>0</v>
      </c>
      <c r="R67" s="80"/>
      <c r="S67" s="81">
        <f t="shared" si="6"/>
        <v>-9.0500000000000007</v>
      </c>
      <c r="U67" s="79" t="s">
        <v>248</v>
      </c>
      <c r="V67" s="79" t="s">
        <v>116</v>
      </c>
      <c r="W67" s="82">
        <v>-9.0500000000000007</v>
      </c>
      <c r="X67" s="79" t="s">
        <v>246</v>
      </c>
      <c r="Y67" s="82">
        <v>-0.54</v>
      </c>
      <c r="Z67" s="82"/>
      <c r="AD67" s="82"/>
      <c r="AF67" s="82"/>
    </row>
    <row r="68" spans="1:32" s="79" customFormat="1" ht="11.4" x14ac:dyDescent="0.25">
      <c r="B68" s="79" t="s">
        <v>115</v>
      </c>
      <c r="C68" s="79" t="s">
        <v>360</v>
      </c>
      <c r="D68" s="79" t="s">
        <v>244</v>
      </c>
      <c r="E68" s="80"/>
      <c r="F68" s="80"/>
      <c r="G68" s="80"/>
      <c r="H68" s="80"/>
      <c r="I68" s="80">
        <v>-9.0500000000000007</v>
      </c>
      <c r="J68" s="80"/>
      <c r="K68" s="80">
        <f t="shared" si="4"/>
        <v>-9.0500000000000007</v>
      </c>
      <c r="L68" s="80"/>
      <c r="M68" s="80"/>
      <c r="N68" s="80"/>
      <c r="O68" s="80"/>
      <c r="P68" s="80"/>
      <c r="Q68" s="80">
        <f t="shared" si="5"/>
        <v>0</v>
      </c>
      <c r="R68" s="80"/>
      <c r="S68" s="81">
        <f t="shared" si="6"/>
        <v>-9.0500000000000007</v>
      </c>
      <c r="U68" s="79" t="s">
        <v>248</v>
      </c>
      <c r="V68" s="79" t="s">
        <v>116</v>
      </c>
      <c r="W68" s="82">
        <v>-9.0500000000000007</v>
      </c>
      <c r="X68" s="79" t="s">
        <v>246</v>
      </c>
      <c r="Y68" s="82">
        <v>-0.56000000000000005</v>
      </c>
      <c r="Z68" s="82"/>
      <c r="AD68" s="82"/>
      <c r="AF68" s="82"/>
    </row>
    <row r="69" spans="1:32" s="79" customFormat="1" ht="11.4" x14ac:dyDescent="0.25">
      <c r="A69" s="79">
        <v>4</v>
      </c>
      <c r="B69" s="79" t="s">
        <v>139</v>
      </c>
      <c r="C69" s="79" t="s">
        <v>355</v>
      </c>
      <c r="D69" s="79" t="s">
        <v>244</v>
      </c>
      <c r="E69" s="80"/>
      <c r="F69" s="80"/>
      <c r="G69" s="80"/>
      <c r="H69" s="80"/>
      <c r="I69" s="80">
        <v>-10.02</v>
      </c>
      <c r="J69" s="80"/>
      <c r="K69" s="80">
        <f t="shared" si="4"/>
        <v>-10.02</v>
      </c>
      <c r="L69" s="80"/>
      <c r="M69" s="80"/>
      <c r="N69" s="80"/>
      <c r="O69" s="80"/>
      <c r="P69" s="80"/>
      <c r="Q69" s="80">
        <f t="shared" si="5"/>
        <v>0</v>
      </c>
      <c r="R69" s="80"/>
      <c r="S69" s="81">
        <f t="shared" si="6"/>
        <v>-10.02</v>
      </c>
      <c r="U69" s="79" t="s">
        <v>249</v>
      </c>
      <c r="V69" s="79" t="s">
        <v>140</v>
      </c>
      <c r="W69" s="82">
        <v>-10.02</v>
      </c>
      <c r="X69" s="79" t="s">
        <v>246</v>
      </c>
      <c r="Y69" s="82">
        <v>-0.6</v>
      </c>
      <c r="Z69" s="82"/>
      <c r="AD69" s="82"/>
      <c r="AF69" s="82"/>
    </row>
    <row r="70" spans="1:32" s="79" customFormat="1" ht="11.4" x14ac:dyDescent="0.25">
      <c r="B70" s="79" t="s">
        <v>139</v>
      </c>
      <c r="C70" s="79" t="s">
        <v>356</v>
      </c>
      <c r="D70" s="79" t="s">
        <v>244</v>
      </c>
      <c r="E70" s="80"/>
      <c r="F70" s="80"/>
      <c r="G70" s="80"/>
      <c r="H70" s="80"/>
      <c r="I70" s="80">
        <v>-10.02</v>
      </c>
      <c r="J70" s="80"/>
      <c r="K70" s="80">
        <f t="shared" si="4"/>
        <v>-10.02</v>
      </c>
      <c r="L70" s="80"/>
      <c r="M70" s="80"/>
      <c r="N70" s="80"/>
      <c r="O70" s="80"/>
      <c r="P70" s="80"/>
      <c r="Q70" s="80">
        <f t="shared" si="5"/>
        <v>0</v>
      </c>
      <c r="R70" s="80"/>
      <c r="S70" s="81">
        <f t="shared" si="6"/>
        <v>-10.02</v>
      </c>
      <c r="U70" s="79" t="s">
        <v>249</v>
      </c>
      <c r="V70" s="79" t="s">
        <v>140</v>
      </c>
      <c r="W70" s="82">
        <v>-10.02</v>
      </c>
      <c r="X70" s="79" t="s">
        <v>246</v>
      </c>
      <c r="Y70" s="82">
        <v>-0.6</v>
      </c>
      <c r="Z70" s="82"/>
      <c r="AD70" s="82"/>
      <c r="AF70" s="82"/>
    </row>
    <row r="71" spans="1:32" s="79" customFormat="1" ht="11.4" x14ac:dyDescent="0.25">
      <c r="B71" s="79" t="s">
        <v>139</v>
      </c>
      <c r="C71" s="79" t="s">
        <v>357</v>
      </c>
      <c r="D71" s="79" t="s">
        <v>244</v>
      </c>
      <c r="E71" s="80"/>
      <c r="F71" s="80"/>
      <c r="G71" s="80"/>
      <c r="H71" s="80"/>
      <c r="I71" s="80">
        <v>-10.02</v>
      </c>
      <c r="J71" s="80"/>
      <c r="K71" s="80">
        <f t="shared" si="4"/>
        <v>-10.02</v>
      </c>
      <c r="L71" s="80"/>
      <c r="M71" s="80"/>
      <c r="N71" s="80"/>
      <c r="O71" s="80"/>
      <c r="P71" s="80"/>
      <c r="Q71" s="80">
        <f t="shared" si="5"/>
        <v>0</v>
      </c>
      <c r="R71" s="80"/>
      <c r="S71" s="81">
        <f t="shared" si="6"/>
        <v>-10.02</v>
      </c>
      <c r="U71" s="79" t="s">
        <v>249</v>
      </c>
      <c r="V71" s="79" t="s">
        <v>140</v>
      </c>
      <c r="W71" s="82">
        <v>-10.02</v>
      </c>
      <c r="X71" s="79" t="s">
        <v>246</v>
      </c>
      <c r="Y71" s="82">
        <v>-0.6</v>
      </c>
      <c r="Z71" s="82"/>
      <c r="AD71" s="82"/>
      <c r="AF71" s="82"/>
    </row>
    <row r="72" spans="1:32" s="79" customFormat="1" ht="11.4" x14ac:dyDescent="0.25">
      <c r="B72" s="79" t="s">
        <v>139</v>
      </c>
      <c r="C72" s="79" t="s">
        <v>358</v>
      </c>
      <c r="D72" s="79" t="s">
        <v>244</v>
      </c>
      <c r="E72" s="80"/>
      <c r="F72" s="80"/>
      <c r="G72" s="80"/>
      <c r="H72" s="80"/>
      <c r="I72" s="80">
        <v>-10.02</v>
      </c>
      <c r="J72" s="80"/>
      <c r="K72" s="80">
        <f t="shared" si="4"/>
        <v>-10.02</v>
      </c>
      <c r="L72" s="80"/>
      <c r="M72" s="80"/>
      <c r="N72" s="80"/>
      <c r="O72" s="80"/>
      <c r="P72" s="80"/>
      <c r="Q72" s="80">
        <f t="shared" si="5"/>
        <v>0</v>
      </c>
      <c r="R72" s="80"/>
      <c r="S72" s="81">
        <f t="shared" si="6"/>
        <v>-10.02</v>
      </c>
      <c r="U72" s="79" t="s">
        <v>249</v>
      </c>
      <c r="V72" s="79" t="s">
        <v>140</v>
      </c>
      <c r="W72" s="82">
        <v>-10.02</v>
      </c>
      <c r="X72" s="79" t="s">
        <v>246</v>
      </c>
      <c r="Y72" s="82">
        <v>-0.6</v>
      </c>
      <c r="Z72" s="82"/>
      <c r="AD72" s="82"/>
      <c r="AF72" s="82"/>
    </row>
    <row r="73" spans="1:32" s="79" customFormat="1" ht="11.4" x14ac:dyDescent="0.25">
      <c r="B73" s="79" t="s">
        <v>139</v>
      </c>
      <c r="C73" s="79" t="s">
        <v>359</v>
      </c>
      <c r="D73" s="79" t="s">
        <v>244</v>
      </c>
      <c r="E73" s="80"/>
      <c r="F73" s="80"/>
      <c r="G73" s="80"/>
      <c r="H73" s="80"/>
      <c r="I73" s="80">
        <v>-10.02</v>
      </c>
      <c r="J73" s="80"/>
      <c r="K73" s="80">
        <f t="shared" si="4"/>
        <v>-10.02</v>
      </c>
      <c r="L73" s="80"/>
      <c r="M73" s="80"/>
      <c r="N73" s="80"/>
      <c r="O73" s="80"/>
      <c r="P73" s="80"/>
      <c r="Q73" s="80">
        <f t="shared" si="5"/>
        <v>0</v>
      </c>
      <c r="R73" s="80"/>
      <c r="S73" s="81">
        <f t="shared" si="6"/>
        <v>-10.02</v>
      </c>
      <c r="U73" s="79" t="s">
        <v>249</v>
      </c>
      <c r="V73" s="79" t="s">
        <v>140</v>
      </c>
      <c r="W73" s="82">
        <v>-10.02</v>
      </c>
      <c r="X73" s="79" t="s">
        <v>246</v>
      </c>
      <c r="Y73" s="82">
        <v>-0.6</v>
      </c>
      <c r="Z73" s="82"/>
      <c r="AD73" s="82"/>
      <c r="AF73" s="82"/>
    </row>
    <row r="74" spans="1:32" s="79" customFormat="1" ht="11.4" x14ac:dyDescent="0.25">
      <c r="B74" s="79" t="s">
        <v>139</v>
      </c>
      <c r="C74" s="79" t="s">
        <v>360</v>
      </c>
      <c r="D74" s="79" t="s">
        <v>244</v>
      </c>
      <c r="E74" s="80"/>
      <c r="F74" s="80"/>
      <c r="G74" s="80"/>
      <c r="H74" s="80"/>
      <c r="I74" s="80">
        <v>-10.02</v>
      </c>
      <c r="J74" s="80"/>
      <c r="K74" s="80">
        <f t="shared" si="4"/>
        <v>-10.02</v>
      </c>
      <c r="L74" s="80"/>
      <c r="M74" s="80"/>
      <c r="N74" s="80"/>
      <c r="O74" s="80"/>
      <c r="P74" s="80"/>
      <c r="Q74" s="80">
        <f t="shared" si="5"/>
        <v>0</v>
      </c>
      <c r="R74" s="80"/>
      <c r="S74" s="81">
        <f t="shared" si="6"/>
        <v>-10.02</v>
      </c>
      <c r="U74" s="79" t="s">
        <v>249</v>
      </c>
      <c r="V74" s="79" t="s">
        <v>140</v>
      </c>
      <c r="W74" s="82">
        <v>-10.02</v>
      </c>
      <c r="X74" s="79" t="s">
        <v>246</v>
      </c>
      <c r="Y74" s="82">
        <v>-0.61</v>
      </c>
      <c r="Z74" s="82"/>
      <c r="AD74" s="82"/>
      <c r="AF74" s="82"/>
    </row>
    <row r="75" spans="1:32" s="79" customFormat="1" ht="11.4" x14ac:dyDescent="0.25">
      <c r="A75" s="79">
        <v>5</v>
      </c>
      <c r="B75" s="79" t="s">
        <v>154</v>
      </c>
      <c r="C75" s="79" t="s">
        <v>355</v>
      </c>
      <c r="D75" s="79" t="s">
        <v>244</v>
      </c>
      <c r="E75" s="80"/>
      <c r="F75" s="80"/>
      <c r="G75" s="80"/>
      <c r="H75" s="80"/>
      <c r="I75" s="80">
        <v>-11.65</v>
      </c>
      <c r="J75" s="80"/>
      <c r="K75" s="80">
        <f t="shared" si="4"/>
        <v>-11.65</v>
      </c>
      <c r="L75" s="80"/>
      <c r="M75" s="80"/>
      <c r="N75" s="80"/>
      <c r="O75" s="80"/>
      <c r="P75" s="80"/>
      <c r="Q75" s="80">
        <f t="shared" si="5"/>
        <v>0</v>
      </c>
      <c r="R75" s="80"/>
      <c r="S75" s="81">
        <f t="shared" si="6"/>
        <v>-11.65</v>
      </c>
      <c r="U75" s="79" t="s">
        <v>250</v>
      </c>
      <c r="V75" s="79" t="s">
        <v>155</v>
      </c>
      <c r="W75" s="82">
        <v>-11.65</v>
      </c>
      <c r="X75" s="79" t="s">
        <v>246</v>
      </c>
      <c r="Y75" s="82">
        <v>-0.7</v>
      </c>
      <c r="Z75" s="82"/>
      <c r="AD75" s="82"/>
      <c r="AF75" s="82"/>
    </row>
    <row r="76" spans="1:32" s="79" customFormat="1" ht="11.4" x14ac:dyDescent="0.25">
      <c r="B76" s="79" t="s">
        <v>154</v>
      </c>
      <c r="C76" s="79" t="s">
        <v>356</v>
      </c>
      <c r="D76" s="79" t="s">
        <v>244</v>
      </c>
      <c r="E76" s="80"/>
      <c r="F76" s="80"/>
      <c r="G76" s="80"/>
      <c r="H76" s="80"/>
      <c r="I76" s="80">
        <v>-11.65</v>
      </c>
      <c r="J76" s="80"/>
      <c r="K76" s="80">
        <f t="shared" si="4"/>
        <v>-11.65</v>
      </c>
      <c r="L76" s="80"/>
      <c r="M76" s="80"/>
      <c r="N76" s="80"/>
      <c r="O76" s="80"/>
      <c r="P76" s="80"/>
      <c r="Q76" s="80">
        <f t="shared" si="5"/>
        <v>0</v>
      </c>
      <c r="R76" s="80"/>
      <c r="S76" s="81">
        <f t="shared" si="6"/>
        <v>-11.65</v>
      </c>
      <c r="U76" s="79" t="s">
        <v>250</v>
      </c>
      <c r="V76" s="79" t="s">
        <v>155</v>
      </c>
      <c r="W76" s="82">
        <v>-11.65</v>
      </c>
      <c r="X76" s="79" t="s">
        <v>246</v>
      </c>
      <c r="Y76" s="82">
        <v>-0.7</v>
      </c>
      <c r="Z76" s="82"/>
      <c r="AD76" s="82"/>
      <c r="AF76" s="82"/>
    </row>
    <row r="77" spans="1:32" s="79" customFormat="1" ht="11.4" x14ac:dyDescent="0.25">
      <c r="B77" s="79" t="s">
        <v>154</v>
      </c>
      <c r="C77" s="79" t="s">
        <v>357</v>
      </c>
      <c r="D77" s="79" t="s">
        <v>244</v>
      </c>
      <c r="E77" s="80"/>
      <c r="F77" s="80"/>
      <c r="G77" s="80"/>
      <c r="H77" s="80"/>
      <c r="I77" s="80">
        <v>-11.65</v>
      </c>
      <c r="J77" s="80"/>
      <c r="K77" s="80">
        <f t="shared" si="4"/>
        <v>-11.65</v>
      </c>
      <c r="L77" s="80"/>
      <c r="M77" s="80"/>
      <c r="N77" s="80"/>
      <c r="O77" s="80"/>
      <c r="P77" s="80"/>
      <c r="Q77" s="80">
        <f t="shared" si="5"/>
        <v>0</v>
      </c>
      <c r="R77" s="80"/>
      <c r="S77" s="81">
        <f t="shared" si="6"/>
        <v>-11.65</v>
      </c>
      <c r="U77" s="79" t="s">
        <v>250</v>
      </c>
      <c r="V77" s="79" t="s">
        <v>155</v>
      </c>
      <c r="W77" s="82">
        <v>-11.65</v>
      </c>
      <c r="X77" s="79" t="s">
        <v>246</v>
      </c>
      <c r="Y77" s="82">
        <v>-0.7</v>
      </c>
      <c r="Z77" s="82"/>
      <c r="AD77" s="82"/>
      <c r="AF77" s="82"/>
    </row>
    <row r="78" spans="1:32" s="79" customFormat="1" ht="11.4" x14ac:dyDescent="0.25">
      <c r="B78" s="79" t="s">
        <v>154</v>
      </c>
      <c r="C78" s="79" t="s">
        <v>358</v>
      </c>
      <c r="D78" s="79" t="s">
        <v>244</v>
      </c>
      <c r="E78" s="80"/>
      <c r="F78" s="80"/>
      <c r="G78" s="80"/>
      <c r="H78" s="80"/>
      <c r="I78" s="80">
        <v>-11.65</v>
      </c>
      <c r="J78" s="80"/>
      <c r="K78" s="80">
        <f t="shared" si="4"/>
        <v>-11.65</v>
      </c>
      <c r="L78" s="80"/>
      <c r="M78" s="80"/>
      <c r="N78" s="80"/>
      <c r="O78" s="80"/>
      <c r="P78" s="80"/>
      <c r="Q78" s="80">
        <f t="shared" si="5"/>
        <v>0</v>
      </c>
      <c r="R78" s="80"/>
      <c r="S78" s="81">
        <f t="shared" si="6"/>
        <v>-11.65</v>
      </c>
      <c r="U78" s="79" t="s">
        <v>250</v>
      </c>
      <c r="V78" s="79" t="s">
        <v>155</v>
      </c>
      <c r="W78" s="82">
        <v>-11.65</v>
      </c>
      <c r="X78" s="79" t="s">
        <v>246</v>
      </c>
      <c r="Y78" s="82">
        <v>-0.7</v>
      </c>
      <c r="Z78" s="82"/>
      <c r="AD78" s="82"/>
      <c r="AF78" s="82"/>
    </row>
    <row r="79" spans="1:32" s="79" customFormat="1" ht="11.4" x14ac:dyDescent="0.25">
      <c r="B79" s="79" t="s">
        <v>154</v>
      </c>
      <c r="C79" s="79" t="s">
        <v>359</v>
      </c>
      <c r="D79" s="79" t="s">
        <v>244</v>
      </c>
      <c r="E79" s="80"/>
      <c r="F79" s="80"/>
      <c r="G79" s="80"/>
      <c r="H79" s="80"/>
      <c r="I79" s="80">
        <v>-11.65</v>
      </c>
      <c r="J79" s="80"/>
      <c r="K79" s="80">
        <f t="shared" si="4"/>
        <v>-11.65</v>
      </c>
      <c r="L79" s="80"/>
      <c r="M79" s="80"/>
      <c r="N79" s="80"/>
      <c r="O79" s="80"/>
      <c r="P79" s="80"/>
      <c r="Q79" s="80">
        <f t="shared" si="5"/>
        <v>0</v>
      </c>
      <c r="R79" s="80"/>
      <c r="S79" s="81">
        <f t="shared" si="6"/>
        <v>-11.65</v>
      </c>
      <c r="U79" s="79" t="s">
        <v>250</v>
      </c>
      <c r="V79" s="79" t="s">
        <v>155</v>
      </c>
      <c r="W79" s="82">
        <v>-11.65</v>
      </c>
      <c r="X79" s="79" t="s">
        <v>246</v>
      </c>
      <c r="Y79" s="82">
        <v>-0.7</v>
      </c>
      <c r="Z79" s="82"/>
      <c r="AD79" s="82"/>
      <c r="AF79" s="82"/>
    </row>
    <row r="80" spans="1:32" s="79" customFormat="1" ht="11.4" x14ac:dyDescent="0.25">
      <c r="B80" s="79" t="s">
        <v>154</v>
      </c>
      <c r="C80" s="79" t="s">
        <v>360</v>
      </c>
      <c r="D80" s="79" t="s">
        <v>244</v>
      </c>
      <c r="E80" s="80"/>
      <c r="F80" s="80"/>
      <c r="G80" s="80"/>
      <c r="H80" s="80"/>
      <c r="I80" s="80">
        <v>-11.65</v>
      </c>
      <c r="J80" s="80"/>
      <c r="K80" s="80">
        <f t="shared" si="4"/>
        <v>-11.65</v>
      </c>
      <c r="L80" s="80"/>
      <c r="M80" s="80"/>
      <c r="N80" s="80"/>
      <c r="O80" s="80"/>
      <c r="P80" s="80"/>
      <c r="Q80" s="80">
        <f t="shared" si="5"/>
        <v>0</v>
      </c>
      <c r="R80" s="80"/>
      <c r="S80" s="81">
        <f t="shared" si="6"/>
        <v>-11.65</v>
      </c>
      <c r="U80" s="79" t="s">
        <v>250</v>
      </c>
      <c r="V80" s="79" t="s">
        <v>155</v>
      </c>
      <c r="W80" s="82">
        <v>-11.65</v>
      </c>
      <c r="X80" s="79" t="s">
        <v>246</v>
      </c>
      <c r="Y80" s="82">
        <v>-0.69</v>
      </c>
      <c r="Z80" s="82"/>
      <c r="AD80" s="82"/>
      <c r="AF80" s="82"/>
    </row>
    <row r="81" spans="1:32" s="79" customFormat="1" ht="11.4" x14ac:dyDescent="0.25">
      <c r="A81" s="79">
        <v>6</v>
      </c>
      <c r="B81" s="79" t="s">
        <v>100</v>
      </c>
      <c r="C81" s="79" t="s">
        <v>355</v>
      </c>
      <c r="D81" s="79" t="s">
        <v>244</v>
      </c>
      <c r="E81" s="80"/>
      <c r="F81" s="80"/>
      <c r="G81" s="80"/>
      <c r="H81" s="80"/>
      <c r="I81" s="80">
        <v>-8.86</v>
      </c>
      <c r="J81" s="80"/>
      <c r="K81" s="80">
        <f t="shared" si="4"/>
        <v>-8.86</v>
      </c>
      <c r="L81" s="80"/>
      <c r="M81" s="80"/>
      <c r="N81" s="80"/>
      <c r="O81" s="80"/>
      <c r="P81" s="80"/>
      <c r="Q81" s="80">
        <f t="shared" si="5"/>
        <v>0</v>
      </c>
      <c r="R81" s="80"/>
      <c r="S81" s="81">
        <f t="shared" si="6"/>
        <v>-8.86</v>
      </c>
      <c r="U81" s="79" t="s">
        <v>251</v>
      </c>
      <c r="V81" s="79" t="s">
        <v>101</v>
      </c>
      <c r="W81" s="82">
        <v>-8.86</v>
      </c>
      <c r="X81" s="79" t="s">
        <v>246</v>
      </c>
      <c r="Y81" s="82">
        <v>-0.53</v>
      </c>
      <c r="Z81" s="82"/>
      <c r="AD81" s="82"/>
      <c r="AF81" s="82"/>
    </row>
    <row r="82" spans="1:32" s="79" customFormat="1" ht="11.4" x14ac:dyDescent="0.25">
      <c r="B82" s="79" t="s">
        <v>100</v>
      </c>
      <c r="C82" s="79" t="s">
        <v>356</v>
      </c>
      <c r="D82" s="79" t="s">
        <v>244</v>
      </c>
      <c r="E82" s="80"/>
      <c r="F82" s="80"/>
      <c r="G82" s="80"/>
      <c r="H82" s="80"/>
      <c r="I82" s="80">
        <v>-8.86</v>
      </c>
      <c r="J82" s="80"/>
      <c r="K82" s="80">
        <f t="shared" si="4"/>
        <v>-8.86</v>
      </c>
      <c r="L82" s="80"/>
      <c r="M82" s="80"/>
      <c r="N82" s="80"/>
      <c r="O82" s="80"/>
      <c r="P82" s="80"/>
      <c r="Q82" s="80">
        <f t="shared" si="5"/>
        <v>0</v>
      </c>
      <c r="R82" s="80"/>
      <c r="S82" s="81">
        <f t="shared" si="6"/>
        <v>-8.86</v>
      </c>
      <c r="U82" s="79" t="s">
        <v>251</v>
      </c>
      <c r="V82" s="79" t="s">
        <v>101</v>
      </c>
      <c r="W82" s="82">
        <v>-8.86</v>
      </c>
      <c r="X82" s="79" t="s">
        <v>246</v>
      </c>
      <c r="Y82" s="82">
        <v>-0.53</v>
      </c>
      <c r="Z82" s="82"/>
      <c r="AD82" s="82"/>
      <c r="AF82" s="82"/>
    </row>
    <row r="83" spans="1:32" s="79" customFormat="1" ht="11.4" x14ac:dyDescent="0.25">
      <c r="B83" s="79" t="s">
        <v>100</v>
      </c>
      <c r="C83" s="79" t="s">
        <v>357</v>
      </c>
      <c r="D83" s="79" t="s">
        <v>244</v>
      </c>
      <c r="E83" s="80"/>
      <c r="F83" s="80"/>
      <c r="G83" s="80"/>
      <c r="H83" s="80"/>
      <c r="I83" s="80">
        <v>-8.86</v>
      </c>
      <c r="J83" s="80"/>
      <c r="K83" s="80">
        <f t="shared" si="4"/>
        <v>-8.86</v>
      </c>
      <c r="L83" s="80"/>
      <c r="M83" s="80"/>
      <c r="N83" s="80"/>
      <c r="O83" s="80"/>
      <c r="P83" s="80"/>
      <c r="Q83" s="80">
        <f t="shared" si="5"/>
        <v>0</v>
      </c>
      <c r="R83" s="80"/>
      <c r="S83" s="81">
        <f t="shared" si="6"/>
        <v>-8.86</v>
      </c>
      <c r="U83" s="79" t="s">
        <v>251</v>
      </c>
      <c r="V83" s="79" t="s">
        <v>101</v>
      </c>
      <c r="W83" s="82">
        <v>-8.86</v>
      </c>
      <c r="X83" s="79" t="s">
        <v>246</v>
      </c>
      <c r="Y83" s="82">
        <v>-0.53</v>
      </c>
      <c r="Z83" s="82"/>
      <c r="AD83" s="82"/>
      <c r="AF83" s="82"/>
    </row>
    <row r="84" spans="1:32" s="79" customFormat="1" ht="11.4" x14ac:dyDescent="0.25">
      <c r="B84" s="79" t="s">
        <v>100</v>
      </c>
      <c r="C84" s="79" t="s">
        <v>358</v>
      </c>
      <c r="D84" s="79" t="s">
        <v>244</v>
      </c>
      <c r="E84" s="80"/>
      <c r="F84" s="80"/>
      <c r="G84" s="80"/>
      <c r="H84" s="80"/>
      <c r="I84" s="80">
        <v>-8.86</v>
      </c>
      <c r="J84" s="80"/>
      <c r="K84" s="80">
        <f t="shared" si="4"/>
        <v>-8.86</v>
      </c>
      <c r="L84" s="80"/>
      <c r="M84" s="80"/>
      <c r="N84" s="80"/>
      <c r="O84" s="80"/>
      <c r="P84" s="80"/>
      <c r="Q84" s="80">
        <f t="shared" si="5"/>
        <v>0</v>
      </c>
      <c r="R84" s="80"/>
      <c r="S84" s="81">
        <f t="shared" si="6"/>
        <v>-8.86</v>
      </c>
      <c r="U84" s="79" t="s">
        <v>251</v>
      </c>
      <c r="V84" s="79" t="s">
        <v>101</v>
      </c>
      <c r="W84" s="82">
        <v>-8.86</v>
      </c>
      <c r="X84" s="79" t="s">
        <v>246</v>
      </c>
      <c r="Y84" s="82">
        <v>-0.53</v>
      </c>
      <c r="Z84" s="82"/>
      <c r="AD84" s="82"/>
      <c r="AF84" s="82"/>
    </row>
    <row r="85" spans="1:32" s="79" customFormat="1" ht="11.4" x14ac:dyDescent="0.25">
      <c r="B85" s="79" t="s">
        <v>100</v>
      </c>
      <c r="C85" s="79" t="s">
        <v>359</v>
      </c>
      <c r="D85" s="79" t="s">
        <v>244</v>
      </c>
      <c r="E85" s="80"/>
      <c r="F85" s="80"/>
      <c r="G85" s="80"/>
      <c r="H85" s="80"/>
      <c r="I85" s="80">
        <v>-8.86</v>
      </c>
      <c r="J85" s="80"/>
      <c r="K85" s="80">
        <f t="shared" si="4"/>
        <v>-8.86</v>
      </c>
      <c r="L85" s="80"/>
      <c r="M85" s="80"/>
      <c r="N85" s="80"/>
      <c r="O85" s="80"/>
      <c r="P85" s="80"/>
      <c r="Q85" s="80">
        <f t="shared" si="5"/>
        <v>0</v>
      </c>
      <c r="R85" s="80"/>
      <c r="S85" s="81">
        <f t="shared" si="6"/>
        <v>-8.86</v>
      </c>
      <c r="U85" s="79" t="s">
        <v>251</v>
      </c>
      <c r="V85" s="79" t="s">
        <v>101</v>
      </c>
      <c r="W85" s="82">
        <v>-8.86</v>
      </c>
      <c r="X85" s="79" t="s">
        <v>246</v>
      </c>
      <c r="Y85" s="82">
        <v>-0.53</v>
      </c>
      <c r="Z85" s="82"/>
      <c r="AD85" s="82"/>
      <c r="AF85" s="82"/>
    </row>
    <row r="86" spans="1:32" s="79" customFormat="1" ht="11.4" x14ac:dyDescent="0.25">
      <c r="B86" s="79" t="s">
        <v>100</v>
      </c>
      <c r="C86" s="79" t="s">
        <v>360</v>
      </c>
      <c r="D86" s="79" t="s">
        <v>244</v>
      </c>
      <c r="E86" s="80"/>
      <c r="F86" s="80"/>
      <c r="G86" s="80"/>
      <c r="H86" s="80"/>
      <c r="I86" s="80">
        <v>-8.86</v>
      </c>
      <c r="J86" s="80"/>
      <c r="K86" s="80">
        <f t="shared" si="4"/>
        <v>-8.86</v>
      </c>
      <c r="L86" s="80"/>
      <c r="M86" s="80"/>
      <c r="N86" s="80"/>
      <c r="O86" s="80"/>
      <c r="P86" s="80"/>
      <c r="Q86" s="80">
        <f t="shared" si="5"/>
        <v>0</v>
      </c>
      <c r="R86" s="80"/>
      <c r="S86" s="81">
        <f t="shared" si="6"/>
        <v>-8.86</v>
      </c>
      <c r="U86" s="79" t="s">
        <v>251</v>
      </c>
      <c r="V86" s="79" t="s">
        <v>101</v>
      </c>
      <c r="W86" s="82">
        <v>-8.86</v>
      </c>
      <c r="X86" s="79" t="s">
        <v>246</v>
      </c>
      <c r="Y86" s="82">
        <v>-0.54</v>
      </c>
      <c r="Z86" s="82"/>
      <c r="AD86" s="82"/>
      <c r="AF86" s="82"/>
    </row>
    <row r="87" spans="1:32" s="79" customFormat="1" ht="11.4" x14ac:dyDescent="0.25">
      <c r="A87" s="79">
        <v>7</v>
      </c>
      <c r="B87" s="79" t="s">
        <v>145</v>
      </c>
      <c r="C87" s="79" t="s">
        <v>355</v>
      </c>
      <c r="D87" s="79" t="s">
        <v>244</v>
      </c>
      <c r="E87" s="80"/>
      <c r="F87" s="80"/>
      <c r="G87" s="80"/>
      <c r="H87" s="80"/>
      <c r="I87" s="80">
        <v>-7.09</v>
      </c>
      <c r="J87" s="80"/>
      <c r="K87" s="80">
        <f t="shared" si="4"/>
        <v>-7.09</v>
      </c>
      <c r="L87" s="80"/>
      <c r="M87" s="80"/>
      <c r="N87" s="80"/>
      <c r="O87" s="80"/>
      <c r="P87" s="80"/>
      <c r="Q87" s="80">
        <f t="shared" si="5"/>
        <v>0</v>
      </c>
      <c r="R87" s="80"/>
      <c r="S87" s="81">
        <f t="shared" si="6"/>
        <v>-7.09</v>
      </c>
      <c r="U87" s="79" t="s">
        <v>252</v>
      </c>
      <c r="V87" s="79" t="s">
        <v>146</v>
      </c>
      <c r="W87" s="82">
        <v>-7.09</v>
      </c>
      <c r="X87" s="79" t="s">
        <v>246</v>
      </c>
      <c r="Y87" s="82">
        <v>-0.43</v>
      </c>
      <c r="Z87" s="82"/>
      <c r="AD87" s="82"/>
      <c r="AF87" s="82"/>
    </row>
    <row r="88" spans="1:32" s="79" customFormat="1" ht="11.4" x14ac:dyDescent="0.25">
      <c r="B88" s="79" t="s">
        <v>145</v>
      </c>
      <c r="C88" s="79" t="s">
        <v>356</v>
      </c>
      <c r="D88" s="79" t="s">
        <v>244</v>
      </c>
      <c r="E88" s="80"/>
      <c r="F88" s="80"/>
      <c r="G88" s="80"/>
      <c r="H88" s="80"/>
      <c r="I88" s="80">
        <v>-7.09</v>
      </c>
      <c r="J88" s="80"/>
      <c r="K88" s="80">
        <f t="shared" si="4"/>
        <v>-7.09</v>
      </c>
      <c r="L88" s="80"/>
      <c r="M88" s="80"/>
      <c r="N88" s="80"/>
      <c r="O88" s="80"/>
      <c r="P88" s="80"/>
      <c r="Q88" s="80">
        <f t="shared" si="5"/>
        <v>0</v>
      </c>
      <c r="R88" s="80"/>
      <c r="S88" s="81">
        <f t="shared" si="6"/>
        <v>-7.09</v>
      </c>
      <c r="U88" s="79" t="s">
        <v>252</v>
      </c>
      <c r="V88" s="79" t="s">
        <v>146</v>
      </c>
      <c r="W88" s="82">
        <v>-7.09</v>
      </c>
      <c r="X88" s="79" t="s">
        <v>246</v>
      </c>
      <c r="Y88" s="82">
        <v>-0.43</v>
      </c>
      <c r="Z88" s="82"/>
      <c r="AD88" s="82"/>
      <c r="AF88" s="82"/>
    </row>
    <row r="89" spans="1:32" s="79" customFormat="1" ht="11.4" x14ac:dyDescent="0.25">
      <c r="B89" s="79" t="s">
        <v>145</v>
      </c>
      <c r="C89" s="79" t="s">
        <v>357</v>
      </c>
      <c r="D89" s="79" t="s">
        <v>244</v>
      </c>
      <c r="E89" s="80"/>
      <c r="F89" s="80"/>
      <c r="G89" s="80"/>
      <c r="H89" s="80"/>
      <c r="I89" s="80">
        <v>-7.09</v>
      </c>
      <c r="J89" s="80"/>
      <c r="K89" s="80">
        <f t="shared" si="4"/>
        <v>-7.09</v>
      </c>
      <c r="L89" s="80"/>
      <c r="M89" s="80"/>
      <c r="N89" s="80"/>
      <c r="O89" s="80"/>
      <c r="P89" s="80"/>
      <c r="Q89" s="80">
        <f t="shared" si="5"/>
        <v>0</v>
      </c>
      <c r="R89" s="80"/>
      <c r="S89" s="81">
        <f t="shared" si="6"/>
        <v>-7.09</v>
      </c>
      <c r="U89" s="79" t="s">
        <v>252</v>
      </c>
      <c r="V89" s="79" t="s">
        <v>146</v>
      </c>
      <c r="W89" s="82">
        <v>-7.09</v>
      </c>
      <c r="X89" s="79" t="s">
        <v>246</v>
      </c>
      <c r="Y89" s="82">
        <v>-0.43</v>
      </c>
      <c r="Z89" s="82"/>
      <c r="AD89" s="82"/>
      <c r="AF89" s="82"/>
    </row>
    <row r="90" spans="1:32" s="79" customFormat="1" ht="11.4" x14ac:dyDescent="0.25">
      <c r="B90" s="79" t="s">
        <v>145</v>
      </c>
      <c r="C90" s="79" t="s">
        <v>358</v>
      </c>
      <c r="D90" s="79" t="s">
        <v>244</v>
      </c>
      <c r="E90" s="80"/>
      <c r="F90" s="80"/>
      <c r="G90" s="80"/>
      <c r="H90" s="80"/>
      <c r="I90" s="80">
        <v>-7.09</v>
      </c>
      <c r="J90" s="80"/>
      <c r="K90" s="80">
        <f t="shared" si="4"/>
        <v>-7.09</v>
      </c>
      <c r="L90" s="80"/>
      <c r="M90" s="80"/>
      <c r="N90" s="80"/>
      <c r="O90" s="80"/>
      <c r="P90" s="80"/>
      <c r="Q90" s="80">
        <f t="shared" si="5"/>
        <v>0</v>
      </c>
      <c r="R90" s="80"/>
      <c r="S90" s="81">
        <f t="shared" si="6"/>
        <v>-7.09</v>
      </c>
      <c r="U90" s="79" t="s">
        <v>252</v>
      </c>
      <c r="V90" s="79" t="s">
        <v>146</v>
      </c>
      <c r="W90" s="82">
        <v>-7.09</v>
      </c>
      <c r="X90" s="79" t="s">
        <v>246</v>
      </c>
      <c r="Y90" s="82">
        <v>-0.43</v>
      </c>
      <c r="Z90" s="82"/>
      <c r="AD90" s="82"/>
      <c r="AF90" s="82"/>
    </row>
    <row r="91" spans="1:32" s="79" customFormat="1" ht="11.4" x14ac:dyDescent="0.25">
      <c r="B91" s="79" t="s">
        <v>145</v>
      </c>
      <c r="C91" s="79" t="s">
        <v>359</v>
      </c>
      <c r="D91" s="79" t="s">
        <v>244</v>
      </c>
      <c r="E91" s="80"/>
      <c r="F91" s="80"/>
      <c r="G91" s="80"/>
      <c r="H91" s="80"/>
      <c r="I91" s="80">
        <v>-7.09</v>
      </c>
      <c r="J91" s="80"/>
      <c r="K91" s="80">
        <f t="shared" si="4"/>
        <v>-7.09</v>
      </c>
      <c r="L91" s="80"/>
      <c r="M91" s="80"/>
      <c r="N91" s="80"/>
      <c r="O91" s="80"/>
      <c r="P91" s="80"/>
      <c r="Q91" s="80">
        <f t="shared" si="5"/>
        <v>0</v>
      </c>
      <c r="R91" s="80"/>
      <c r="S91" s="81">
        <f t="shared" si="6"/>
        <v>-7.09</v>
      </c>
      <c r="U91" s="79" t="s">
        <v>252</v>
      </c>
      <c r="V91" s="79" t="s">
        <v>146</v>
      </c>
      <c r="W91" s="82">
        <v>-7.09</v>
      </c>
      <c r="X91" s="79" t="s">
        <v>246</v>
      </c>
      <c r="Y91" s="82">
        <v>-0.43</v>
      </c>
      <c r="Z91" s="82"/>
      <c r="AD91" s="82"/>
      <c r="AF91" s="82"/>
    </row>
    <row r="92" spans="1:32" s="79" customFormat="1" ht="11.4" x14ac:dyDescent="0.25">
      <c r="B92" s="79" t="s">
        <v>145</v>
      </c>
      <c r="C92" s="79" t="s">
        <v>360</v>
      </c>
      <c r="D92" s="79" t="s">
        <v>244</v>
      </c>
      <c r="E92" s="80"/>
      <c r="F92" s="80"/>
      <c r="G92" s="80"/>
      <c r="H92" s="80"/>
      <c r="I92" s="80">
        <v>-7.09</v>
      </c>
      <c r="J92" s="80"/>
      <c r="K92" s="80">
        <f t="shared" si="4"/>
        <v>-7.09</v>
      </c>
      <c r="L92" s="80"/>
      <c r="M92" s="80"/>
      <c r="N92" s="80"/>
      <c r="O92" s="80"/>
      <c r="P92" s="80"/>
      <c r="Q92" s="80">
        <f t="shared" si="5"/>
        <v>0</v>
      </c>
      <c r="R92" s="80"/>
      <c r="S92" s="81">
        <f t="shared" si="6"/>
        <v>-7.09</v>
      </c>
      <c r="U92" s="79" t="s">
        <v>252</v>
      </c>
      <c r="V92" s="79" t="s">
        <v>146</v>
      </c>
      <c r="W92" s="82">
        <v>-7.09</v>
      </c>
      <c r="X92" s="79" t="s">
        <v>246</v>
      </c>
      <c r="Y92" s="82">
        <v>-0.4</v>
      </c>
      <c r="Z92" s="82"/>
      <c r="AD92" s="82"/>
      <c r="AF92" s="82"/>
    </row>
    <row r="93" spans="1:32" s="79" customFormat="1" ht="11.4" x14ac:dyDescent="0.25">
      <c r="A93" s="79">
        <v>8</v>
      </c>
      <c r="B93" s="79" t="s">
        <v>118</v>
      </c>
      <c r="C93" s="79" t="s">
        <v>355</v>
      </c>
      <c r="D93" s="79" t="s">
        <v>244</v>
      </c>
      <c r="E93" s="80"/>
      <c r="F93" s="80"/>
      <c r="G93" s="80"/>
      <c r="H93" s="80"/>
      <c r="I93" s="80">
        <v>-10.06</v>
      </c>
      <c r="J93" s="80"/>
      <c r="K93" s="80">
        <f t="shared" si="4"/>
        <v>-10.06</v>
      </c>
      <c r="L93" s="80"/>
      <c r="M93" s="80"/>
      <c r="N93" s="80"/>
      <c r="O93" s="80"/>
      <c r="P93" s="80"/>
      <c r="Q93" s="80">
        <f t="shared" si="5"/>
        <v>0</v>
      </c>
      <c r="R93" s="80"/>
      <c r="S93" s="81">
        <f t="shared" si="6"/>
        <v>-10.06</v>
      </c>
      <c r="U93" s="79" t="s">
        <v>256</v>
      </c>
      <c r="V93" s="79" t="s">
        <v>119</v>
      </c>
      <c r="W93" s="82">
        <v>-10.06</v>
      </c>
      <c r="X93" s="79" t="s">
        <v>246</v>
      </c>
      <c r="Y93" s="82">
        <v>-0.6</v>
      </c>
      <c r="Z93" s="82"/>
      <c r="AD93" s="82"/>
      <c r="AF93" s="82"/>
    </row>
    <row r="94" spans="1:32" s="79" customFormat="1" ht="11.4" x14ac:dyDescent="0.25">
      <c r="B94" s="79" t="s">
        <v>118</v>
      </c>
      <c r="C94" s="79" t="s">
        <v>356</v>
      </c>
      <c r="D94" s="79" t="s">
        <v>244</v>
      </c>
      <c r="E94" s="80"/>
      <c r="F94" s="80"/>
      <c r="G94" s="80"/>
      <c r="H94" s="80"/>
      <c r="I94" s="80">
        <v>-10.06</v>
      </c>
      <c r="J94" s="80"/>
      <c r="K94" s="80">
        <f t="shared" si="4"/>
        <v>-10.06</v>
      </c>
      <c r="L94" s="80"/>
      <c r="M94" s="80"/>
      <c r="N94" s="80"/>
      <c r="O94" s="80"/>
      <c r="P94" s="80"/>
      <c r="Q94" s="80">
        <f t="shared" si="5"/>
        <v>0</v>
      </c>
      <c r="R94" s="80"/>
      <c r="S94" s="81">
        <f t="shared" si="6"/>
        <v>-10.06</v>
      </c>
      <c r="U94" s="79" t="s">
        <v>256</v>
      </c>
      <c r="V94" s="79" t="s">
        <v>119</v>
      </c>
      <c r="W94" s="82">
        <v>-10.06</v>
      </c>
      <c r="X94" s="79" t="s">
        <v>246</v>
      </c>
      <c r="Y94" s="82">
        <v>-0.6</v>
      </c>
      <c r="Z94" s="82"/>
      <c r="AD94" s="82"/>
      <c r="AF94" s="82"/>
    </row>
    <row r="95" spans="1:32" s="79" customFormat="1" ht="11.4" x14ac:dyDescent="0.25">
      <c r="B95" s="79" t="s">
        <v>118</v>
      </c>
      <c r="C95" s="79" t="s">
        <v>357</v>
      </c>
      <c r="D95" s="79" t="s">
        <v>244</v>
      </c>
      <c r="E95" s="80"/>
      <c r="F95" s="80"/>
      <c r="G95" s="80"/>
      <c r="H95" s="80"/>
      <c r="I95" s="80">
        <v>-10.06</v>
      </c>
      <c r="J95" s="80"/>
      <c r="K95" s="80">
        <f t="shared" si="4"/>
        <v>-10.06</v>
      </c>
      <c r="L95" s="80"/>
      <c r="M95" s="80"/>
      <c r="N95" s="80"/>
      <c r="O95" s="80"/>
      <c r="P95" s="80"/>
      <c r="Q95" s="80">
        <f t="shared" si="5"/>
        <v>0</v>
      </c>
      <c r="R95" s="80"/>
      <c r="S95" s="81">
        <f t="shared" si="6"/>
        <v>-10.06</v>
      </c>
      <c r="U95" s="79" t="s">
        <v>256</v>
      </c>
      <c r="V95" s="79" t="s">
        <v>119</v>
      </c>
      <c r="W95" s="82">
        <v>-10.06</v>
      </c>
      <c r="X95" s="79" t="s">
        <v>246</v>
      </c>
      <c r="Y95" s="82">
        <v>-0.6</v>
      </c>
      <c r="Z95" s="82"/>
      <c r="AD95" s="82"/>
      <c r="AF95" s="82"/>
    </row>
    <row r="96" spans="1:32" s="79" customFormat="1" ht="11.4" x14ac:dyDescent="0.25">
      <c r="B96" s="79" t="s">
        <v>118</v>
      </c>
      <c r="C96" s="79" t="s">
        <v>358</v>
      </c>
      <c r="D96" s="79" t="s">
        <v>244</v>
      </c>
      <c r="E96" s="80"/>
      <c r="F96" s="80"/>
      <c r="G96" s="80"/>
      <c r="H96" s="80"/>
      <c r="I96" s="80">
        <v>-10.06</v>
      </c>
      <c r="J96" s="80"/>
      <c r="K96" s="80">
        <f t="shared" si="4"/>
        <v>-10.06</v>
      </c>
      <c r="L96" s="80"/>
      <c r="M96" s="80"/>
      <c r="N96" s="80"/>
      <c r="O96" s="80"/>
      <c r="P96" s="80"/>
      <c r="Q96" s="80">
        <f t="shared" si="5"/>
        <v>0</v>
      </c>
      <c r="R96" s="80"/>
      <c r="S96" s="81">
        <f t="shared" si="6"/>
        <v>-10.06</v>
      </c>
      <c r="U96" s="79" t="s">
        <v>256</v>
      </c>
      <c r="V96" s="79" t="s">
        <v>119</v>
      </c>
      <c r="W96" s="82">
        <v>-10.06</v>
      </c>
      <c r="X96" s="79" t="s">
        <v>246</v>
      </c>
      <c r="Y96" s="82">
        <v>-0.6</v>
      </c>
      <c r="Z96" s="82"/>
      <c r="AD96" s="82"/>
      <c r="AF96" s="82"/>
    </row>
    <row r="97" spans="1:32" s="79" customFormat="1" ht="11.4" x14ac:dyDescent="0.25">
      <c r="B97" s="79" t="s">
        <v>118</v>
      </c>
      <c r="C97" s="79" t="s">
        <v>359</v>
      </c>
      <c r="D97" s="79" t="s">
        <v>244</v>
      </c>
      <c r="E97" s="80"/>
      <c r="F97" s="80"/>
      <c r="G97" s="80"/>
      <c r="H97" s="80"/>
      <c r="I97" s="80">
        <v>-10.06</v>
      </c>
      <c r="J97" s="80"/>
      <c r="K97" s="80">
        <f t="shared" si="4"/>
        <v>-10.06</v>
      </c>
      <c r="L97" s="80"/>
      <c r="M97" s="80"/>
      <c r="N97" s="80"/>
      <c r="O97" s="80"/>
      <c r="P97" s="80"/>
      <c r="Q97" s="80">
        <f t="shared" si="5"/>
        <v>0</v>
      </c>
      <c r="R97" s="80"/>
      <c r="S97" s="81">
        <f t="shared" si="6"/>
        <v>-10.06</v>
      </c>
      <c r="U97" s="79" t="s">
        <v>256</v>
      </c>
      <c r="V97" s="79" t="s">
        <v>119</v>
      </c>
      <c r="W97" s="82">
        <v>-10.06</v>
      </c>
      <c r="X97" s="79" t="s">
        <v>246</v>
      </c>
      <c r="Y97" s="82">
        <v>-0.6</v>
      </c>
      <c r="Z97" s="82"/>
      <c r="AD97" s="82"/>
      <c r="AF97" s="82"/>
    </row>
    <row r="98" spans="1:32" s="79" customFormat="1" ht="11.4" x14ac:dyDescent="0.25">
      <c r="B98" s="79" t="s">
        <v>118</v>
      </c>
      <c r="C98" s="79" t="s">
        <v>360</v>
      </c>
      <c r="D98" s="79" t="s">
        <v>244</v>
      </c>
      <c r="E98" s="80"/>
      <c r="F98" s="80"/>
      <c r="G98" s="80"/>
      <c r="H98" s="80"/>
      <c r="I98" s="80">
        <v>-10.06</v>
      </c>
      <c r="J98" s="80"/>
      <c r="K98" s="80">
        <f t="shared" si="4"/>
        <v>-10.06</v>
      </c>
      <c r="L98" s="80"/>
      <c r="M98" s="80"/>
      <c r="N98" s="80"/>
      <c r="O98" s="80"/>
      <c r="P98" s="80"/>
      <c r="Q98" s="80">
        <f t="shared" si="5"/>
        <v>0</v>
      </c>
      <c r="R98" s="80"/>
      <c r="S98" s="81">
        <f t="shared" si="6"/>
        <v>-10.06</v>
      </c>
      <c r="U98" s="79" t="s">
        <v>256</v>
      </c>
      <c r="V98" s="79" t="s">
        <v>119</v>
      </c>
      <c r="W98" s="82">
        <v>-10.06</v>
      </c>
      <c r="X98" s="79" t="s">
        <v>246</v>
      </c>
      <c r="Y98" s="82">
        <v>-0.62</v>
      </c>
      <c r="Z98" s="82"/>
      <c r="AD98" s="82"/>
      <c r="AF98" s="82"/>
    </row>
    <row r="99" spans="1:32" s="79" customFormat="1" ht="11.4" x14ac:dyDescent="0.25">
      <c r="A99" s="79">
        <v>9</v>
      </c>
      <c r="B99" s="79" t="s">
        <v>163</v>
      </c>
      <c r="C99" s="79" t="s">
        <v>355</v>
      </c>
      <c r="D99" s="79" t="s">
        <v>244</v>
      </c>
      <c r="E99" s="80"/>
      <c r="F99" s="80"/>
      <c r="G99" s="80"/>
      <c r="H99" s="80"/>
      <c r="I99" s="80">
        <v>-7.09</v>
      </c>
      <c r="J99" s="80"/>
      <c r="K99" s="80">
        <f t="shared" si="4"/>
        <v>-7.09</v>
      </c>
      <c r="L99" s="80"/>
      <c r="M99" s="80"/>
      <c r="N99" s="80"/>
      <c r="O99" s="80"/>
      <c r="P99" s="80"/>
      <c r="Q99" s="80">
        <f t="shared" si="5"/>
        <v>0</v>
      </c>
      <c r="R99" s="80"/>
      <c r="S99" s="81">
        <f t="shared" si="6"/>
        <v>-7.09</v>
      </c>
      <c r="U99" s="79" t="s">
        <v>257</v>
      </c>
      <c r="V99" s="79" t="s">
        <v>164</v>
      </c>
      <c r="W99" s="82">
        <v>-7.09</v>
      </c>
      <c r="X99" s="79" t="s">
        <v>246</v>
      </c>
      <c r="Y99" s="82">
        <v>-0.43</v>
      </c>
      <c r="Z99" s="82"/>
      <c r="AD99" s="82"/>
      <c r="AF99" s="82"/>
    </row>
    <row r="100" spans="1:32" s="79" customFormat="1" ht="11.4" x14ac:dyDescent="0.25">
      <c r="B100" s="79" t="s">
        <v>163</v>
      </c>
      <c r="C100" s="79" t="s">
        <v>356</v>
      </c>
      <c r="D100" s="79" t="s">
        <v>244</v>
      </c>
      <c r="E100" s="80"/>
      <c r="F100" s="80"/>
      <c r="G100" s="80"/>
      <c r="H100" s="80"/>
      <c r="I100" s="80">
        <v>-7.09</v>
      </c>
      <c r="J100" s="80"/>
      <c r="K100" s="80">
        <f t="shared" si="4"/>
        <v>-7.09</v>
      </c>
      <c r="L100" s="80"/>
      <c r="M100" s="80"/>
      <c r="N100" s="80"/>
      <c r="O100" s="80"/>
      <c r="P100" s="80"/>
      <c r="Q100" s="80">
        <f t="shared" si="5"/>
        <v>0</v>
      </c>
      <c r="R100" s="80"/>
      <c r="S100" s="81">
        <f t="shared" si="6"/>
        <v>-7.09</v>
      </c>
      <c r="U100" s="79" t="s">
        <v>257</v>
      </c>
      <c r="V100" s="79" t="s">
        <v>164</v>
      </c>
      <c r="W100" s="82">
        <v>-7.09</v>
      </c>
      <c r="X100" s="79" t="s">
        <v>246</v>
      </c>
      <c r="Y100" s="82">
        <v>-0.43</v>
      </c>
      <c r="Z100" s="82"/>
      <c r="AD100" s="82"/>
      <c r="AF100" s="82"/>
    </row>
    <row r="101" spans="1:32" s="79" customFormat="1" ht="11.4" x14ac:dyDescent="0.25">
      <c r="B101" s="79" t="s">
        <v>163</v>
      </c>
      <c r="C101" s="79" t="s">
        <v>357</v>
      </c>
      <c r="D101" s="79" t="s">
        <v>244</v>
      </c>
      <c r="E101" s="80"/>
      <c r="F101" s="80"/>
      <c r="G101" s="80"/>
      <c r="H101" s="80"/>
      <c r="I101" s="80">
        <v>-7.09</v>
      </c>
      <c r="J101" s="80"/>
      <c r="K101" s="80">
        <f t="shared" si="4"/>
        <v>-7.09</v>
      </c>
      <c r="L101" s="80"/>
      <c r="M101" s="80"/>
      <c r="N101" s="80"/>
      <c r="O101" s="80"/>
      <c r="P101" s="80"/>
      <c r="Q101" s="80">
        <f t="shared" si="5"/>
        <v>0</v>
      </c>
      <c r="R101" s="80"/>
      <c r="S101" s="81">
        <f t="shared" si="6"/>
        <v>-7.09</v>
      </c>
      <c r="U101" s="79" t="s">
        <v>257</v>
      </c>
      <c r="V101" s="79" t="s">
        <v>164</v>
      </c>
      <c r="W101" s="82">
        <v>-7.09</v>
      </c>
      <c r="X101" s="79" t="s">
        <v>246</v>
      </c>
      <c r="Y101" s="82">
        <v>-0.43</v>
      </c>
      <c r="Z101" s="82"/>
      <c r="AD101" s="82"/>
      <c r="AF101" s="82"/>
    </row>
    <row r="102" spans="1:32" s="79" customFormat="1" ht="11.4" x14ac:dyDescent="0.25">
      <c r="B102" s="79" t="s">
        <v>163</v>
      </c>
      <c r="C102" s="79" t="s">
        <v>358</v>
      </c>
      <c r="D102" s="79" t="s">
        <v>244</v>
      </c>
      <c r="E102" s="80"/>
      <c r="F102" s="80"/>
      <c r="G102" s="80"/>
      <c r="H102" s="80"/>
      <c r="I102" s="80">
        <v>-7.09</v>
      </c>
      <c r="J102" s="80"/>
      <c r="K102" s="80">
        <f t="shared" si="4"/>
        <v>-7.09</v>
      </c>
      <c r="L102" s="80"/>
      <c r="M102" s="80"/>
      <c r="N102" s="80"/>
      <c r="O102" s="80"/>
      <c r="P102" s="80"/>
      <c r="Q102" s="80">
        <f t="shared" si="5"/>
        <v>0</v>
      </c>
      <c r="R102" s="80"/>
      <c r="S102" s="81">
        <f t="shared" si="6"/>
        <v>-7.09</v>
      </c>
      <c r="U102" s="79" t="s">
        <v>257</v>
      </c>
      <c r="V102" s="79" t="s">
        <v>164</v>
      </c>
      <c r="W102" s="82">
        <v>-7.09</v>
      </c>
      <c r="X102" s="79" t="s">
        <v>246</v>
      </c>
      <c r="Y102" s="82">
        <v>-0.43</v>
      </c>
      <c r="Z102" s="82"/>
      <c r="AD102" s="82"/>
      <c r="AF102" s="82"/>
    </row>
    <row r="103" spans="1:32" s="79" customFormat="1" ht="11.4" x14ac:dyDescent="0.25">
      <c r="B103" s="79" t="s">
        <v>163</v>
      </c>
      <c r="C103" s="79" t="s">
        <v>359</v>
      </c>
      <c r="D103" s="79" t="s">
        <v>244</v>
      </c>
      <c r="E103" s="80"/>
      <c r="F103" s="80"/>
      <c r="G103" s="80"/>
      <c r="H103" s="80"/>
      <c r="I103" s="80">
        <v>-7.09</v>
      </c>
      <c r="J103" s="80"/>
      <c r="K103" s="80">
        <f t="shared" si="4"/>
        <v>-7.09</v>
      </c>
      <c r="L103" s="80"/>
      <c r="M103" s="80"/>
      <c r="N103" s="80"/>
      <c r="O103" s="80"/>
      <c r="P103" s="80"/>
      <c r="Q103" s="80">
        <f t="shared" si="5"/>
        <v>0</v>
      </c>
      <c r="R103" s="80"/>
      <c r="S103" s="81">
        <f t="shared" si="6"/>
        <v>-7.09</v>
      </c>
      <c r="U103" s="79" t="s">
        <v>257</v>
      </c>
      <c r="V103" s="79" t="s">
        <v>164</v>
      </c>
      <c r="W103" s="82">
        <v>-7.09</v>
      </c>
      <c r="X103" s="79" t="s">
        <v>246</v>
      </c>
      <c r="Y103" s="82">
        <v>-0.43</v>
      </c>
      <c r="Z103" s="82"/>
      <c r="AD103" s="82"/>
      <c r="AF103" s="82"/>
    </row>
    <row r="104" spans="1:32" s="79" customFormat="1" ht="11.4" x14ac:dyDescent="0.25">
      <c r="B104" s="79" t="s">
        <v>163</v>
      </c>
      <c r="C104" s="79" t="s">
        <v>360</v>
      </c>
      <c r="D104" s="79" t="s">
        <v>244</v>
      </c>
      <c r="E104" s="80"/>
      <c r="F104" s="80"/>
      <c r="G104" s="80"/>
      <c r="H104" s="80"/>
      <c r="I104" s="80">
        <v>-7.09</v>
      </c>
      <c r="J104" s="80"/>
      <c r="K104" s="80">
        <f t="shared" si="4"/>
        <v>-7.09</v>
      </c>
      <c r="L104" s="80"/>
      <c r="M104" s="80"/>
      <c r="N104" s="80"/>
      <c r="O104" s="80"/>
      <c r="P104" s="80"/>
      <c r="Q104" s="80">
        <f t="shared" si="5"/>
        <v>0</v>
      </c>
      <c r="R104" s="80"/>
      <c r="S104" s="81">
        <f t="shared" si="6"/>
        <v>-7.09</v>
      </c>
      <c r="U104" s="79" t="s">
        <v>257</v>
      </c>
      <c r="V104" s="79" t="s">
        <v>164</v>
      </c>
      <c r="W104" s="82">
        <v>-7.09</v>
      </c>
      <c r="X104" s="79" t="s">
        <v>246</v>
      </c>
      <c r="Y104" s="82">
        <v>-0.4</v>
      </c>
      <c r="Z104" s="82"/>
      <c r="AD104" s="82"/>
      <c r="AF104" s="82"/>
    </row>
    <row r="105" spans="1:32" s="79" customFormat="1" ht="11.4" x14ac:dyDescent="0.25">
      <c r="A105" s="79">
        <v>10</v>
      </c>
      <c r="B105" s="79" t="s">
        <v>169</v>
      </c>
      <c r="C105" s="79" t="s">
        <v>355</v>
      </c>
      <c r="D105" s="79" t="s">
        <v>244</v>
      </c>
      <c r="E105" s="80"/>
      <c r="F105" s="80"/>
      <c r="G105" s="80"/>
      <c r="H105" s="80"/>
      <c r="I105" s="80">
        <v>-13.95</v>
      </c>
      <c r="J105" s="80"/>
      <c r="K105" s="80">
        <f t="shared" si="4"/>
        <v>-13.95</v>
      </c>
      <c r="L105" s="80"/>
      <c r="M105" s="80"/>
      <c r="N105" s="80"/>
      <c r="O105" s="80"/>
      <c r="P105" s="80"/>
      <c r="Q105" s="80">
        <f t="shared" si="5"/>
        <v>0</v>
      </c>
      <c r="R105" s="80"/>
      <c r="S105" s="81">
        <f t="shared" si="6"/>
        <v>-13.95</v>
      </c>
      <c r="U105" s="79" t="s">
        <v>258</v>
      </c>
      <c r="V105" s="79" t="s">
        <v>170</v>
      </c>
      <c r="W105" s="82">
        <v>-13.95</v>
      </c>
      <c r="X105" s="79" t="s">
        <v>246</v>
      </c>
      <c r="Y105" s="82">
        <v>-0.84</v>
      </c>
      <c r="Z105" s="82"/>
      <c r="AD105" s="82"/>
      <c r="AF105" s="82"/>
    </row>
    <row r="106" spans="1:32" s="79" customFormat="1" ht="11.4" x14ac:dyDescent="0.25">
      <c r="B106" s="79" t="s">
        <v>169</v>
      </c>
      <c r="C106" s="79" t="s">
        <v>356</v>
      </c>
      <c r="D106" s="79" t="s">
        <v>244</v>
      </c>
      <c r="E106" s="80"/>
      <c r="F106" s="80"/>
      <c r="G106" s="80"/>
      <c r="H106" s="80"/>
      <c r="I106" s="80">
        <v>-13.95</v>
      </c>
      <c r="J106" s="80"/>
      <c r="K106" s="80">
        <f t="shared" si="4"/>
        <v>-13.95</v>
      </c>
      <c r="L106" s="80"/>
      <c r="M106" s="80"/>
      <c r="N106" s="80"/>
      <c r="O106" s="80"/>
      <c r="P106" s="80"/>
      <c r="Q106" s="80">
        <f t="shared" si="5"/>
        <v>0</v>
      </c>
      <c r="R106" s="80"/>
      <c r="S106" s="81">
        <f t="shared" si="6"/>
        <v>-13.95</v>
      </c>
      <c r="U106" s="79" t="s">
        <v>258</v>
      </c>
      <c r="V106" s="79" t="s">
        <v>170</v>
      </c>
      <c r="W106" s="82">
        <v>-13.95</v>
      </c>
      <c r="X106" s="79" t="s">
        <v>246</v>
      </c>
      <c r="Y106" s="82">
        <v>-0.84</v>
      </c>
      <c r="Z106" s="82"/>
      <c r="AD106" s="82"/>
      <c r="AF106" s="82"/>
    </row>
    <row r="107" spans="1:32" s="79" customFormat="1" ht="11.4" x14ac:dyDescent="0.25">
      <c r="B107" s="79" t="s">
        <v>169</v>
      </c>
      <c r="C107" s="79" t="s">
        <v>357</v>
      </c>
      <c r="D107" s="79" t="s">
        <v>244</v>
      </c>
      <c r="E107" s="80"/>
      <c r="F107" s="80"/>
      <c r="G107" s="80"/>
      <c r="H107" s="80"/>
      <c r="I107" s="80">
        <v>-13.95</v>
      </c>
      <c r="J107" s="80"/>
      <c r="K107" s="80">
        <f t="shared" si="4"/>
        <v>-13.95</v>
      </c>
      <c r="L107" s="80"/>
      <c r="M107" s="80"/>
      <c r="N107" s="80"/>
      <c r="O107" s="80"/>
      <c r="P107" s="80"/>
      <c r="Q107" s="80">
        <f t="shared" si="5"/>
        <v>0</v>
      </c>
      <c r="R107" s="80"/>
      <c r="S107" s="81">
        <f t="shared" si="6"/>
        <v>-13.95</v>
      </c>
      <c r="U107" s="79" t="s">
        <v>258</v>
      </c>
      <c r="V107" s="79" t="s">
        <v>170</v>
      </c>
      <c r="W107" s="82">
        <v>-13.95</v>
      </c>
      <c r="X107" s="79" t="s">
        <v>246</v>
      </c>
      <c r="Y107" s="82">
        <v>-0.84</v>
      </c>
      <c r="Z107" s="82"/>
      <c r="AD107" s="82"/>
      <c r="AF107" s="82"/>
    </row>
    <row r="108" spans="1:32" s="79" customFormat="1" ht="11.4" x14ac:dyDescent="0.25">
      <c r="B108" s="79" t="s">
        <v>169</v>
      </c>
      <c r="C108" s="79" t="s">
        <v>358</v>
      </c>
      <c r="D108" s="79" t="s">
        <v>244</v>
      </c>
      <c r="E108" s="80"/>
      <c r="F108" s="80"/>
      <c r="G108" s="80"/>
      <c r="H108" s="80"/>
      <c r="I108" s="80">
        <v>-13.95</v>
      </c>
      <c r="J108" s="80"/>
      <c r="K108" s="80">
        <f t="shared" si="4"/>
        <v>-13.95</v>
      </c>
      <c r="L108" s="80"/>
      <c r="M108" s="80"/>
      <c r="N108" s="80"/>
      <c r="O108" s="80"/>
      <c r="P108" s="80"/>
      <c r="Q108" s="80">
        <f t="shared" si="5"/>
        <v>0</v>
      </c>
      <c r="R108" s="80"/>
      <c r="S108" s="81">
        <f t="shared" si="6"/>
        <v>-13.95</v>
      </c>
      <c r="U108" s="79" t="s">
        <v>258</v>
      </c>
      <c r="V108" s="79" t="s">
        <v>170</v>
      </c>
      <c r="W108" s="82">
        <v>-13.95</v>
      </c>
      <c r="X108" s="79" t="s">
        <v>246</v>
      </c>
      <c r="Y108" s="82">
        <v>-0.84</v>
      </c>
      <c r="Z108" s="82"/>
      <c r="AD108" s="82"/>
      <c r="AF108" s="82"/>
    </row>
    <row r="109" spans="1:32" s="79" customFormat="1" ht="11.4" x14ac:dyDescent="0.25">
      <c r="B109" s="79" t="s">
        <v>169</v>
      </c>
      <c r="C109" s="79" t="s">
        <v>359</v>
      </c>
      <c r="D109" s="79" t="s">
        <v>244</v>
      </c>
      <c r="E109" s="80"/>
      <c r="F109" s="80"/>
      <c r="G109" s="80"/>
      <c r="H109" s="80"/>
      <c r="I109" s="80">
        <v>-13.95</v>
      </c>
      <c r="J109" s="80"/>
      <c r="K109" s="80">
        <f t="shared" si="4"/>
        <v>-13.95</v>
      </c>
      <c r="L109" s="80"/>
      <c r="M109" s="80"/>
      <c r="N109" s="80"/>
      <c r="O109" s="80"/>
      <c r="P109" s="80"/>
      <c r="Q109" s="80">
        <f t="shared" si="5"/>
        <v>0</v>
      </c>
      <c r="R109" s="80"/>
      <c r="S109" s="81">
        <f t="shared" si="6"/>
        <v>-13.95</v>
      </c>
      <c r="U109" s="79" t="s">
        <v>258</v>
      </c>
      <c r="V109" s="79" t="s">
        <v>170</v>
      </c>
      <c r="W109" s="82">
        <v>-13.95</v>
      </c>
      <c r="X109" s="79" t="s">
        <v>246</v>
      </c>
      <c r="Y109" s="82">
        <v>-0.84</v>
      </c>
      <c r="Z109" s="82"/>
      <c r="AD109" s="82"/>
      <c r="AF109" s="82"/>
    </row>
    <row r="110" spans="1:32" s="79" customFormat="1" ht="11.4" x14ac:dyDescent="0.25">
      <c r="B110" s="79" t="s">
        <v>169</v>
      </c>
      <c r="C110" s="79" t="s">
        <v>360</v>
      </c>
      <c r="D110" s="79" t="s">
        <v>244</v>
      </c>
      <c r="E110" s="80"/>
      <c r="F110" s="80"/>
      <c r="G110" s="80"/>
      <c r="H110" s="80"/>
      <c r="I110" s="80">
        <v>-13.95</v>
      </c>
      <c r="J110" s="80"/>
      <c r="K110" s="80">
        <f t="shared" si="4"/>
        <v>-13.95</v>
      </c>
      <c r="L110" s="80"/>
      <c r="M110" s="80"/>
      <c r="N110" s="80"/>
      <c r="O110" s="80"/>
      <c r="P110" s="80"/>
      <c r="Q110" s="80">
        <f t="shared" si="5"/>
        <v>0</v>
      </c>
      <c r="R110" s="80"/>
      <c r="S110" s="81">
        <f t="shared" si="6"/>
        <v>-13.95</v>
      </c>
      <c r="U110" s="79" t="s">
        <v>258</v>
      </c>
      <c r="V110" s="79" t="s">
        <v>170</v>
      </c>
      <c r="W110" s="82">
        <v>-13.95</v>
      </c>
      <c r="X110" s="79" t="s">
        <v>246</v>
      </c>
      <c r="Y110" s="82">
        <v>-0.82</v>
      </c>
      <c r="Z110" s="82"/>
      <c r="AD110" s="82"/>
      <c r="AF110" s="82"/>
    </row>
    <row r="111" spans="1:32" s="79" customFormat="1" ht="11.4" x14ac:dyDescent="0.25">
      <c r="A111" s="79">
        <v>11</v>
      </c>
      <c r="B111" s="79" t="s">
        <v>124</v>
      </c>
      <c r="C111" s="79" t="s">
        <v>355</v>
      </c>
      <c r="D111" s="79" t="s">
        <v>244</v>
      </c>
      <c r="E111" s="80"/>
      <c r="F111" s="80"/>
      <c r="G111" s="80"/>
      <c r="H111" s="80"/>
      <c r="I111" s="80">
        <v>-8.8699999999999992</v>
      </c>
      <c r="J111" s="80"/>
      <c r="K111" s="80">
        <f t="shared" si="4"/>
        <v>-8.8699999999999992</v>
      </c>
      <c r="L111" s="80"/>
      <c r="M111" s="80"/>
      <c r="N111" s="80"/>
      <c r="O111" s="80"/>
      <c r="P111" s="80"/>
      <c r="Q111" s="80">
        <f t="shared" si="5"/>
        <v>0</v>
      </c>
      <c r="R111" s="80"/>
      <c r="S111" s="81">
        <f t="shared" si="6"/>
        <v>-8.8699999999999992</v>
      </c>
      <c r="U111" s="79" t="s">
        <v>259</v>
      </c>
      <c r="V111" s="79" t="s">
        <v>125</v>
      </c>
      <c r="W111" s="82">
        <v>-8.8699999999999992</v>
      </c>
      <c r="X111" s="79" t="s">
        <v>246</v>
      </c>
      <c r="Y111" s="82">
        <v>-0.53</v>
      </c>
      <c r="Z111" s="82"/>
      <c r="AD111" s="82"/>
      <c r="AF111" s="82"/>
    </row>
    <row r="112" spans="1:32" s="79" customFormat="1" ht="11.4" x14ac:dyDescent="0.25">
      <c r="B112" s="79" t="s">
        <v>124</v>
      </c>
      <c r="C112" s="79" t="s">
        <v>356</v>
      </c>
      <c r="D112" s="79" t="s">
        <v>244</v>
      </c>
      <c r="E112" s="80"/>
      <c r="F112" s="80"/>
      <c r="G112" s="80"/>
      <c r="H112" s="80"/>
      <c r="I112" s="80">
        <v>-8.8699999999999992</v>
      </c>
      <c r="J112" s="80"/>
      <c r="K112" s="80">
        <f t="shared" si="4"/>
        <v>-8.8699999999999992</v>
      </c>
      <c r="L112" s="80"/>
      <c r="M112" s="80"/>
      <c r="N112" s="80"/>
      <c r="O112" s="80"/>
      <c r="P112" s="80"/>
      <c r="Q112" s="80">
        <f t="shared" si="5"/>
        <v>0</v>
      </c>
      <c r="R112" s="80"/>
      <c r="S112" s="81">
        <f t="shared" si="6"/>
        <v>-8.8699999999999992</v>
      </c>
      <c r="U112" s="79" t="s">
        <v>259</v>
      </c>
      <c r="V112" s="79" t="s">
        <v>125</v>
      </c>
      <c r="W112" s="82">
        <v>-8.8699999999999992</v>
      </c>
      <c r="X112" s="79" t="s">
        <v>246</v>
      </c>
      <c r="Y112" s="82">
        <v>-0.53</v>
      </c>
      <c r="Z112" s="82"/>
      <c r="AD112" s="82"/>
      <c r="AF112" s="82"/>
    </row>
    <row r="113" spans="1:32" s="79" customFormat="1" ht="11.4" x14ac:dyDescent="0.25">
      <c r="B113" s="79" t="s">
        <v>124</v>
      </c>
      <c r="C113" s="79" t="s">
        <v>357</v>
      </c>
      <c r="D113" s="79" t="s">
        <v>244</v>
      </c>
      <c r="E113" s="80"/>
      <c r="F113" s="80"/>
      <c r="G113" s="80"/>
      <c r="H113" s="80"/>
      <c r="I113" s="80">
        <v>-8.8699999999999992</v>
      </c>
      <c r="J113" s="80"/>
      <c r="K113" s="80">
        <f t="shared" si="4"/>
        <v>-8.8699999999999992</v>
      </c>
      <c r="L113" s="80"/>
      <c r="M113" s="80"/>
      <c r="N113" s="80"/>
      <c r="O113" s="80"/>
      <c r="P113" s="80"/>
      <c r="Q113" s="80">
        <f t="shared" si="5"/>
        <v>0</v>
      </c>
      <c r="R113" s="80"/>
      <c r="S113" s="81">
        <f t="shared" si="6"/>
        <v>-8.8699999999999992</v>
      </c>
      <c r="U113" s="79" t="s">
        <v>259</v>
      </c>
      <c r="V113" s="79" t="s">
        <v>125</v>
      </c>
      <c r="W113" s="82">
        <v>-8.8699999999999992</v>
      </c>
      <c r="X113" s="79" t="s">
        <v>246</v>
      </c>
      <c r="Y113" s="82">
        <v>-0.53</v>
      </c>
      <c r="Z113" s="82"/>
      <c r="AD113" s="82"/>
      <c r="AF113" s="82"/>
    </row>
    <row r="114" spans="1:32" s="79" customFormat="1" ht="11.4" x14ac:dyDescent="0.25">
      <c r="B114" s="79" t="s">
        <v>124</v>
      </c>
      <c r="C114" s="79" t="s">
        <v>358</v>
      </c>
      <c r="D114" s="79" t="s">
        <v>244</v>
      </c>
      <c r="E114" s="80"/>
      <c r="F114" s="80"/>
      <c r="G114" s="80"/>
      <c r="H114" s="80"/>
      <c r="I114" s="80">
        <v>-8.8699999999999992</v>
      </c>
      <c r="J114" s="80"/>
      <c r="K114" s="80">
        <f t="shared" si="4"/>
        <v>-8.8699999999999992</v>
      </c>
      <c r="L114" s="80"/>
      <c r="M114" s="80"/>
      <c r="N114" s="80"/>
      <c r="O114" s="80"/>
      <c r="P114" s="80"/>
      <c r="Q114" s="80">
        <f t="shared" si="5"/>
        <v>0</v>
      </c>
      <c r="R114" s="80"/>
      <c r="S114" s="81">
        <f t="shared" si="6"/>
        <v>-8.8699999999999992</v>
      </c>
      <c r="U114" s="79" t="s">
        <v>259</v>
      </c>
      <c r="V114" s="79" t="s">
        <v>125</v>
      </c>
      <c r="W114" s="82">
        <v>-8.8699999999999992</v>
      </c>
      <c r="X114" s="79" t="s">
        <v>246</v>
      </c>
      <c r="Y114" s="82">
        <v>-0.53</v>
      </c>
      <c r="Z114" s="82"/>
      <c r="AD114" s="82"/>
      <c r="AF114" s="82"/>
    </row>
    <row r="115" spans="1:32" s="79" customFormat="1" ht="11.4" x14ac:dyDescent="0.25">
      <c r="B115" s="79" t="s">
        <v>124</v>
      </c>
      <c r="C115" s="79" t="s">
        <v>359</v>
      </c>
      <c r="D115" s="79" t="s">
        <v>244</v>
      </c>
      <c r="E115" s="80"/>
      <c r="F115" s="80"/>
      <c r="G115" s="80"/>
      <c r="H115" s="80"/>
      <c r="I115" s="80">
        <v>-8.8699999999999992</v>
      </c>
      <c r="J115" s="80"/>
      <c r="K115" s="80">
        <f t="shared" ref="K115:K178" si="7">SUM(F115:J115)</f>
        <v>-8.8699999999999992</v>
      </c>
      <c r="L115" s="80"/>
      <c r="M115" s="80"/>
      <c r="N115" s="80"/>
      <c r="O115" s="80"/>
      <c r="P115" s="80"/>
      <c r="Q115" s="80">
        <f t="shared" ref="Q115:Q178" si="8">SUM(L115:P115)</f>
        <v>0</v>
      </c>
      <c r="R115" s="80"/>
      <c r="S115" s="81">
        <f t="shared" ref="S115:S178" si="9">SUM(K115,Q115:R115)</f>
        <v>-8.8699999999999992</v>
      </c>
      <c r="U115" s="79" t="s">
        <v>259</v>
      </c>
      <c r="V115" s="79" t="s">
        <v>125</v>
      </c>
      <c r="W115" s="82">
        <v>-8.8699999999999992</v>
      </c>
      <c r="X115" s="79" t="s">
        <v>246</v>
      </c>
      <c r="Y115" s="82">
        <v>-0.53</v>
      </c>
      <c r="Z115" s="82"/>
      <c r="AD115" s="82"/>
      <c r="AF115" s="82"/>
    </row>
    <row r="116" spans="1:32" s="79" customFormat="1" ht="11.4" x14ac:dyDescent="0.25">
      <c r="B116" s="79" t="s">
        <v>124</v>
      </c>
      <c r="C116" s="79" t="s">
        <v>360</v>
      </c>
      <c r="D116" s="79" t="s">
        <v>244</v>
      </c>
      <c r="E116" s="80"/>
      <c r="F116" s="80"/>
      <c r="G116" s="80"/>
      <c r="H116" s="80"/>
      <c r="I116" s="80">
        <v>-8.8699999999999992</v>
      </c>
      <c r="J116" s="80"/>
      <c r="K116" s="80">
        <f t="shared" si="7"/>
        <v>-8.8699999999999992</v>
      </c>
      <c r="L116" s="80"/>
      <c r="M116" s="80"/>
      <c r="N116" s="80"/>
      <c r="O116" s="80"/>
      <c r="P116" s="80"/>
      <c r="Q116" s="80">
        <f t="shared" si="8"/>
        <v>0</v>
      </c>
      <c r="R116" s="80"/>
      <c r="S116" s="81">
        <f t="shared" si="9"/>
        <v>-8.8699999999999992</v>
      </c>
      <c r="U116" s="79" t="s">
        <v>259</v>
      </c>
      <c r="V116" s="79" t="s">
        <v>125</v>
      </c>
      <c r="W116" s="82">
        <v>-8.8699999999999992</v>
      </c>
      <c r="X116" s="79" t="s">
        <v>246</v>
      </c>
      <c r="Y116" s="82">
        <v>-0.54</v>
      </c>
      <c r="Z116" s="82"/>
      <c r="AD116" s="82"/>
      <c r="AF116" s="82"/>
    </row>
    <row r="117" spans="1:32" s="79" customFormat="1" ht="11.4" x14ac:dyDescent="0.25">
      <c r="A117" s="79">
        <v>12</v>
      </c>
      <c r="B117" s="79" t="s">
        <v>136</v>
      </c>
      <c r="C117" s="79" t="s">
        <v>355</v>
      </c>
      <c r="D117" s="79" t="s">
        <v>244</v>
      </c>
      <c r="E117" s="80"/>
      <c r="F117" s="80"/>
      <c r="G117" s="80"/>
      <c r="H117" s="80"/>
      <c r="I117" s="80">
        <v>-10.71</v>
      </c>
      <c r="J117" s="80"/>
      <c r="K117" s="80">
        <f t="shared" si="7"/>
        <v>-10.71</v>
      </c>
      <c r="L117" s="80"/>
      <c r="M117" s="80"/>
      <c r="N117" s="80"/>
      <c r="O117" s="80"/>
      <c r="P117" s="80"/>
      <c r="Q117" s="80">
        <f t="shared" si="8"/>
        <v>0</v>
      </c>
      <c r="R117" s="80"/>
      <c r="S117" s="81">
        <f t="shared" si="9"/>
        <v>-10.71</v>
      </c>
      <c r="U117" s="79" t="s">
        <v>260</v>
      </c>
      <c r="V117" s="79" t="s">
        <v>137</v>
      </c>
      <c r="W117" s="82">
        <v>-10.71</v>
      </c>
      <c r="X117" s="79" t="s">
        <v>246</v>
      </c>
      <c r="Y117" s="82">
        <v>-0.64</v>
      </c>
      <c r="Z117" s="82"/>
      <c r="AD117" s="82"/>
      <c r="AF117" s="82"/>
    </row>
    <row r="118" spans="1:32" s="79" customFormat="1" ht="11.4" x14ac:dyDescent="0.25">
      <c r="B118" s="79" t="s">
        <v>136</v>
      </c>
      <c r="C118" s="79" t="s">
        <v>356</v>
      </c>
      <c r="D118" s="79" t="s">
        <v>244</v>
      </c>
      <c r="E118" s="80"/>
      <c r="F118" s="80"/>
      <c r="G118" s="80"/>
      <c r="H118" s="80"/>
      <c r="I118" s="80">
        <v>-10.71</v>
      </c>
      <c r="J118" s="80"/>
      <c r="K118" s="80">
        <f t="shared" si="7"/>
        <v>-10.71</v>
      </c>
      <c r="L118" s="80"/>
      <c r="M118" s="80"/>
      <c r="N118" s="80"/>
      <c r="O118" s="80"/>
      <c r="P118" s="80"/>
      <c r="Q118" s="80">
        <f t="shared" si="8"/>
        <v>0</v>
      </c>
      <c r="R118" s="80"/>
      <c r="S118" s="81">
        <f t="shared" si="9"/>
        <v>-10.71</v>
      </c>
      <c r="U118" s="79" t="s">
        <v>260</v>
      </c>
      <c r="V118" s="79" t="s">
        <v>137</v>
      </c>
      <c r="W118" s="82">
        <v>-10.71</v>
      </c>
      <c r="X118" s="79" t="s">
        <v>246</v>
      </c>
      <c r="Y118" s="82">
        <v>-0.64</v>
      </c>
      <c r="Z118" s="82"/>
      <c r="AD118" s="82"/>
      <c r="AF118" s="82"/>
    </row>
    <row r="119" spans="1:32" s="79" customFormat="1" ht="11.4" x14ac:dyDescent="0.25">
      <c r="B119" s="79" t="s">
        <v>136</v>
      </c>
      <c r="C119" s="79" t="s">
        <v>357</v>
      </c>
      <c r="D119" s="79" t="s">
        <v>244</v>
      </c>
      <c r="E119" s="80"/>
      <c r="F119" s="80"/>
      <c r="G119" s="80"/>
      <c r="H119" s="80"/>
      <c r="I119" s="80">
        <v>-10.71</v>
      </c>
      <c r="J119" s="80"/>
      <c r="K119" s="80">
        <f t="shared" si="7"/>
        <v>-10.71</v>
      </c>
      <c r="L119" s="80"/>
      <c r="M119" s="80"/>
      <c r="N119" s="80"/>
      <c r="O119" s="80"/>
      <c r="P119" s="80"/>
      <c r="Q119" s="80">
        <f t="shared" si="8"/>
        <v>0</v>
      </c>
      <c r="R119" s="80"/>
      <c r="S119" s="81">
        <f t="shared" si="9"/>
        <v>-10.71</v>
      </c>
      <c r="U119" s="79" t="s">
        <v>260</v>
      </c>
      <c r="V119" s="79" t="s">
        <v>137</v>
      </c>
      <c r="W119" s="82">
        <v>-10.71</v>
      </c>
      <c r="X119" s="79" t="s">
        <v>246</v>
      </c>
      <c r="Y119" s="82">
        <v>-0.64</v>
      </c>
      <c r="Z119" s="82"/>
      <c r="AD119" s="82"/>
      <c r="AF119" s="82"/>
    </row>
    <row r="120" spans="1:32" s="79" customFormat="1" ht="11.4" x14ac:dyDescent="0.25">
      <c r="B120" s="79" t="s">
        <v>136</v>
      </c>
      <c r="C120" s="79" t="s">
        <v>358</v>
      </c>
      <c r="D120" s="79" t="s">
        <v>244</v>
      </c>
      <c r="E120" s="80"/>
      <c r="F120" s="80"/>
      <c r="G120" s="80"/>
      <c r="H120" s="80"/>
      <c r="I120" s="80">
        <v>-10.71</v>
      </c>
      <c r="J120" s="80"/>
      <c r="K120" s="80">
        <f t="shared" si="7"/>
        <v>-10.71</v>
      </c>
      <c r="L120" s="80"/>
      <c r="M120" s="80"/>
      <c r="N120" s="80"/>
      <c r="O120" s="80"/>
      <c r="P120" s="80"/>
      <c r="Q120" s="80">
        <f t="shared" si="8"/>
        <v>0</v>
      </c>
      <c r="R120" s="80"/>
      <c r="S120" s="81">
        <f t="shared" si="9"/>
        <v>-10.71</v>
      </c>
      <c r="U120" s="79" t="s">
        <v>260</v>
      </c>
      <c r="V120" s="79" t="s">
        <v>137</v>
      </c>
      <c r="W120" s="82">
        <v>-10.71</v>
      </c>
      <c r="X120" s="79" t="s">
        <v>246</v>
      </c>
      <c r="Y120" s="82">
        <v>-0.64</v>
      </c>
      <c r="Z120" s="82"/>
      <c r="AD120" s="82"/>
      <c r="AF120" s="82"/>
    </row>
    <row r="121" spans="1:32" s="79" customFormat="1" ht="11.4" x14ac:dyDescent="0.25">
      <c r="B121" s="79" t="s">
        <v>136</v>
      </c>
      <c r="C121" s="79" t="s">
        <v>359</v>
      </c>
      <c r="D121" s="79" t="s">
        <v>244</v>
      </c>
      <c r="E121" s="80"/>
      <c r="F121" s="80"/>
      <c r="G121" s="80"/>
      <c r="H121" s="80"/>
      <c r="I121" s="80">
        <v>-10.71</v>
      </c>
      <c r="J121" s="80"/>
      <c r="K121" s="80">
        <f t="shared" si="7"/>
        <v>-10.71</v>
      </c>
      <c r="L121" s="80"/>
      <c r="M121" s="80"/>
      <c r="N121" s="80"/>
      <c r="O121" s="80"/>
      <c r="P121" s="80"/>
      <c r="Q121" s="80">
        <f t="shared" si="8"/>
        <v>0</v>
      </c>
      <c r="R121" s="80"/>
      <c r="S121" s="81">
        <f t="shared" si="9"/>
        <v>-10.71</v>
      </c>
      <c r="U121" s="79" t="s">
        <v>260</v>
      </c>
      <c r="V121" s="79" t="s">
        <v>137</v>
      </c>
      <c r="W121" s="82">
        <v>-10.71</v>
      </c>
      <c r="X121" s="79" t="s">
        <v>246</v>
      </c>
      <c r="Y121" s="82">
        <v>-0.64</v>
      </c>
      <c r="Z121" s="82"/>
      <c r="AD121" s="82"/>
      <c r="AF121" s="82"/>
    </row>
    <row r="122" spans="1:32" s="79" customFormat="1" ht="11.4" x14ac:dyDescent="0.25">
      <c r="B122" s="79" t="s">
        <v>136</v>
      </c>
      <c r="C122" s="79" t="s">
        <v>360</v>
      </c>
      <c r="D122" s="79" t="s">
        <v>244</v>
      </c>
      <c r="E122" s="80"/>
      <c r="F122" s="80"/>
      <c r="G122" s="80"/>
      <c r="H122" s="80"/>
      <c r="I122" s="80">
        <v>-10.71</v>
      </c>
      <c r="J122" s="80"/>
      <c r="K122" s="80">
        <f t="shared" si="7"/>
        <v>-10.71</v>
      </c>
      <c r="L122" s="80"/>
      <c r="M122" s="80"/>
      <c r="N122" s="80"/>
      <c r="O122" s="80"/>
      <c r="P122" s="80"/>
      <c r="Q122" s="80">
        <f t="shared" si="8"/>
        <v>0</v>
      </c>
      <c r="R122" s="80"/>
      <c r="S122" s="81">
        <f t="shared" si="9"/>
        <v>-10.71</v>
      </c>
      <c r="U122" s="79" t="s">
        <v>260</v>
      </c>
      <c r="V122" s="79" t="s">
        <v>137</v>
      </c>
      <c r="W122" s="82">
        <v>-10.71</v>
      </c>
      <c r="X122" s="79" t="s">
        <v>246</v>
      </c>
      <c r="Y122" s="82">
        <v>-0.66</v>
      </c>
      <c r="Z122" s="82"/>
      <c r="AD122" s="82"/>
      <c r="AF122" s="82"/>
    </row>
    <row r="123" spans="1:32" s="79" customFormat="1" ht="11.4" x14ac:dyDescent="0.25">
      <c r="A123" s="79">
        <v>13</v>
      </c>
      <c r="B123" s="79" t="s">
        <v>133</v>
      </c>
      <c r="C123" s="79" t="s">
        <v>355</v>
      </c>
      <c r="D123" s="79" t="s">
        <v>244</v>
      </c>
      <c r="E123" s="80"/>
      <c r="F123" s="80"/>
      <c r="G123" s="80"/>
      <c r="H123" s="80"/>
      <c r="I123" s="80">
        <v>-7.17</v>
      </c>
      <c r="J123" s="80"/>
      <c r="K123" s="80">
        <f t="shared" si="7"/>
        <v>-7.17</v>
      </c>
      <c r="L123" s="80"/>
      <c r="M123" s="80"/>
      <c r="N123" s="80"/>
      <c r="O123" s="80"/>
      <c r="P123" s="80"/>
      <c r="Q123" s="80">
        <f t="shared" si="8"/>
        <v>0</v>
      </c>
      <c r="R123" s="80"/>
      <c r="S123" s="81">
        <f t="shared" si="9"/>
        <v>-7.17</v>
      </c>
      <c r="U123" s="79" t="s">
        <v>261</v>
      </c>
      <c r="V123" s="79" t="s">
        <v>134</v>
      </c>
      <c r="W123" s="82">
        <v>-7.17</v>
      </c>
      <c r="X123" s="79" t="s">
        <v>246</v>
      </c>
      <c r="Y123" s="82">
        <v>-0.43</v>
      </c>
      <c r="Z123" s="82"/>
      <c r="AD123" s="82"/>
      <c r="AF123" s="82"/>
    </row>
    <row r="124" spans="1:32" s="79" customFormat="1" ht="11.4" x14ac:dyDescent="0.25">
      <c r="B124" s="79" t="s">
        <v>133</v>
      </c>
      <c r="C124" s="79" t="s">
        <v>356</v>
      </c>
      <c r="D124" s="79" t="s">
        <v>244</v>
      </c>
      <c r="E124" s="80"/>
      <c r="F124" s="80"/>
      <c r="G124" s="80"/>
      <c r="H124" s="80"/>
      <c r="I124" s="80">
        <v>-7.17</v>
      </c>
      <c r="J124" s="80"/>
      <c r="K124" s="80">
        <f t="shared" si="7"/>
        <v>-7.17</v>
      </c>
      <c r="L124" s="80"/>
      <c r="M124" s="80"/>
      <c r="N124" s="80"/>
      <c r="O124" s="80"/>
      <c r="P124" s="80"/>
      <c r="Q124" s="80">
        <f t="shared" si="8"/>
        <v>0</v>
      </c>
      <c r="R124" s="80"/>
      <c r="S124" s="81">
        <f t="shared" si="9"/>
        <v>-7.17</v>
      </c>
      <c r="U124" s="79" t="s">
        <v>261</v>
      </c>
      <c r="V124" s="79" t="s">
        <v>134</v>
      </c>
      <c r="W124" s="82">
        <v>-7.17</v>
      </c>
      <c r="X124" s="79" t="s">
        <v>246</v>
      </c>
      <c r="Y124" s="82">
        <v>-0.43</v>
      </c>
      <c r="Z124" s="82"/>
      <c r="AD124" s="82"/>
      <c r="AF124" s="82"/>
    </row>
    <row r="125" spans="1:32" s="79" customFormat="1" ht="11.4" x14ac:dyDescent="0.25">
      <c r="B125" s="79" t="s">
        <v>133</v>
      </c>
      <c r="C125" s="79" t="s">
        <v>357</v>
      </c>
      <c r="D125" s="79" t="s">
        <v>244</v>
      </c>
      <c r="E125" s="80"/>
      <c r="F125" s="80"/>
      <c r="G125" s="80"/>
      <c r="H125" s="80"/>
      <c r="I125" s="80">
        <v>-7.17</v>
      </c>
      <c r="J125" s="80"/>
      <c r="K125" s="80">
        <f t="shared" si="7"/>
        <v>-7.17</v>
      </c>
      <c r="L125" s="80"/>
      <c r="M125" s="80"/>
      <c r="N125" s="80"/>
      <c r="O125" s="80"/>
      <c r="P125" s="80"/>
      <c r="Q125" s="80">
        <f t="shared" si="8"/>
        <v>0</v>
      </c>
      <c r="R125" s="80"/>
      <c r="S125" s="81">
        <f t="shared" si="9"/>
        <v>-7.17</v>
      </c>
      <c r="U125" s="79" t="s">
        <v>261</v>
      </c>
      <c r="V125" s="79" t="s">
        <v>134</v>
      </c>
      <c r="W125" s="82">
        <v>-7.17</v>
      </c>
      <c r="X125" s="79" t="s">
        <v>246</v>
      </c>
      <c r="Y125" s="82">
        <v>-0.43</v>
      </c>
      <c r="Z125" s="82"/>
      <c r="AD125" s="82"/>
      <c r="AF125" s="82"/>
    </row>
    <row r="126" spans="1:32" s="79" customFormat="1" ht="11.4" x14ac:dyDescent="0.25">
      <c r="B126" s="79" t="s">
        <v>133</v>
      </c>
      <c r="C126" s="79" t="s">
        <v>358</v>
      </c>
      <c r="D126" s="79" t="s">
        <v>244</v>
      </c>
      <c r="E126" s="80"/>
      <c r="F126" s="80"/>
      <c r="G126" s="80"/>
      <c r="H126" s="80"/>
      <c r="I126" s="80">
        <v>-7.17</v>
      </c>
      <c r="J126" s="80"/>
      <c r="K126" s="80">
        <f t="shared" si="7"/>
        <v>-7.17</v>
      </c>
      <c r="L126" s="80"/>
      <c r="M126" s="80"/>
      <c r="N126" s="80"/>
      <c r="O126" s="80"/>
      <c r="P126" s="80"/>
      <c r="Q126" s="80">
        <f t="shared" si="8"/>
        <v>0</v>
      </c>
      <c r="R126" s="80"/>
      <c r="S126" s="81">
        <f t="shared" si="9"/>
        <v>-7.17</v>
      </c>
      <c r="U126" s="79" t="s">
        <v>261</v>
      </c>
      <c r="V126" s="79" t="s">
        <v>134</v>
      </c>
      <c r="W126" s="82">
        <v>-7.17</v>
      </c>
      <c r="X126" s="79" t="s">
        <v>246</v>
      </c>
      <c r="Y126" s="82">
        <v>-0.43</v>
      </c>
      <c r="Z126" s="82"/>
      <c r="AD126" s="82"/>
      <c r="AF126" s="82"/>
    </row>
    <row r="127" spans="1:32" s="79" customFormat="1" ht="11.4" x14ac:dyDescent="0.25">
      <c r="B127" s="79" t="s">
        <v>133</v>
      </c>
      <c r="C127" s="79" t="s">
        <v>359</v>
      </c>
      <c r="D127" s="79" t="s">
        <v>244</v>
      </c>
      <c r="E127" s="80"/>
      <c r="F127" s="80"/>
      <c r="G127" s="80"/>
      <c r="H127" s="80"/>
      <c r="I127" s="80">
        <v>-7.17</v>
      </c>
      <c r="J127" s="80"/>
      <c r="K127" s="80">
        <f t="shared" si="7"/>
        <v>-7.17</v>
      </c>
      <c r="L127" s="80"/>
      <c r="M127" s="80"/>
      <c r="N127" s="80"/>
      <c r="O127" s="80"/>
      <c r="P127" s="80"/>
      <c r="Q127" s="80">
        <f t="shared" si="8"/>
        <v>0</v>
      </c>
      <c r="R127" s="80"/>
      <c r="S127" s="81">
        <f t="shared" si="9"/>
        <v>-7.17</v>
      </c>
      <c r="U127" s="79" t="s">
        <v>261</v>
      </c>
      <c r="V127" s="79" t="s">
        <v>134</v>
      </c>
      <c r="W127" s="82">
        <v>-7.17</v>
      </c>
      <c r="X127" s="79" t="s">
        <v>246</v>
      </c>
      <c r="Y127" s="82">
        <v>-0.43</v>
      </c>
      <c r="Z127" s="82"/>
      <c r="AD127" s="82"/>
      <c r="AF127" s="82"/>
    </row>
    <row r="128" spans="1:32" s="79" customFormat="1" ht="11.4" x14ac:dyDescent="0.25">
      <c r="B128" s="79" t="s">
        <v>133</v>
      </c>
      <c r="C128" s="79" t="s">
        <v>360</v>
      </c>
      <c r="D128" s="79" t="s">
        <v>244</v>
      </c>
      <c r="E128" s="80"/>
      <c r="F128" s="80"/>
      <c r="G128" s="80"/>
      <c r="H128" s="80"/>
      <c r="I128" s="80">
        <v>-7.17</v>
      </c>
      <c r="J128" s="80"/>
      <c r="K128" s="80">
        <f t="shared" si="7"/>
        <v>-7.17</v>
      </c>
      <c r="L128" s="80"/>
      <c r="M128" s="80"/>
      <c r="N128" s="80"/>
      <c r="O128" s="80"/>
      <c r="P128" s="80"/>
      <c r="Q128" s="80">
        <f t="shared" si="8"/>
        <v>0</v>
      </c>
      <c r="R128" s="80"/>
      <c r="S128" s="81">
        <f t="shared" si="9"/>
        <v>-7.17</v>
      </c>
      <c r="U128" s="79" t="s">
        <v>261</v>
      </c>
      <c r="V128" s="79" t="s">
        <v>134</v>
      </c>
      <c r="W128" s="82">
        <v>-7.17</v>
      </c>
      <c r="X128" s="79" t="s">
        <v>246</v>
      </c>
      <c r="Y128" s="82">
        <v>-0.43</v>
      </c>
      <c r="Z128" s="82"/>
      <c r="AD128" s="82"/>
      <c r="AF128" s="82"/>
    </row>
    <row r="129" spans="1:32" s="79" customFormat="1" ht="11.4" x14ac:dyDescent="0.25">
      <c r="A129" s="79">
        <v>14</v>
      </c>
      <c r="B129" s="79" t="s">
        <v>347</v>
      </c>
      <c r="C129" s="79" t="s">
        <v>355</v>
      </c>
      <c r="D129" s="79" t="s">
        <v>244</v>
      </c>
      <c r="E129" s="80"/>
      <c r="F129" s="80"/>
      <c r="G129" s="80"/>
      <c r="H129" s="80"/>
      <c r="I129" s="80">
        <v>-11.31</v>
      </c>
      <c r="J129" s="80"/>
      <c r="K129" s="80">
        <f t="shared" si="7"/>
        <v>-11.31</v>
      </c>
      <c r="L129" s="80"/>
      <c r="M129" s="80"/>
      <c r="N129" s="80"/>
      <c r="O129" s="80"/>
      <c r="P129" s="80"/>
      <c r="Q129" s="80">
        <f t="shared" si="8"/>
        <v>0</v>
      </c>
      <c r="R129" s="80"/>
      <c r="S129" s="81">
        <f t="shared" si="9"/>
        <v>-11.31</v>
      </c>
      <c r="U129" s="79" t="s">
        <v>348</v>
      </c>
      <c r="V129" s="79" t="s">
        <v>349</v>
      </c>
      <c r="W129" s="82">
        <v>-11.31</v>
      </c>
      <c r="X129" s="79" t="s">
        <v>246</v>
      </c>
      <c r="Y129" s="82">
        <v>-0.68</v>
      </c>
      <c r="Z129" s="82"/>
      <c r="AD129" s="82"/>
      <c r="AF129" s="82"/>
    </row>
    <row r="130" spans="1:32" s="79" customFormat="1" ht="11.4" x14ac:dyDescent="0.25">
      <c r="A130" s="79">
        <v>15</v>
      </c>
      <c r="B130" s="79" t="s">
        <v>109</v>
      </c>
      <c r="C130" s="79" t="s">
        <v>355</v>
      </c>
      <c r="D130" s="79" t="s">
        <v>244</v>
      </c>
      <c r="E130" s="80"/>
      <c r="F130" s="80"/>
      <c r="G130" s="80"/>
      <c r="H130" s="80"/>
      <c r="I130" s="80">
        <v>-7.93</v>
      </c>
      <c r="J130" s="80"/>
      <c r="K130" s="80">
        <f t="shared" si="7"/>
        <v>-7.93</v>
      </c>
      <c r="L130" s="80"/>
      <c r="M130" s="80"/>
      <c r="N130" s="80"/>
      <c r="O130" s="80"/>
      <c r="P130" s="80"/>
      <c r="Q130" s="80">
        <f t="shared" si="8"/>
        <v>0</v>
      </c>
      <c r="R130" s="80"/>
      <c r="S130" s="81">
        <f t="shared" si="9"/>
        <v>-7.93</v>
      </c>
      <c r="U130" s="79" t="s">
        <v>262</v>
      </c>
      <c r="V130" s="79" t="s">
        <v>110</v>
      </c>
      <c r="W130" s="82">
        <v>-7.93</v>
      </c>
      <c r="X130" s="79" t="s">
        <v>246</v>
      </c>
      <c r="Y130" s="82">
        <v>-0.48</v>
      </c>
      <c r="Z130" s="82"/>
      <c r="AD130" s="82"/>
      <c r="AF130" s="82"/>
    </row>
    <row r="131" spans="1:32" s="79" customFormat="1" ht="11.4" x14ac:dyDescent="0.25">
      <c r="B131" s="79" t="s">
        <v>109</v>
      </c>
      <c r="C131" s="79" t="s">
        <v>356</v>
      </c>
      <c r="D131" s="79" t="s">
        <v>244</v>
      </c>
      <c r="E131" s="80"/>
      <c r="F131" s="80"/>
      <c r="G131" s="80"/>
      <c r="H131" s="80"/>
      <c r="I131" s="80">
        <v>-7.93</v>
      </c>
      <c r="J131" s="80"/>
      <c r="K131" s="80">
        <f t="shared" si="7"/>
        <v>-7.93</v>
      </c>
      <c r="L131" s="80"/>
      <c r="M131" s="80"/>
      <c r="N131" s="80"/>
      <c r="O131" s="80"/>
      <c r="P131" s="80"/>
      <c r="Q131" s="80">
        <f t="shared" si="8"/>
        <v>0</v>
      </c>
      <c r="R131" s="80"/>
      <c r="S131" s="81">
        <f t="shared" si="9"/>
        <v>-7.93</v>
      </c>
      <c r="U131" s="79" t="s">
        <v>262</v>
      </c>
      <c r="V131" s="79" t="s">
        <v>110</v>
      </c>
      <c r="W131" s="82">
        <v>-7.93</v>
      </c>
      <c r="X131" s="79" t="s">
        <v>246</v>
      </c>
      <c r="Y131" s="82">
        <v>-0.48</v>
      </c>
      <c r="Z131" s="82"/>
      <c r="AD131" s="82"/>
      <c r="AF131" s="82"/>
    </row>
    <row r="132" spans="1:32" s="79" customFormat="1" ht="11.4" x14ac:dyDescent="0.25">
      <c r="B132" s="79" t="s">
        <v>109</v>
      </c>
      <c r="C132" s="79" t="s">
        <v>357</v>
      </c>
      <c r="D132" s="79" t="s">
        <v>244</v>
      </c>
      <c r="E132" s="80"/>
      <c r="F132" s="80"/>
      <c r="G132" s="80"/>
      <c r="H132" s="80"/>
      <c r="I132" s="80">
        <v>-7.93</v>
      </c>
      <c r="J132" s="80"/>
      <c r="K132" s="80">
        <f t="shared" si="7"/>
        <v>-7.93</v>
      </c>
      <c r="L132" s="80"/>
      <c r="M132" s="80"/>
      <c r="N132" s="80"/>
      <c r="O132" s="80"/>
      <c r="P132" s="80"/>
      <c r="Q132" s="80">
        <f t="shared" si="8"/>
        <v>0</v>
      </c>
      <c r="R132" s="80"/>
      <c r="S132" s="81">
        <f t="shared" si="9"/>
        <v>-7.93</v>
      </c>
      <c r="U132" s="79" t="s">
        <v>262</v>
      </c>
      <c r="V132" s="79" t="s">
        <v>110</v>
      </c>
      <c r="W132" s="82">
        <v>-7.93</v>
      </c>
      <c r="X132" s="79" t="s">
        <v>246</v>
      </c>
      <c r="Y132" s="82">
        <v>-0.48</v>
      </c>
      <c r="Z132" s="82"/>
      <c r="AD132" s="82"/>
      <c r="AF132" s="82"/>
    </row>
    <row r="133" spans="1:32" s="79" customFormat="1" ht="11.4" x14ac:dyDescent="0.25">
      <c r="B133" s="79" t="s">
        <v>109</v>
      </c>
      <c r="C133" s="79" t="s">
        <v>358</v>
      </c>
      <c r="D133" s="79" t="s">
        <v>244</v>
      </c>
      <c r="E133" s="80"/>
      <c r="F133" s="80"/>
      <c r="G133" s="80"/>
      <c r="H133" s="80"/>
      <c r="I133" s="80">
        <v>-7.93</v>
      </c>
      <c r="J133" s="80"/>
      <c r="K133" s="80">
        <f t="shared" si="7"/>
        <v>-7.93</v>
      </c>
      <c r="L133" s="80"/>
      <c r="M133" s="80"/>
      <c r="N133" s="80"/>
      <c r="O133" s="80"/>
      <c r="P133" s="80"/>
      <c r="Q133" s="80">
        <f t="shared" si="8"/>
        <v>0</v>
      </c>
      <c r="R133" s="80"/>
      <c r="S133" s="81">
        <f t="shared" si="9"/>
        <v>-7.93</v>
      </c>
      <c r="U133" s="79" t="s">
        <v>262</v>
      </c>
      <c r="V133" s="79" t="s">
        <v>110</v>
      </c>
      <c r="W133" s="82">
        <v>-7.93</v>
      </c>
      <c r="X133" s="79" t="s">
        <v>246</v>
      </c>
      <c r="Y133" s="82">
        <v>-0.48</v>
      </c>
      <c r="Z133" s="82"/>
      <c r="AD133" s="82"/>
      <c r="AF133" s="82"/>
    </row>
    <row r="134" spans="1:32" s="79" customFormat="1" ht="11.4" x14ac:dyDescent="0.25">
      <c r="B134" s="79" t="s">
        <v>109</v>
      </c>
      <c r="C134" s="79" t="s">
        <v>359</v>
      </c>
      <c r="D134" s="79" t="s">
        <v>244</v>
      </c>
      <c r="E134" s="80"/>
      <c r="F134" s="80"/>
      <c r="G134" s="80"/>
      <c r="H134" s="80"/>
      <c r="I134" s="80">
        <v>-7.93</v>
      </c>
      <c r="J134" s="80"/>
      <c r="K134" s="80">
        <f t="shared" si="7"/>
        <v>-7.93</v>
      </c>
      <c r="L134" s="80"/>
      <c r="M134" s="80"/>
      <c r="N134" s="80"/>
      <c r="O134" s="80"/>
      <c r="P134" s="80"/>
      <c r="Q134" s="80">
        <f t="shared" si="8"/>
        <v>0</v>
      </c>
      <c r="R134" s="80"/>
      <c r="S134" s="81">
        <f t="shared" si="9"/>
        <v>-7.93</v>
      </c>
      <c r="U134" s="79" t="s">
        <v>262</v>
      </c>
      <c r="V134" s="79" t="s">
        <v>110</v>
      </c>
      <c r="W134" s="82">
        <v>-7.93</v>
      </c>
      <c r="X134" s="79" t="s">
        <v>246</v>
      </c>
      <c r="Y134" s="82">
        <v>-0.48</v>
      </c>
      <c r="Z134" s="82"/>
      <c r="AD134" s="82"/>
      <c r="AF134" s="82"/>
    </row>
    <row r="135" spans="1:32" s="79" customFormat="1" ht="11.4" x14ac:dyDescent="0.25">
      <c r="B135" s="79" t="s">
        <v>109</v>
      </c>
      <c r="C135" s="79" t="s">
        <v>360</v>
      </c>
      <c r="D135" s="79" t="s">
        <v>244</v>
      </c>
      <c r="E135" s="80"/>
      <c r="F135" s="80"/>
      <c r="G135" s="80"/>
      <c r="H135" s="80"/>
      <c r="I135" s="80">
        <v>-7.93</v>
      </c>
      <c r="J135" s="80"/>
      <c r="K135" s="80">
        <f t="shared" si="7"/>
        <v>-7.93</v>
      </c>
      <c r="L135" s="80"/>
      <c r="M135" s="80"/>
      <c r="N135" s="80"/>
      <c r="O135" s="80"/>
      <c r="P135" s="80"/>
      <c r="Q135" s="80">
        <f t="shared" si="8"/>
        <v>0</v>
      </c>
      <c r="R135" s="80"/>
      <c r="S135" s="81">
        <f t="shared" si="9"/>
        <v>-7.93</v>
      </c>
      <c r="U135" s="79" t="s">
        <v>262</v>
      </c>
      <c r="V135" s="79" t="s">
        <v>110</v>
      </c>
      <c r="W135" s="82">
        <v>-7.93</v>
      </c>
      <c r="X135" s="79" t="s">
        <v>246</v>
      </c>
      <c r="Y135" s="82">
        <v>-0.45</v>
      </c>
      <c r="Z135" s="82"/>
      <c r="AD135" s="82"/>
      <c r="AF135" s="82"/>
    </row>
    <row r="136" spans="1:32" s="79" customFormat="1" ht="11.4" x14ac:dyDescent="0.25">
      <c r="A136" s="79">
        <v>16</v>
      </c>
      <c r="B136" s="79" t="s">
        <v>112</v>
      </c>
      <c r="C136" s="79" t="s">
        <v>355</v>
      </c>
      <c r="D136" s="79" t="s">
        <v>244</v>
      </c>
      <c r="E136" s="80"/>
      <c r="F136" s="80"/>
      <c r="G136" s="80"/>
      <c r="H136" s="80"/>
      <c r="I136" s="80">
        <v>-7.09</v>
      </c>
      <c r="J136" s="80"/>
      <c r="K136" s="80">
        <f t="shared" si="7"/>
        <v>-7.09</v>
      </c>
      <c r="L136" s="80"/>
      <c r="M136" s="80"/>
      <c r="N136" s="80"/>
      <c r="O136" s="80"/>
      <c r="P136" s="80"/>
      <c r="Q136" s="80">
        <f t="shared" si="8"/>
        <v>0</v>
      </c>
      <c r="R136" s="80"/>
      <c r="S136" s="81">
        <f t="shared" si="9"/>
        <v>-7.09</v>
      </c>
      <c r="U136" s="79" t="s">
        <v>263</v>
      </c>
      <c r="V136" s="79" t="s">
        <v>113</v>
      </c>
      <c r="W136" s="82">
        <v>-7.09</v>
      </c>
      <c r="X136" s="79" t="s">
        <v>246</v>
      </c>
      <c r="Y136" s="82">
        <v>-0.43</v>
      </c>
      <c r="Z136" s="82"/>
      <c r="AD136" s="82"/>
      <c r="AF136" s="82"/>
    </row>
    <row r="137" spans="1:32" s="79" customFormat="1" ht="11.4" x14ac:dyDescent="0.25">
      <c r="B137" s="79" t="s">
        <v>112</v>
      </c>
      <c r="C137" s="79" t="s">
        <v>356</v>
      </c>
      <c r="D137" s="79" t="s">
        <v>244</v>
      </c>
      <c r="E137" s="80"/>
      <c r="F137" s="80"/>
      <c r="G137" s="80"/>
      <c r="H137" s="80"/>
      <c r="I137" s="80">
        <v>-7.09</v>
      </c>
      <c r="J137" s="80"/>
      <c r="K137" s="80">
        <f t="shared" si="7"/>
        <v>-7.09</v>
      </c>
      <c r="L137" s="80"/>
      <c r="M137" s="80"/>
      <c r="N137" s="80"/>
      <c r="O137" s="80"/>
      <c r="P137" s="80"/>
      <c r="Q137" s="80">
        <f t="shared" si="8"/>
        <v>0</v>
      </c>
      <c r="R137" s="80"/>
      <c r="S137" s="81">
        <f t="shared" si="9"/>
        <v>-7.09</v>
      </c>
      <c r="U137" s="79" t="s">
        <v>263</v>
      </c>
      <c r="V137" s="79" t="s">
        <v>113</v>
      </c>
      <c r="W137" s="82">
        <v>-7.09</v>
      </c>
      <c r="X137" s="79" t="s">
        <v>246</v>
      </c>
      <c r="Y137" s="82">
        <v>-0.43</v>
      </c>
      <c r="Z137" s="82"/>
      <c r="AD137" s="82"/>
      <c r="AF137" s="82"/>
    </row>
    <row r="138" spans="1:32" s="79" customFormat="1" ht="11.4" x14ac:dyDescent="0.25">
      <c r="B138" s="79" t="s">
        <v>112</v>
      </c>
      <c r="C138" s="79" t="s">
        <v>357</v>
      </c>
      <c r="D138" s="79" t="s">
        <v>244</v>
      </c>
      <c r="E138" s="80"/>
      <c r="F138" s="80"/>
      <c r="G138" s="80"/>
      <c r="H138" s="80"/>
      <c r="I138" s="80">
        <v>-7.09</v>
      </c>
      <c r="J138" s="80"/>
      <c r="K138" s="80">
        <f t="shared" si="7"/>
        <v>-7.09</v>
      </c>
      <c r="L138" s="80"/>
      <c r="M138" s="80"/>
      <c r="N138" s="80"/>
      <c r="O138" s="80"/>
      <c r="P138" s="80"/>
      <c r="Q138" s="80">
        <f t="shared" si="8"/>
        <v>0</v>
      </c>
      <c r="R138" s="80"/>
      <c r="S138" s="81">
        <f t="shared" si="9"/>
        <v>-7.09</v>
      </c>
      <c r="U138" s="79" t="s">
        <v>263</v>
      </c>
      <c r="V138" s="79" t="s">
        <v>113</v>
      </c>
      <c r="W138" s="82">
        <v>-7.09</v>
      </c>
      <c r="X138" s="79" t="s">
        <v>246</v>
      </c>
      <c r="Y138" s="82">
        <v>-0.43</v>
      </c>
      <c r="Z138" s="82"/>
      <c r="AD138" s="82"/>
      <c r="AF138" s="82"/>
    </row>
    <row r="139" spans="1:32" s="79" customFormat="1" ht="11.4" x14ac:dyDescent="0.25">
      <c r="B139" s="79" t="s">
        <v>112</v>
      </c>
      <c r="C139" s="79" t="s">
        <v>358</v>
      </c>
      <c r="D139" s="79" t="s">
        <v>244</v>
      </c>
      <c r="E139" s="80"/>
      <c r="F139" s="80"/>
      <c r="G139" s="80"/>
      <c r="H139" s="80"/>
      <c r="I139" s="80">
        <v>-7.09</v>
      </c>
      <c r="J139" s="80"/>
      <c r="K139" s="80">
        <f t="shared" si="7"/>
        <v>-7.09</v>
      </c>
      <c r="L139" s="80"/>
      <c r="M139" s="80"/>
      <c r="N139" s="80"/>
      <c r="O139" s="80"/>
      <c r="P139" s="80"/>
      <c r="Q139" s="80">
        <f t="shared" si="8"/>
        <v>0</v>
      </c>
      <c r="R139" s="80"/>
      <c r="S139" s="81">
        <f t="shared" si="9"/>
        <v>-7.09</v>
      </c>
      <c r="U139" s="79" t="s">
        <v>263</v>
      </c>
      <c r="V139" s="79" t="s">
        <v>113</v>
      </c>
      <c r="W139" s="82">
        <v>-7.09</v>
      </c>
      <c r="X139" s="79" t="s">
        <v>246</v>
      </c>
      <c r="Y139" s="82">
        <v>-0.43</v>
      </c>
      <c r="Z139" s="82"/>
      <c r="AD139" s="82"/>
      <c r="AF139" s="82"/>
    </row>
    <row r="140" spans="1:32" s="79" customFormat="1" ht="11.4" x14ac:dyDescent="0.25">
      <c r="B140" s="79" t="s">
        <v>112</v>
      </c>
      <c r="C140" s="79" t="s">
        <v>359</v>
      </c>
      <c r="D140" s="79" t="s">
        <v>244</v>
      </c>
      <c r="E140" s="80"/>
      <c r="F140" s="80"/>
      <c r="G140" s="80"/>
      <c r="H140" s="80"/>
      <c r="I140" s="80">
        <v>-7.09</v>
      </c>
      <c r="J140" s="80"/>
      <c r="K140" s="80">
        <f t="shared" si="7"/>
        <v>-7.09</v>
      </c>
      <c r="L140" s="80"/>
      <c r="M140" s="80"/>
      <c r="N140" s="80"/>
      <c r="O140" s="80"/>
      <c r="P140" s="80"/>
      <c r="Q140" s="80">
        <f t="shared" si="8"/>
        <v>0</v>
      </c>
      <c r="R140" s="80"/>
      <c r="S140" s="81">
        <f t="shared" si="9"/>
        <v>-7.09</v>
      </c>
      <c r="U140" s="79" t="s">
        <v>263</v>
      </c>
      <c r="V140" s="79" t="s">
        <v>113</v>
      </c>
      <c r="W140" s="82">
        <v>-7.09</v>
      </c>
      <c r="X140" s="79" t="s">
        <v>246</v>
      </c>
      <c r="Y140" s="82">
        <v>-0.43</v>
      </c>
      <c r="Z140" s="82"/>
      <c r="AD140" s="82"/>
      <c r="AF140" s="82"/>
    </row>
    <row r="141" spans="1:32" s="79" customFormat="1" ht="11.4" x14ac:dyDescent="0.25">
      <c r="B141" s="79" t="s">
        <v>112</v>
      </c>
      <c r="C141" s="79" t="s">
        <v>360</v>
      </c>
      <c r="D141" s="79" t="s">
        <v>244</v>
      </c>
      <c r="E141" s="80"/>
      <c r="F141" s="80"/>
      <c r="G141" s="80"/>
      <c r="H141" s="80"/>
      <c r="I141" s="80">
        <v>-7.09</v>
      </c>
      <c r="J141" s="80"/>
      <c r="K141" s="80">
        <f t="shared" si="7"/>
        <v>-7.09</v>
      </c>
      <c r="L141" s="80"/>
      <c r="M141" s="80"/>
      <c r="N141" s="80"/>
      <c r="O141" s="80"/>
      <c r="P141" s="80"/>
      <c r="Q141" s="80">
        <f t="shared" si="8"/>
        <v>0</v>
      </c>
      <c r="R141" s="80"/>
      <c r="S141" s="81">
        <f t="shared" si="9"/>
        <v>-7.09</v>
      </c>
      <c r="U141" s="79" t="s">
        <v>263</v>
      </c>
      <c r="V141" s="79" t="s">
        <v>113</v>
      </c>
      <c r="W141" s="82">
        <v>-7.09</v>
      </c>
      <c r="X141" s="79" t="s">
        <v>246</v>
      </c>
      <c r="Y141" s="82">
        <v>-0.4</v>
      </c>
      <c r="Z141" s="82"/>
      <c r="AD141" s="82"/>
      <c r="AF141" s="82"/>
    </row>
    <row r="142" spans="1:32" s="79" customFormat="1" ht="11.4" x14ac:dyDescent="0.25">
      <c r="A142" s="79">
        <v>17</v>
      </c>
      <c r="B142" s="79" t="s">
        <v>106</v>
      </c>
      <c r="C142" s="79" t="s">
        <v>355</v>
      </c>
      <c r="D142" s="79" t="s">
        <v>244</v>
      </c>
      <c r="E142" s="80"/>
      <c r="F142" s="80"/>
      <c r="G142" s="80"/>
      <c r="H142" s="80"/>
      <c r="I142" s="80">
        <v>-15.78</v>
      </c>
      <c r="J142" s="80"/>
      <c r="K142" s="80">
        <f t="shared" si="7"/>
        <v>-15.78</v>
      </c>
      <c r="L142" s="80"/>
      <c r="M142" s="80"/>
      <c r="N142" s="80"/>
      <c r="O142" s="80"/>
      <c r="P142" s="80"/>
      <c r="Q142" s="80">
        <f t="shared" si="8"/>
        <v>0</v>
      </c>
      <c r="R142" s="80"/>
      <c r="S142" s="81">
        <f t="shared" si="9"/>
        <v>-15.78</v>
      </c>
      <c r="U142" s="79" t="s">
        <v>264</v>
      </c>
      <c r="V142" s="79" t="s">
        <v>107</v>
      </c>
      <c r="W142" s="82">
        <v>-15.78</v>
      </c>
      <c r="X142" s="79" t="s">
        <v>246</v>
      </c>
      <c r="Y142" s="82">
        <v>-0.95</v>
      </c>
      <c r="Z142" s="82"/>
      <c r="AD142" s="82"/>
      <c r="AF142" s="82"/>
    </row>
    <row r="143" spans="1:32" s="79" customFormat="1" ht="11.4" x14ac:dyDescent="0.25">
      <c r="B143" s="79" t="s">
        <v>106</v>
      </c>
      <c r="C143" s="79" t="s">
        <v>356</v>
      </c>
      <c r="D143" s="79" t="s">
        <v>244</v>
      </c>
      <c r="E143" s="80"/>
      <c r="F143" s="80"/>
      <c r="G143" s="80"/>
      <c r="H143" s="80"/>
      <c r="I143" s="80">
        <v>-15.78</v>
      </c>
      <c r="J143" s="80"/>
      <c r="K143" s="80">
        <f t="shared" si="7"/>
        <v>-15.78</v>
      </c>
      <c r="L143" s="80"/>
      <c r="M143" s="80"/>
      <c r="N143" s="80"/>
      <c r="O143" s="80"/>
      <c r="P143" s="80"/>
      <c r="Q143" s="80">
        <f t="shared" si="8"/>
        <v>0</v>
      </c>
      <c r="R143" s="80"/>
      <c r="S143" s="81">
        <f t="shared" si="9"/>
        <v>-15.78</v>
      </c>
      <c r="U143" s="79" t="s">
        <v>264</v>
      </c>
      <c r="V143" s="79" t="s">
        <v>107</v>
      </c>
      <c r="W143" s="82">
        <v>-15.78</v>
      </c>
      <c r="X143" s="79" t="s">
        <v>246</v>
      </c>
      <c r="Y143" s="82">
        <v>-0.95</v>
      </c>
      <c r="Z143" s="82"/>
      <c r="AD143" s="82"/>
      <c r="AF143" s="82"/>
    </row>
    <row r="144" spans="1:32" s="79" customFormat="1" ht="11.4" x14ac:dyDescent="0.25">
      <c r="B144" s="79" t="s">
        <v>106</v>
      </c>
      <c r="C144" s="79" t="s">
        <v>357</v>
      </c>
      <c r="D144" s="79" t="s">
        <v>244</v>
      </c>
      <c r="E144" s="80"/>
      <c r="F144" s="80"/>
      <c r="G144" s="80"/>
      <c r="H144" s="80"/>
      <c r="I144" s="80">
        <v>-15.78</v>
      </c>
      <c r="J144" s="80"/>
      <c r="K144" s="80">
        <f t="shared" si="7"/>
        <v>-15.78</v>
      </c>
      <c r="L144" s="80"/>
      <c r="M144" s="80"/>
      <c r="N144" s="80"/>
      <c r="O144" s="80"/>
      <c r="P144" s="80"/>
      <c r="Q144" s="80">
        <f t="shared" si="8"/>
        <v>0</v>
      </c>
      <c r="R144" s="80"/>
      <c r="S144" s="81">
        <f t="shared" si="9"/>
        <v>-15.78</v>
      </c>
      <c r="U144" s="79" t="s">
        <v>264</v>
      </c>
      <c r="V144" s="79" t="s">
        <v>107</v>
      </c>
      <c r="W144" s="82">
        <v>-15.78</v>
      </c>
      <c r="X144" s="79" t="s">
        <v>246</v>
      </c>
      <c r="Y144" s="82">
        <v>-0.95</v>
      </c>
      <c r="Z144" s="82"/>
      <c r="AD144" s="82"/>
      <c r="AF144" s="82"/>
    </row>
    <row r="145" spans="1:32" s="79" customFormat="1" ht="11.4" x14ac:dyDescent="0.25">
      <c r="B145" s="79" t="s">
        <v>106</v>
      </c>
      <c r="C145" s="79" t="s">
        <v>358</v>
      </c>
      <c r="D145" s="79" t="s">
        <v>244</v>
      </c>
      <c r="E145" s="80"/>
      <c r="F145" s="80"/>
      <c r="G145" s="80"/>
      <c r="H145" s="80"/>
      <c r="I145" s="80">
        <v>-15.78</v>
      </c>
      <c r="J145" s="80"/>
      <c r="K145" s="80">
        <f t="shared" si="7"/>
        <v>-15.78</v>
      </c>
      <c r="L145" s="80"/>
      <c r="M145" s="80"/>
      <c r="N145" s="80"/>
      <c r="O145" s="80"/>
      <c r="P145" s="80"/>
      <c r="Q145" s="80">
        <f t="shared" si="8"/>
        <v>0</v>
      </c>
      <c r="R145" s="80"/>
      <c r="S145" s="81">
        <f t="shared" si="9"/>
        <v>-15.78</v>
      </c>
      <c r="U145" s="79" t="s">
        <v>264</v>
      </c>
      <c r="V145" s="79" t="s">
        <v>107</v>
      </c>
      <c r="W145" s="82">
        <v>-15.78</v>
      </c>
      <c r="X145" s="79" t="s">
        <v>246</v>
      </c>
      <c r="Y145" s="82">
        <v>-0.95</v>
      </c>
      <c r="Z145" s="82"/>
      <c r="AD145" s="82"/>
      <c r="AF145" s="82"/>
    </row>
    <row r="146" spans="1:32" s="79" customFormat="1" ht="11.4" x14ac:dyDescent="0.25">
      <c r="B146" s="79" t="s">
        <v>106</v>
      </c>
      <c r="C146" s="79" t="s">
        <v>359</v>
      </c>
      <c r="D146" s="79" t="s">
        <v>244</v>
      </c>
      <c r="E146" s="80"/>
      <c r="F146" s="80"/>
      <c r="G146" s="80"/>
      <c r="H146" s="80"/>
      <c r="I146" s="80">
        <v>-15.78</v>
      </c>
      <c r="J146" s="80"/>
      <c r="K146" s="80">
        <f t="shared" si="7"/>
        <v>-15.78</v>
      </c>
      <c r="L146" s="80"/>
      <c r="M146" s="80"/>
      <c r="N146" s="80"/>
      <c r="O146" s="80"/>
      <c r="P146" s="80"/>
      <c r="Q146" s="80">
        <f t="shared" si="8"/>
        <v>0</v>
      </c>
      <c r="R146" s="80"/>
      <c r="S146" s="81">
        <f t="shared" si="9"/>
        <v>-15.78</v>
      </c>
      <c r="U146" s="79" t="s">
        <v>264</v>
      </c>
      <c r="V146" s="79" t="s">
        <v>107</v>
      </c>
      <c r="W146" s="82">
        <v>-15.78</v>
      </c>
      <c r="X146" s="79" t="s">
        <v>246</v>
      </c>
      <c r="Y146" s="82">
        <v>-0.95</v>
      </c>
      <c r="Z146" s="82"/>
      <c r="AD146" s="82"/>
      <c r="AF146" s="82"/>
    </row>
    <row r="147" spans="1:32" s="79" customFormat="1" ht="11.4" x14ac:dyDescent="0.25">
      <c r="B147" s="79" t="s">
        <v>106</v>
      </c>
      <c r="C147" s="79" t="s">
        <v>360</v>
      </c>
      <c r="D147" s="79" t="s">
        <v>244</v>
      </c>
      <c r="E147" s="80"/>
      <c r="F147" s="80"/>
      <c r="G147" s="80"/>
      <c r="H147" s="80"/>
      <c r="I147" s="80">
        <v>-15.78</v>
      </c>
      <c r="J147" s="80"/>
      <c r="K147" s="80">
        <f t="shared" si="7"/>
        <v>-15.78</v>
      </c>
      <c r="L147" s="80"/>
      <c r="M147" s="80"/>
      <c r="N147" s="80"/>
      <c r="O147" s="80"/>
      <c r="P147" s="80"/>
      <c r="Q147" s="80">
        <f t="shared" si="8"/>
        <v>0</v>
      </c>
      <c r="R147" s="80"/>
      <c r="S147" s="81">
        <f t="shared" si="9"/>
        <v>-15.78</v>
      </c>
      <c r="U147" s="79" t="s">
        <v>264</v>
      </c>
      <c r="V147" s="79" t="s">
        <v>107</v>
      </c>
      <c r="W147" s="82">
        <v>-15.78</v>
      </c>
      <c r="X147" s="79" t="s">
        <v>246</v>
      </c>
      <c r="Y147" s="82">
        <v>-0.93</v>
      </c>
      <c r="Z147" s="82"/>
      <c r="AD147" s="82"/>
      <c r="AF147" s="82"/>
    </row>
    <row r="148" spans="1:32" s="79" customFormat="1" ht="11.4" x14ac:dyDescent="0.25">
      <c r="A148" s="79">
        <v>18</v>
      </c>
      <c r="B148" s="79" t="s">
        <v>93</v>
      </c>
      <c r="C148" s="79" t="s">
        <v>355</v>
      </c>
      <c r="D148" s="79" t="s">
        <v>244</v>
      </c>
      <c r="E148" s="80"/>
      <c r="F148" s="80"/>
      <c r="G148" s="80"/>
      <c r="H148" s="80"/>
      <c r="I148" s="80">
        <v>-8.36</v>
      </c>
      <c r="J148" s="80"/>
      <c r="K148" s="80">
        <f t="shared" si="7"/>
        <v>-8.36</v>
      </c>
      <c r="L148" s="80"/>
      <c r="M148" s="80"/>
      <c r="N148" s="80"/>
      <c r="O148" s="80"/>
      <c r="P148" s="80"/>
      <c r="Q148" s="80">
        <f t="shared" si="8"/>
        <v>0</v>
      </c>
      <c r="R148" s="80"/>
      <c r="S148" s="81">
        <f t="shared" si="9"/>
        <v>-8.36</v>
      </c>
      <c r="U148" s="79" t="s">
        <v>265</v>
      </c>
      <c r="V148" s="79" t="s">
        <v>94</v>
      </c>
      <c r="W148" s="82">
        <v>-8.36</v>
      </c>
      <c r="X148" s="79" t="s">
        <v>246</v>
      </c>
      <c r="Y148" s="82">
        <v>-0.5</v>
      </c>
      <c r="Z148" s="82"/>
      <c r="AD148" s="82"/>
      <c r="AF148" s="82"/>
    </row>
    <row r="149" spans="1:32" s="79" customFormat="1" ht="11.4" x14ac:dyDescent="0.25">
      <c r="B149" s="79" t="s">
        <v>93</v>
      </c>
      <c r="C149" s="79" t="s">
        <v>356</v>
      </c>
      <c r="D149" s="79" t="s">
        <v>244</v>
      </c>
      <c r="E149" s="80"/>
      <c r="F149" s="80"/>
      <c r="G149" s="80"/>
      <c r="H149" s="80"/>
      <c r="I149" s="80">
        <v>-8.36</v>
      </c>
      <c r="J149" s="80"/>
      <c r="K149" s="80">
        <f t="shared" si="7"/>
        <v>-8.36</v>
      </c>
      <c r="L149" s="80"/>
      <c r="M149" s="80"/>
      <c r="N149" s="80"/>
      <c r="O149" s="80"/>
      <c r="P149" s="80"/>
      <c r="Q149" s="80">
        <f t="shared" si="8"/>
        <v>0</v>
      </c>
      <c r="R149" s="80"/>
      <c r="S149" s="81">
        <f t="shared" si="9"/>
        <v>-8.36</v>
      </c>
      <c r="U149" s="79" t="s">
        <v>265</v>
      </c>
      <c r="V149" s="79" t="s">
        <v>94</v>
      </c>
      <c r="W149" s="82">
        <v>-8.36</v>
      </c>
      <c r="X149" s="79" t="s">
        <v>246</v>
      </c>
      <c r="Y149" s="82">
        <v>-0.5</v>
      </c>
      <c r="Z149" s="82"/>
      <c r="AD149" s="82"/>
      <c r="AF149" s="82"/>
    </row>
    <row r="150" spans="1:32" s="79" customFormat="1" ht="11.4" x14ac:dyDescent="0.25">
      <c r="B150" s="79" t="s">
        <v>93</v>
      </c>
      <c r="C150" s="79" t="s">
        <v>357</v>
      </c>
      <c r="D150" s="79" t="s">
        <v>244</v>
      </c>
      <c r="E150" s="80"/>
      <c r="F150" s="80"/>
      <c r="G150" s="80"/>
      <c r="H150" s="80"/>
      <c r="I150" s="80">
        <v>-8.36</v>
      </c>
      <c r="J150" s="80"/>
      <c r="K150" s="80">
        <f t="shared" si="7"/>
        <v>-8.36</v>
      </c>
      <c r="L150" s="80"/>
      <c r="M150" s="80"/>
      <c r="N150" s="80"/>
      <c r="O150" s="80"/>
      <c r="P150" s="80"/>
      <c r="Q150" s="80">
        <f t="shared" si="8"/>
        <v>0</v>
      </c>
      <c r="R150" s="80"/>
      <c r="S150" s="81">
        <f t="shared" si="9"/>
        <v>-8.36</v>
      </c>
      <c r="U150" s="79" t="s">
        <v>265</v>
      </c>
      <c r="V150" s="79" t="s">
        <v>94</v>
      </c>
      <c r="W150" s="82">
        <v>-8.36</v>
      </c>
      <c r="X150" s="79" t="s">
        <v>246</v>
      </c>
      <c r="Y150" s="82">
        <v>-0.5</v>
      </c>
      <c r="Z150" s="82"/>
      <c r="AD150" s="82"/>
      <c r="AF150" s="82"/>
    </row>
    <row r="151" spans="1:32" s="79" customFormat="1" ht="11.4" x14ac:dyDescent="0.25">
      <c r="B151" s="79" t="s">
        <v>93</v>
      </c>
      <c r="C151" s="79" t="s">
        <v>358</v>
      </c>
      <c r="D151" s="79" t="s">
        <v>244</v>
      </c>
      <c r="E151" s="80"/>
      <c r="F151" s="80"/>
      <c r="G151" s="80"/>
      <c r="H151" s="80"/>
      <c r="I151" s="80">
        <v>-8.36</v>
      </c>
      <c r="J151" s="80"/>
      <c r="K151" s="80">
        <f t="shared" si="7"/>
        <v>-8.36</v>
      </c>
      <c r="L151" s="80"/>
      <c r="M151" s="80"/>
      <c r="N151" s="80"/>
      <c r="O151" s="80"/>
      <c r="P151" s="80"/>
      <c r="Q151" s="80">
        <f t="shared" si="8"/>
        <v>0</v>
      </c>
      <c r="R151" s="80"/>
      <c r="S151" s="81">
        <f t="shared" si="9"/>
        <v>-8.36</v>
      </c>
      <c r="U151" s="79" t="s">
        <v>265</v>
      </c>
      <c r="V151" s="79" t="s">
        <v>94</v>
      </c>
      <c r="W151" s="82">
        <v>-8.36</v>
      </c>
      <c r="X151" s="79" t="s">
        <v>246</v>
      </c>
      <c r="Y151" s="82">
        <v>-0.5</v>
      </c>
      <c r="Z151" s="82"/>
      <c r="AD151" s="82"/>
      <c r="AF151" s="82"/>
    </row>
    <row r="152" spans="1:32" s="79" customFormat="1" ht="11.4" x14ac:dyDescent="0.25">
      <c r="B152" s="79" t="s">
        <v>93</v>
      </c>
      <c r="C152" s="79" t="s">
        <v>359</v>
      </c>
      <c r="D152" s="79" t="s">
        <v>244</v>
      </c>
      <c r="E152" s="80"/>
      <c r="F152" s="80"/>
      <c r="G152" s="80"/>
      <c r="H152" s="80"/>
      <c r="I152" s="80">
        <v>-8.36</v>
      </c>
      <c r="J152" s="80"/>
      <c r="K152" s="80">
        <f t="shared" si="7"/>
        <v>-8.36</v>
      </c>
      <c r="L152" s="80"/>
      <c r="M152" s="80"/>
      <c r="N152" s="80"/>
      <c r="O152" s="80"/>
      <c r="P152" s="80"/>
      <c r="Q152" s="80">
        <f t="shared" si="8"/>
        <v>0</v>
      </c>
      <c r="R152" s="80"/>
      <c r="S152" s="81">
        <f t="shared" si="9"/>
        <v>-8.36</v>
      </c>
      <c r="U152" s="79" t="s">
        <v>265</v>
      </c>
      <c r="V152" s="79" t="s">
        <v>94</v>
      </c>
      <c r="W152" s="82">
        <v>-8.36</v>
      </c>
      <c r="X152" s="79" t="s">
        <v>246</v>
      </c>
      <c r="Y152" s="82">
        <v>-0.5</v>
      </c>
      <c r="Z152" s="82"/>
      <c r="AD152" s="82"/>
      <c r="AF152" s="82"/>
    </row>
    <row r="153" spans="1:32" s="79" customFormat="1" ht="11.4" x14ac:dyDescent="0.25">
      <c r="B153" s="79" t="s">
        <v>93</v>
      </c>
      <c r="C153" s="79" t="s">
        <v>360</v>
      </c>
      <c r="D153" s="79" t="s">
        <v>244</v>
      </c>
      <c r="E153" s="80"/>
      <c r="F153" s="80"/>
      <c r="G153" s="80"/>
      <c r="H153" s="80"/>
      <c r="I153" s="80">
        <v>-8.36</v>
      </c>
      <c r="J153" s="80"/>
      <c r="K153" s="80">
        <f t="shared" si="7"/>
        <v>-8.36</v>
      </c>
      <c r="L153" s="80"/>
      <c r="M153" s="80"/>
      <c r="N153" s="80"/>
      <c r="O153" s="80"/>
      <c r="P153" s="80"/>
      <c r="Q153" s="80">
        <f t="shared" si="8"/>
        <v>0</v>
      </c>
      <c r="R153" s="80"/>
      <c r="S153" s="81">
        <f t="shared" si="9"/>
        <v>-8.36</v>
      </c>
      <c r="U153" s="79" t="s">
        <v>265</v>
      </c>
      <c r="V153" s="79" t="s">
        <v>94</v>
      </c>
      <c r="W153" s="82">
        <v>-8.36</v>
      </c>
      <c r="X153" s="79" t="s">
        <v>246</v>
      </c>
      <c r="Y153" s="82">
        <v>-0.51</v>
      </c>
      <c r="Z153" s="82"/>
      <c r="AD153" s="82"/>
      <c r="AF153" s="82"/>
    </row>
    <row r="154" spans="1:32" s="79" customFormat="1" ht="11.4" x14ac:dyDescent="0.25">
      <c r="A154" s="79">
        <v>19</v>
      </c>
      <c r="B154" s="79" t="s">
        <v>130</v>
      </c>
      <c r="C154" s="79" t="s">
        <v>355</v>
      </c>
      <c r="D154" s="79" t="s">
        <v>244</v>
      </c>
      <c r="E154" s="80"/>
      <c r="F154" s="80"/>
      <c r="G154" s="80"/>
      <c r="H154" s="80"/>
      <c r="I154" s="80">
        <v>-17.32</v>
      </c>
      <c r="J154" s="80"/>
      <c r="K154" s="80">
        <f t="shared" si="7"/>
        <v>-17.32</v>
      </c>
      <c r="L154" s="80"/>
      <c r="M154" s="80"/>
      <c r="N154" s="80"/>
      <c r="O154" s="80"/>
      <c r="P154" s="80"/>
      <c r="Q154" s="80">
        <f t="shared" si="8"/>
        <v>0</v>
      </c>
      <c r="R154" s="80"/>
      <c r="S154" s="81">
        <f t="shared" si="9"/>
        <v>-17.32</v>
      </c>
      <c r="U154" s="79" t="s">
        <v>266</v>
      </c>
      <c r="V154" s="79" t="s">
        <v>131</v>
      </c>
      <c r="W154" s="82">
        <v>-17.32</v>
      </c>
      <c r="X154" s="79" t="s">
        <v>246</v>
      </c>
      <c r="Y154" s="82">
        <v>-1.04</v>
      </c>
      <c r="Z154" s="82"/>
      <c r="AD154" s="82"/>
      <c r="AF154" s="82"/>
    </row>
    <row r="155" spans="1:32" s="79" customFormat="1" ht="11.4" x14ac:dyDescent="0.25">
      <c r="B155" s="79" t="s">
        <v>130</v>
      </c>
      <c r="C155" s="79" t="s">
        <v>356</v>
      </c>
      <c r="D155" s="79" t="s">
        <v>244</v>
      </c>
      <c r="E155" s="80"/>
      <c r="F155" s="80"/>
      <c r="G155" s="80"/>
      <c r="H155" s="80"/>
      <c r="I155" s="80">
        <v>-17.32</v>
      </c>
      <c r="J155" s="80"/>
      <c r="K155" s="80">
        <f t="shared" si="7"/>
        <v>-17.32</v>
      </c>
      <c r="L155" s="80"/>
      <c r="M155" s="80"/>
      <c r="N155" s="80"/>
      <c r="O155" s="80"/>
      <c r="P155" s="80"/>
      <c r="Q155" s="80">
        <f t="shared" si="8"/>
        <v>0</v>
      </c>
      <c r="R155" s="80"/>
      <c r="S155" s="81">
        <f t="shared" si="9"/>
        <v>-17.32</v>
      </c>
      <c r="U155" s="79" t="s">
        <v>266</v>
      </c>
      <c r="V155" s="79" t="s">
        <v>131</v>
      </c>
      <c r="W155" s="82">
        <v>-17.32</v>
      </c>
      <c r="X155" s="79" t="s">
        <v>246</v>
      </c>
      <c r="Y155" s="82">
        <v>-1.04</v>
      </c>
      <c r="Z155" s="82"/>
      <c r="AD155" s="82"/>
      <c r="AF155" s="82"/>
    </row>
    <row r="156" spans="1:32" s="79" customFormat="1" ht="11.4" x14ac:dyDescent="0.25">
      <c r="B156" s="79" t="s">
        <v>130</v>
      </c>
      <c r="C156" s="79" t="s">
        <v>357</v>
      </c>
      <c r="D156" s="79" t="s">
        <v>244</v>
      </c>
      <c r="E156" s="80"/>
      <c r="F156" s="80"/>
      <c r="G156" s="80"/>
      <c r="H156" s="80"/>
      <c r="I156" s="80">
        <v>-17.32</v>
      </c>
      <c r="J156" s="80"/>
      <c r="K156" s="80">
        <f t="shared" si="7"/>
        <v>-17.32</v>
      </c>
      <c r="L156" s="80"/>
      <c r="M156" s="80"/>
      <c r="N156" s="80"/>
      <c r="O156" s="80"/>
      <c r="P156" s="80"/>
      <c r="Q156" s="80">
        <f t="shared" si="8"/>
        <v>0</v>
      </c>
      <c r="R156" s="80"/>
      <c r="S156" s="81">
        <f t="shared" si="9"/>
        <v>-17.32</v>
      </c>
      <c r="U156" s="79" t="s">
        <v>266</v>
      </c>
      <c r="V156" s="79" t="s">
        <v>131</v>
      </c>
      <c r="W156" s="82">
        <v>-17.32</v>
      </c>
      <c r="X156" s="79" t="s">
        <v>246</v>
      </c>
      <c r="Y156" s="82">
        <v>-1.04</v>
      </c>
      <c r="Z156" s="82"/>
      <c r="AD156" s="82"/>
      <c r="AF156" s="82"/>
    </row>
    <row r="157" spans="1:32" s="79" customFormat="1" ht="11.4" x14ac:dyDescent="0.25">
      <c r="B157" s="79" t="s">
        <v>130</v>
      </c>
      <c r="C157" s="79" t="s">
        <v>358</v>
      </c>
      <c r="D157" s="79" t="s">
        <v>244</v>
      </c>
      <c r="E157" s="80"/>
      <c r="F157" s="80"/>
      <c r="G157" s="80"/>
      <c r="H157" s="80"/>
      <c r="I157" s="80">
        <v>-17.32</v>
      </c>
      <c r="J157" s="80"/>
      <c r="K157" s="80">
        <f t="shared" si="7"/>
        <v>-17.32</v>
      </c>
      <c r="L157" s="80"/>
      <c r="M157" s="80"/>
      <c r="N157" s="80"/>
      <c r="O157" s="80"/>
      <c r="P157" s="80"/>
      <c r="Q157" s="80">
        <f t="shared" si="8"/>
        <v>0</v>
      </c>
      <c r="R157" s="80"/>
      <c r="S157" s="81">
        <f t="shared" si="9"/>
        <v>-17.32</v>
      </c>
      <c r="U157" s="79" t="s">
        <v>266</v>
      </c>
      <c r="V157" s="79" t="s">
        <v>131</v>
      </c>
      <c r="W157" s="82">
        <v>-17.32</v>
      </c>
      <c r="X157" s="79" t="s">
        <v>246</v>
      </c>
      <c r="Y157" s="82">
        <v>-1.04</v>
      </c>
      <c r="Z157" s="82"/>
      <c r="AD157" s="82"/>
      <c r="AF157" s="82"/>
    </row>
    <row r="158" spans="1:32" s="79" customFormat="1" ht="11.4" x14ac:dyDescent="0.25">
      <c r="B158" s="79" t="s">
        <v>130</v>
      </c>
      <c r="C158" s="79" t="s">
        <v>359</v>
      </c>
      <c r="D158" s="79" t="s">
        <v>244</v>
      </c>
      <c r="E158" s="80"/>
      <c r="F158" s="80"/>
      <c r="G158" s="80"/>
      <c r="H158" s="80"/>
      <c r="I158" s="80">
        <v>-17.32</v>
      </c>
      <c r="J158" s="80"/>
      <c r="K158" s="80">
        <f t="shared" si="7"/>
        <v>-17.32</v>
      </c>
      <c r="L158" s="80"/>
      <c r="M158" s="80"/>
      <c r="N158" s="80"/>
      <c r="O158" s="80"/>
      <c r="P158" s="80"/>
      <c r="Q158" s="80">
        <f t="shared" si="8"/>
        <v>0</v>
      </c>
      <c r="R158" s="80"/>
      <c r="S158" s="81">
        <f t="shared" si="9"/>
        <v>-17.32</v>
      </c>
      <c r="U158" s="79" t="s">
        <v>266</v>
      </c>
      <c r="V158" s="79" t="s">
        <v>131</v>
      </c>
      <c r="W158" s="82">
        <v>-17.32</v>
      </c>
      <c r="X158" s="79" t="s">
        <v>246</v>
      </c>
      <c r="Y158" s="82">
        <v>-1.04</v>
      </c>
      <c r="Z158" s="82"/>
      <c r="AD158" s="82"/>
      <c r="AF158" s="82"/>
    </row>
    <row r="159" spans="1:32" s="79" customFormat="1" ht="11.4" x14ac:dyDescent="0.25">
      <c r="B159" s="79" t="s">
        <v>130</v>
      </c>
      <c r="C159" s="79" t="s">
        <v>360</v>
      </c>
      <c r="D159" s="79" t="s">
        <v>244</v>
      </c>
      <c r="E159" s="80"/>
      <c r="F159" s="80"/>
      <c r="G159" s="80"/>
      <c r="H159" s="80"/>
      <c r="I159" s="80">
        <v>-17.32</v>
      </c>
      <c r="J159" s="80"/>
      <c r="K159" s="80">
        <f t="shared" si="7"/>
        <v>-17.32</v>
      </c>
      <c r="L159" s="80"/>
      <c r="M159" s="80"/>
      <c r="N159" s="80"/>
      <c r="O159" s="80"/>
      <c r="P159" s="80"/>
      <c r="Q159" s="80">
        <f t="shared" si="8"/>
        <v>0</v>
      </c>
      <c r="R159" s="80"/>
      <c r="S159" s="81">
        <f t="shared" si="9"/>
        <v>-17.32</v>
      </c>
      <c r="U159" s="79" t="s">
        <v>266</v>
      </c>
      <c r="V159" s="79" t="s">
        <v>131</v>
      </c>
      <c r="W159" s="82">
        <v>-17.32</v>
      </c>
      <c r="X159" s="79" t="s">
        <v>246</v>
      </c>
      <c r="Y159" s="82">
        <v>-1.04</v>
      </c>
      <c r="Z159" s="82"/>
      <c r="AD159" s="82"/>
      <c r="AF159" s="82"/>
    </row>
    <row r="160" spans="1:32" s="79" customFormat="1" ht="11.4" x14ac:dyDescent="0.25">
      <c r="A160" s="79">
        <v>20</v>
      </c>
      <c r="B160" s="79" t="s">
        <v>142</v>
      </c>
      <c r="C160" s="79" t="s">
        <v>355</v>
      </c>
      <c r="D160" s="79" t="s">
        <v>244</v>
      </c>
      <c r="E160" s="80"/>
      <c r="F160" s="80"/>
      <c r="G160" s="80"/>
      <c r="H160" s="80"/>
      <c r="I160" s="80">
        <v>-7.78</v>
      </c>
      <c r="J160" s="80"/>
      <c r="K160" s="80">
        <f t="shared" si="7"/>
        <v>-7.78</v>
      </c>
      <c r="L160" s="80"/>
      <c r="M160" s="80"/>
      <c r="N160" s="80"/>
      <c r="O160" s="80"/>
      <c r="P160" s="80"/>
      <c r="Q160" s="80">
        <f t="shared" si="8"/>
        <v>0</v>
      </c>
      <c r="R160" s="80"/>
      <c r="S160" s="81">
        <f t="shared" si="9"/>
        <v>-7.78</v>
      </c>
      <c r="U160" s="79" t="s">
        <v>267</v>
      </c>
      <c r="V160" s="79" t="s">
        <v>143</v>
      </c>
      <c r="W160" s="82">
        <v>-7.78</v>
      </c>
      <c r="X160" s="79" t="s">
        <v>246</v>
      </c>
      <c r="Y160" s="82">
        <v>-0.47</v>
      </c>
      <c r="Z160" s="82"/>
      <c r="AD160" s="82"/>
      <c r="AF160" s="82"/>
    </row>
    <row r="161" spans="1:32" s="79" customFormat="1" ht="11.4" x14ac:dyDescent="0.25">
      <c r="B161" s="79" t="s">
        <v>142</v>
      </c>
      <c r="C161" s="79" t="s">
        <v>356</v>
      </c>
      <c r="D161" s="79" t="s">
        <v>244</v>
      </c>
      <c r="E161" s="80"/>
      <c r="F161" s="80"/>
      <c r="G161" s="80"/>
      <c r="H161" s="80"/>
      <c r="I161" s="80">
        <v>-7.78</v>
      </c>
      <c r="J161" s="80"/>
      <c r="K161" s="80">
        <f t="shared" si="7"/>
        <v>-7.78</v>
      </c>
      <c r="L161" s="80"/>
      <c r="M161" s="80"/>
      <c r="N161" s="80"/>
      <c r="O161" s="80"/>
      <c r="P161" s="80"/>
      <c r="Q161" s="80">
        <f t="shared" si="8"/>
        <v>0</v>
      </c>
      <c r="R161" s="80"/>
      <c r="S161" s="81">
        <f t="shared" si="9"/>
        <v>-7.78</v>
      </c>
      <c r="U161" s="79" t="s">
        <v>267</v>
      </c>
      <c r="V161" s="79" t="s">
        <v>143</v>
      </c>
      <c r="W161" s="82">
        <v>-7.78</v>
      </c>
      <c r="X161" s="79" t="s">
        <v>246</v>
      </c>
      <c r="Y161" s="82">
        <v>-0.47</v>
      </c>
      <c r="Z161" s="82"/>
      <c r="AD161" s="82"/>
      <c r="AF161" s="82"/>
    </row>
    <row r="162" spans="1:32" s="79" customFormat="1" ht="11.4" x14ac:dyDescent="0.25">
      <c r="B162" s="79" t="s">
        <v>142</v>
      </c>
      <c r="C162" s="79" t="s">
        <v>357</v>
      </c>
      <c r="D162" s="79" t="s">
        <v>244</v>
      </c>
      <c r="E162" s="80"/>
      <c r="F162" s="80"/>
      <c r="G162" s="80"/>
      <c r="H162" s="80"/>
      <c r="I162" s="80">
        <v>-7.78</v>
      </c>
      <c r="J162" s="80"/>
      <c r="K162" s="80">
        <f t="shared" si="7"/>
        <v>-7.78</v>
      </c>
      <c r="L162" s="80"/>
      <c r="M162" s="80"/>
      <c r="N162" s="80"/>
      <c r="O162" s="80"/>
      <c r="P162" s="80"/>
      <c r="Q162" s="80">
        <f t="shared" si="8"/>
        <v>0</v>
      </c>
      <c r="R162" s="80"/>
      <c r="S162" s="81">
        <f t="shared" si="9"/>
        <v>-7.78</v>
      </c>
      <c r="U162" s="79" t="s">
        <v>267</v>
      </c>
      <c r="V162" s="79" t="s">
        <v>143</v>
      </c>
      <c r="W162" s="82">
        <v>-7.78</v>
      </c>
      <c r="X162" s="79" t="s">
        <v>246</v>
      </c>
      <c r="Y162" s="82">
        <v>-0.47</v>
      </c>
      <c r="Z162" s="82"/>
      <c r="AD162" s="82"/>
      <c r="AF162" s="82"/>
    </row>
    <row r="163" spans="1:32" s="79" customFormat="1" ht="11.4" x14ac:dyDescent="0.25">
      <c r="B163" s="79" t="s">
        <v>142</v>
      </c>
      <c r="C163" s="79" t="s">
        <v>358</v>
      </c>
      <c r="D163" s="79" t="s">
        <v>244</v>
      </c>
      <c r="E163" s="80"/>
      <c r="F163" s="80"/>
      <c r="G163" s="80"/>
      <c r="H163" s="80"/>
      <c r="I163" s="80">
        <v>-7.78</v>
      </c>
      <c r="J163" s="80"/>
      <c r="K163" s="80">
        <f t="shared" si="7"/>
        <v>-7.78</v>
      </c>
      <c r="L163" s="80"/>
      <c r="M163" s="80"/>
      <c r="N163" s="80"/>
      <c r="O163" s="80"/>
      <c r="P163" s="80"/>
      <c r="Q163" s="80">
        <f t="shared" si="8"/>
        <v>0</v>
      </c>
      <c r="R163" s="80"/>
      <c r="S163" s="81">
        <f t="shared" si="9"/>
        <v>-7.78</v>
      </c>
      <c r="U163" s="79" t="s">
        <v>267</v>
      </c>
      <c r="V163" s="79" t="s">
        <v>143</v>
      </c>
      <c r="W163" s="82">
        <v>-7.78</v>
      </c>
      <c r="X163" s="79" t="s">
        <v>246</v>
      </c>
      <c r="Y163" s="82">
        <v>-0.47</v>
      </c>
      <c r="Z163" s="82"/>
      <c r="AD163" s="82"/>
      <c r="AF163" s="82"/>
    </row>
    <row r="164" spans="1:32" s="79" customFormat="1" ht="11.4" x14ac:dyDescent="0.25">
      <c r="B164" s="79" t="s">
        <v>142</v>
      </c>
      <c r="C164" s="79" t="s">
        <v>359</v>
      </c>
      <c r="D164" s="79" t="s">
        <v>244</v>
      </c>
      <c r="E164" s="80"/>
      <c r="F164" s="80"/>
      <c r="G164" s="80"/>
      <c r="H164" s="80"/>
      <c r="I164" s="80">
        <v>-7.78</v>
      </c>
      <c r="J164" s="80"/>
      <c r="K164" s="80">
        <f t="shared" si="7"/>
        <v>-7.78</v>
      </c>
      <c r="L164" s="80"/>
      <c r="M164" s="80"/>
      <c r="N164" s="80"/>
      <c r="O164" s="80"/>
      <c r="P164" s="80"/>
      <c r="Q164" s="80">
        <f t="shared" si="8"/>
        <v>0</v>
      </c>
      <c r="R164" s="80"/>
      <c r="S164" s="81">
        <f t="shared" si="9"/>
        <v>-7.78</v>
      </c>
      <c r="U164" s="79" t="s">
        <v>267</v>
      </c>
      <c r="V164" s="79" t="s">
        <v>143</v>
      </c>
      <c r="W164" s="82">
        <v>-7.78</v>
      </c>
      <c r="X164" s="79" t="s">
        <v>246</v>
      </c>
      <c r="Y164" s="82">
        <v>-0.47</v>
      </c>
      <c r="Z164" s="82"/>
      <c r="AD164" s="82"/>
      <c r="AF164" s="82"/>
    </row>
    <row r="165" spans="1:32" s="79" customFormat="1" ht="11.4" x14ac:dyDescent="0.25">
      <c r="B165" s="79" t="s">
        <v>142</v>
      </c>
      <c r="C165" s="79" t="s">
        <v>360</v>
      </c>
      <c r="D165" s="79" t="s">
        <v>244</v>
      </c>
      <c r="E165" s="80"/>
      <c r="F165" s="80"/>
      <c r="G165" s="80"/>
      <c r="H165" s="80"/>
      <c r="I165" s="80">
        <v>-7.78</v>
      </c>
      <c r="J165" s="80"/>
      <c r="K165" s="80">
        <f t="shared" si="7"/>
        <v>-7.78</v>
      </c>
      <c r="L165" s="80"/>
      <c r="M165" s="80"/>
      <c r="N165" s="80"/>
      <c r="O165" s="80"/>
      <c r="P165" s="80"/>
      <c r="Q165" s="80">
        <f t="shared" si="8"/>
        <v>0</v>
      </c>
      <c r="R165" s="80"/>
      <c r="S165" s="81">
        <f t="shared" si="9"/>
        <v>-7.78</v>
      </c>
      <c r="U165" s="79" t="s">
        <v>267</v>
      </c>
      <c r="V165" s="79" t="s">
        <v>143</v>
      </c>
      <c r="W165" s="82">
        <v>-7.78</v>
      </c>
      <c r="X165" s="79" t="s">
        <v>246</v>
      </c>
      <c r="Y165" s="82">
        <v>-0.45</v>
      </c>
      <c r="Z165" s="82"/>
      <c r="AD165" s="82"/>
      <c r="AF165" s="82"/>
    </row>
    <row r="166" spans="1:32" s="79" customFormat="1" ht="11.4" x14ac:dyDescent="0.25">
      <c r="A166" s="79">
        <v>21</v>
      </c>
      <c r="B166" s="79" t="s">
        <v>160</v>
      </c>
      <c r="C166" s="79" t="s">
        <v>355</v>
      </c>
      <c r="D166" s="79" t="s">
        <v>244</v>
      </c>
      <c r="E166" s="80"/>
      <c r="F166" s="80"/>
      <c r="G166" s="80"/>
      <c r="H166" s="80"/>
      <c r="I166" s="80">
        <v>-7.65</v>
      </c>
      <c r="J166" s="80"/>
      <c r="K166" s="80">
        <f t="shared" si="7"/>
        <v>-7.65</v>
      </c>
      <c r="L166" s="80"/>
      <c r="M166" s="80"/>
      <c r="N166" s="80"/>
      <c r="O166" s="80"/>
      <c r="P166" s="80"/>
      <c r="Q166" s="80">
        <f t="shared" si="8"/>
        <v>0</v>
      </c>
      <c r="R166" s="80"/>
      <c r="S166" s="81">
        <f t="shared" si="9"/>
        <v>-7.65</v>
      </c>
      <c r="U166" s="79" t="s">
        <v>268</v>
      </c>
      <c r="V166" s="79" t="s">
        <v>161</v>
      </c>
      <c r="W166" s="82">
        <v>-7.65</v>
      </c>
      <c r="X166" s="79" t="s">
        <v>246</v>
      </c>
      <c r="Y166" s="82">
        <v>-0.46</v>
      </c>
      <c r="Z166" s="82"/>
      <c r="AD166" s="82"/>
      <c r="AF166" s="82"/>
    </row>
    <row r="167" spans="1:32" s="79" customFormat="1" ht="11.4" x14ac:dyDescent="0.25">
      <c r="B167" s="79" t="s">
        <v>160</v>
      </c>
      <c r="C167" s="79" t="s">
        <v>356</v>
      </c>
      <c r="D167" s="79" t="s">
        <v>244</v>
      </c>
      <c r="E167" s="80"/>
      <c r="F167" s="80"/>
      <c r="G167" s="80"/>
      <c r="H167" s="80"/>
      <c r="I167" s="80">
        <v>-7.65</v>
      </c>
      <c r="J167" s="80"/>
      <c r="K167" s="80">
        <f t="shared" si="7"/>
        <v>-7.65</v>
      </c>
      <c r="L167" s="80"/>
      <c r="M167" s="80"/>
      <c r="N167" s="80"/>
      <c r="O167" s="80"/>
      <c r="P167" s="80"/>
      <c r="Q167" s="80">
        <f t="shared" si="8"/>
        <v>0</v>
      </c>
      <c r="R167" s="80"/>
      <c r="S167" s="81">
        <f t="shared" si="9"/>
        <v>-7.65</v>
      </c>
      <c r="U167" s="79" t="s">
        <v>268</v>
      </c>
      <c r="V167" s="79" t="s">
        <v>161</v>
      </c>
      <c r="W167" s="82">
        <v>-7.65</v>
      </c>
      <c r="X167" s="79" t="s">
        <v>246</v>
      </c>
      <c r="Y167" s="82">
        <v>-0.46</v>
      </c>
      <c r="Z167" s="82"/>
      <c r="AD167" s="82"/>
      <c r="AF167" s="82"/>
    </row>
    <row r="168" spans="1:32" s="79" customFormat="1" ht="11.4" x14ac:dyDescent="0.25">
      <c r="B168" s="79" t="s">
        <v>160</v>
      </c>
      <c r="C168" s="79" t="s">
        <v>357</v>
      </c>
      <c r="D168" s="79" t="s">
        <v>244</v>
      </c>
      <c r="E168" s="80"/>
      <c r="F168" s="80"/>
      <c r="G168" s="80"/>
      <c r="H168" s="80"/>
      <c r="I168" s="80">
        <v>-7.65</v>
      </c>
      <c r="J168" s="80"/>
      <c r="K168" s="80">
        <f t="shared" si="7"/>
        <v>-7.65</v>
      </c>
      <c r="L168" s="80"/>
      <c r="M168" s="80"/>
      <c r="N168" s="80"/>
      <c r="O168" s="80"/>
      <c r="P168" s="80"/>
      <c r="Q168" s="80">
        <f t="shared" si="8"/>
        <v>0</v>
      </c>
      <c r="R168" s="80"/>
      <c r="S168" s="81">
        <f t="shared" si="9"/>
        <v>-7.65</v>
      </c>
      <c r="U168" s="79" t="s">
        <v>268</v>
      </c>
      <c r="V168" s="79" t="s">
        <v>161</v>
      </c>
      <c r="W168" s="82">
        <v>-7.65</v>
      </c>
      <c r="X168" s="79" t="s">
        <v>246</v>
      </c>
      <c r="Y168" s="82">
        <v>-0.46</v>
      </c>
      <c r="Z168" s="82"/>
      <c r="AD168" s="82"/>
      <c r="AF168" s="82"/>
    </row>
    <row r="169" spans="1:32" s="79" customFormat="1" ht="11.4" x14ac:dyDescent="0.25">
      <c r="B169" s="79" t="s">
        <v>160</v>
      </c>
      <c r="C169" s="79" t="s">
        <v>358</v>
      </c>
      <c r="D169" s="79" t="s">
        <v>244</v>
      </c>
      <c r="E169" s="80"/>
      <c r="F169" s="80"/>
      <c r="G169" s="80"/>
      <c r="H169" s="80"/>
      <c r="I169" s="80">
        <v>-7.65</v>
      </c>
      <c r="J169" s="80"/>
      <c r="K169" s="80">
        <f t="shared" si="7"/>
        <v>-7.65</v>
      </c>
      <c r="L169" s="80"/>
      <c r="M169" s="80"/>
      <c r="N169" s="80"/>
      <c r="O169" s="80"/>
      <c r="P169" s="80"/>
      <c r="Q169" s="80">
        <f t="shared" si="8"/>
        <v>0</v>
      </c>
      <c r="R169" s="80"/>
      <c r="S169" s="81">
        <f t="shared" si="9"/>
        <v>-7.65</v>
      </c>
      <c r="U169" s="79" t="s">
        <v>268</v>
      </c>
      <c r="V169" s="79" t="s">
        <v>161</v>
      </c>
      <c r="W169" s="82">
        <v>-7.65</v>
      </c>
      <c r="X169" s="79" t="s">
        <v>246</v>
      </c>
      <c r="Y169" s="82">
        <v>-0.46</v>
      </c>
      <c r="Z169" s="82"/>
      <c r="AD169" s="82"/>
      <c r="AF169" s="82"/>
    </row>
    <row r="170" spans="1:32" s="79" customFormat="1" ht="11.4" x14ac:dyDescent="0.25">
      <c r="B170" s="79" t="s">
        <v>160</v>
      </c>
      <c r="C170" s="79" t="s">
        <v>359</v>
      </c>
      <c r="D170" s="79" t="s">
        <v>244</v>
      </c>
      <c r="E170" s="80"/>
      <c r="F170" s="80"/>
      <c r="G170" s="80"/>
      <c r="H170" s="80"/>
      <c r="I170" s="80">
        <v>-7.65</v>
      </c>
      <c r="J170" s="80"/>
      <c r="K170" s="80">
        <f t="shared" si="7"/>
        <v>-7.65</v>
      </c>
      <c r="L170" s="80"/>
      <c r="M170" s="80"/>
      <c r="N170" s="80"/>
      <c r="O170" s="80"/>
      <c r="P170" s="80"/>
      <c r="Q170" s="80">
        <f t="shared" si="8"/>
        <v>0</v>
      </c>
      <c r="R170" s="80"/>
      <c r="S170" s="81">
        <f t="shared" si="9"/>
        <v>-7.65</v>
      </c>
      <c r="U170" s="79" t="s">
        <v>268</v>
      </c>
      <c r="V170" s="79" t="s">
        <v>161</v>
      </c>
      <c r="W170" s="82">
        <v>-7.65</v>
      </c>
      <c r="X170" s="79" t="s">
        <v>246</v>
      </c>
      <c r="Y170" s="82">
        <v>-0.46</v>
      </c>
      <c r="Z170" s="82"/>
      <c r="AD170" s="82"/>
      <c r="AF170" s="82"/>
    </row>
    <row r="171" spans="1:32" s="79" customFormat="1" ht="11.4" x14ac:dyDescent="0.25">
      <c r="B171" s="79" t="s">
        <v>160</v>
      </c>
      <c r="C171" s="79" t="s">
        <v>360</v>
      </c>
      <c r="D171" s="79" t="s">
        <v>244</v>
      </c>
      <c r="E171" s="80"/>
      <c r="F171" s="80"/>
      <c r="G171" s="80"/>
      <c r="H171" s="80"/>
      <c r="I171" s="80">
        <v>-7.65</v>
      </c>
      <c r="J171" s="80"/>
      <c r="K171" s="80">
        <f t="shared" si="7"/>
        <v>-7.65</v>
      </c>
      <c r="L171" s="80"/>
      <c r="M171" s="80"/>
      <c r="N171" s="80"/>
      <c r="O171" s="80"/>
      <c r="P171" s="80"/>
      <c r="Q171" s="80">
        <f t="shared" si="8"/>
        <v>0</v>
      </c>
      <c r="R171" s="80"/>
      <c r="S171" s="81">
        <f t="shared" si="9"/>
        <v>-7.65</v>
      </c>
      <c r="U171" s="79" t="s">
        <v>268</v>
      </c>
      <c r="V171" s="79" t="s">
        <v>161</v>
      </c>
      <c r="W171" s="82">
        <v>-7.65</v>
      </c>
      <c r="X171" s="79" t="s">
        <v>246</v>
      </c>
      <c r="Y171" s="82">
        <v>-0.45</v>
      </c>
      <c r="Z171" s="82"/>
      <c r="AD171" s="82"/>
      <c r="AF171" s="82"/>
    </row>
    <row r="172" spans="1:32" s="79" customFormat="1" ht="11.4" x14ac:dyDescent="0.25">
      <c r="A172" s="79">
        <v>22</v>
      </c>
      <c r="B172" s="79" t="s">
        <v>97</v>
      </c>
      <c r="C172" s="79" t="s">
        <v>355</v>
      </c>
      <c r="D172" s="79" t="s">
        <v>244</v>
      </c>
      <c r="E172" s="80"/>
      <c r="F172" s="80"/>
      <c r="G172" s="80"/>
      <c r="H172" s="80"/>
      <c r="I172" s="80">
        <v>-8.5299999999999994</v>
      </c>
      <c r="J172" s="80"/>
      <c r="K172" s="80">
        <f t="shared" si="7"/>
        <v>-8.5299999999999994</v>
      </c>
      <c r="L172" s="80"/>
      <c r="M172" s="80"/>
      <c r="N172" s="80"/>
      <c r="O172" s="80"/>
      <c r="P172" s="80"/>
      <c r="Q172" s="80">
        <f t="shared" si="8"/>
        <v>0</v>
      </c>
      <c r="R172" s="80"/>
      <c r="S172" s="81">
        <f t="shared" si="9"/>
        <v>-8.5299999999999994</v>
      </c>
      <c r="U172" s="79" t="s">
        <v>269</v>
      </c>
      <c r="V172" s="79" t="s">
        <v>98</v>
      </c>
      <c r="W172" s="82">
        <v>-8.5299999999999994</v>
      </c>
      <c r="X172" s="79" t="s">
        <v>246</v>
      </c>
      <c r="Y172" s="82">
        <v>-0.51</v>
      </c>
      <c r="Z172" s="82"/>
      <c r="AD172" s="82"/>
      <c r="AF172" s="82"/>
    </row>
    <row r="173" spans="1:32" s="79" customFormat="1" ht="11.4" x14ac:dyDescent="0.25">
      <c r="B173" s="79" t="s">
        <v>97</v>
      </c>
      <c r="C173" s="79" t="s">
        <v>356</v>
      </c>
      <c r="D173" s="79" t="s">
        <v>244</v>
      </c>
      <c r="E173" s="80"/>
      <c r="F173" s="80"/>
      <c r="G173" s="80"/>
      <c r="H173" s="80"/>
      <c r="I173" s="80">
        <v>-8.5299999999999994</v>
      </c>
      <c r="J173" s="80"/>
      <c r="K173" s="80">
        <f t="shared" si="7"/>
        <v>-8.5299999999999994</v>
      </c>
      <c r="L173" s="80"/>
      <c r="M173" s="80"/>
      <c r="N173" s="80"/>
      <c r="O173" s="80"/>
      <c r="P173" s="80"/>
      <c r="Q173" s="80">
        <f t="shared" si="8"/>
        <v>0</v>
      </c>
      <c r="R173" s="80"/>
      <c r="S173" s="81">
        <f t="shared" si="9"/>
        <v>-8.5299999999999994</v>
      </c>
      <c r="U173" s="79" t="s">
        <v>269</v>
      </c>
      <c r="V173" s="79" t="s">
        <v>98</v>
      </c>
      <c r="W173" s="82">
        <v>-8.5299999999999994</v>
      </c>
      <c r="X173" s="79" t="s">
        <v>246</v>
      </c>
      <c r="Y173" s="82">
        <v>-0.51</v>
      </c>
      <c r="Z173" s="82"/>
      <c r="AD173" s="82"/>
      <c r="AF173" s="82"/>
    </row>
    <row r="174" spans="1:32" s="79" customFormat="1" ht="11.4" x14ac:dyDescent="0.25">
      <c r="B174" s="79" t="s">
        <v>97</v>
      </c>
      <c r="C174" s="79" t="s">
        <v>357</v>
      </c>
      <c r="D174" s="79" t="s">
        <v>244</v>
      </c>
      <c r="E174" s="80"/>
      <c r="F174" s="80"/>
      <c r="G174" s="80"/>
      <c r="H174" s="80"/>
      <c r="I174" s="80">
        <v>-8.5299999999999994</v>
      </c>
      <c r="J174" s="80"/>
      <c r="K174" s="80">
        <f t="shared" si="7"/>
        <v>-8.5299999999999994</v>
      </c>
      <c r="L174" s="80"/>
      <c r="M174" s="80"/>
      <c r="N174" s="80"/>
      <c r="O174" s="80"/>
      <c r="P174" s="80"/>
      <c r="Q174" s="80">
        <f t="shared" si="8"/>
        <v>0</v>
      </c>
      <c r="R174" s="80"/>
      <c r="S174" s="81">
        <f t="shared" si="9"/>
        <v>-8.5299999999999994</v>
      </c>
      <c r="U174" s="79" t="s">
        <v>269</v>
      </c>
      <c r="V174" s="79" t="s">
        <v>98</v>
      </c>
      <c r="W174" s="82">
        <v>-8.5299999999999994</v>
      </c>
      <c r="X174" s="79" t="s">
        <v>246</v>
      </c>
      <c r="Y174" s="82">
        <v>-0.51</v>
      </c>
      <c r="Z174" s="82"/>
      <c r="AD174" s="82"/>
      <c r="AF174" s="82"/>
    </row>
    <row r="175" spans="1:32" s="79" customFormat="1" ht="11.4" x14ac:dyDescent="0.25">
      <c r="B175" s="79" t="s">
        <v>97</v>
      </c>
      <c r="C175" s="79" t="s">
        <v>358</v>
      </c>
      <c r="D175" s="79" t="s">
        <v>244</v>
      </c>
      <c r="E175" s="80"/>
      <c r="F175" s="80"/>
      <c r="G175" s="80"/>
      <c r="H175" s="80"/>
      <c r="I175" s="80">
        <v>-8.5299999999999994</v>
      </c>
      <c r="J175" s="80"/>
      <c r="K175" s="80">
        <f t="shared" si="7"/>
        <v>-8.5299999999999994</v>
      </c>
      <c r="L175" s="80"/>
      <c r="M175" s="80"/>
      <c r="N175" s="80"/>
      <c r="O175" s="80"/>
      <c r="P175" s="80"/>
      <c r="Q175" s="80">
        <f t="shared" si="8"/>
        <v>0</v>
      </c>
      <c r="R175" s="80"/>
      <c r="S175" s="81">
        <f t="shared" si="9"/>
        <v>-8.5299999999999994</v>
      </c>
      <c r="U175" s="79" t="s">
        <v>269</v>
      </c>
      <c r="V175" s="79" t="s">
        <v>98</v>
      </c>
      <c r="W175" s="82">
        <v>-8.5299999999999994</v>
      </c>
      <c r="X175" s="79" t="s">
        <v>246</v>
      </c>
      <c r="Y175" s="82">
        <v>-0.51</v>
      </c>
      <c r="Z175" s="82"/>
      <c r="AD175" s="82"/>
      <c r="AF175" s="82"/>
    </row>
    <row r="176" spans="1:32" s="79" customFormat="1" ht="11.4" x14ac:dyDescent="0.25">
      <c r="B176" s="79" t="s">
        <v>97</v>
      </c>
      <c r="C176" s="79" t="s">
        <v>359</v>
      </c>
      <c r="D176" s="79" t="s">
        <v>244</v>
      </c>
      <c r="E176" s="80"/>
      <c r="F176" s="80"/>
      <c r="G176" s="80"/>
      <c r="H176" s="80"/>
      <c r="I176" s="80">
        <v>-8.5299999999999994</v>
      </c>
      <c r="J176" s="80"/>
      <c r="K176" s="80">
        <f t="shared" si="7"/>
        <v>-8.5299999999999994</v>
      </c>
      <c r="L176" s="80"/>
      <c r="M176" s="80"/>
      <c r="N176" s="80"/>
      <c r="O176" s="80"/>
      <c r="P176" s="80"/>
      <c r="Q176" s="80">
        <f t="shared" si="8"/>
        <v>0</v>
      </c>
      <c r="R176" s="80"/>
      <c r="S176" s="81">
        <f t="shared" si="9"/>
        <v>-8.5299999999999994</v>
      </c>
      <c r="U176" s="79" t="s">
        <v>269</v>
      </c>
      <c r="V176" s="79" t="s">
        <v>98</v>
      </c>
      <c r="W176" s="82">
        <v>-8.5299999999999994</v>
      </c>
      <c r="X176" s="79" t="s">
        <v>246</v>
      </c>
      <c r="Y176" s="82">
        <v>-0.51</v>
      </c>
      <c r="Z176" s="82"/>
      <c r="AD176" s="82"/>
      <c r="AF176" s="82"/>
    </row>
    <row r="177" spans="1:32" s="79" customFormat="1" ht="11.4" x14ac:dyDescent="0.25">
      <c r="B177" s="79" t="s">
        <v>97</v>
      </c>
      <c r="C177" s="79" t="s">
        <v>360</v>
      </c>
      <c r="D177" s="79" t="s">
        <v>244</v>
      </c>
      <c r="E177" s="80"/>
      <c r="F177" s="80"/>
      <c r="G177" s="80"/>
      <c r="H177" s="80"/>
      <c r="I177" s="80">
        <v>-8.5299999999999994</v>
      </c>
      <c r="J177" s="80"/>
      <c r="K177" s="80">
        <f t="shared" si="7"/>
        <v>-8.5299999999999994</v>
      </c>
      <c r="L177" s="80"/>
      <c r="M177" s="80"/>
      <c r="N177" s="80"/>
      <c r="O177" s="80"/>
      <c r="P177" s="80"/>
      <c r="Q177" s="80">
        <f t="shared" si="8"/>
        <v>0</v>
      </c>
      <c r="R177" s="80"/>
      <c r="S177" s="81">
        <f t="shared" si="9"/>
        <v>-8.5299999999999994</v>
      </c>
      <c r="U177" s="79" t="s">
        <v>269</v>
      </c>
      <c r="V177" s="79" t="s">
        <v>98</v>
      </c>
      <c r="W177" s="82">
        <v>-8.5299999999999994</v>
      </c>
      <c r="X177" s="79" t="s">
        <v>246</v>
      </c>
      <c r="Y177" s="82">
        <v>-0.52</v>
      </c>
      <c r="Z177" s="82"/>
      <c r="AD177" s="82"/>
      <c r="AF177" s="82"/>
    </row>
    <row r="178" spans="1:32" s="79" customFormat="1" ht="11.4" x14ac:dyDescent="0.25">
      <c r="A178" s="79">
        <v>23</v>
      </c>
      <c r="B178" s="79" t="s">
        <v>121</v>
      </c>
      <c r="C178" s="79" t="s">
        <v>355</v>
      </c>
      <c r="D178" s="79" t="s">
        <v>244</v>
      </c>
      <c r="E178" s="80"/>
      <c r="F178" s="80"/>
      <c r="G178" s="80"/>
      <c r="H178" s="80"/>
      <c r="I178" s="80">
        <v>-8.1300000000000008</v>
      </c>
      <c r="J178" s="80"/>
      <c r="K178" s="80">
        <f t="shared" si="7"/>
        <v>-8.1300000000000008</v>
      </c>
      <c r="L178" s="80"/>
      <c r="M178" s="80"/>
      <c r="N178" s="80"/>
      <c r="O178" s="80"/>
      <c r="P178" s="80"/>
      <c r="Q178" s="80">
        <f t="shared" si="8"/>
        <v>0</v>
      </c>
      <c r="R178" s="80"/>
      <c r="S178" s="81">
        <f t="shared" si="9"/>
        <v>-8.1300000000000008</v>
      </c>
      <c r="U178" s="79" t="s">
        <v>270</v>
      </c>
      <c r="V178" s="79" t="s">
        <v>122</v>
      </c>
      <c r="W178" s="82">
        <v>-8.1300000000000008</v>
      </c>
      <c r="X178" s="79" t="s">
        <v>246</v>
      </c>
      <c r="Y178" s="82">
        <v>-0.49</v>
      </c>
      <c r="Z178" s="82"/>
      <c r="AD178" s="82"/>
      <c r="AF178" s="82"/>
    </row>
    <row r="179" spans="1:32" s="79" customFormat="1" ht="11.4" x14ac:dyDescent="0.25">
      <c r="B179" s="79" t="s">
        <v>121</v>
      </c>
      <c r="C179" s="79" t="s">
        <v>356</v>
      </c>
      <c r="D179" s="79" t="s">
        <v>244</v>
      </c>
      <c r="E179" s="80"/>
      <c r="F179" s="80"/>
      <c r="G179" s="80"/>
      <c r="H179" s="80"/>
      <c r="I179" s="80">
        <v>-8.1300000000000008</v>
      </c>
      <c r="J179" s="80"/>
      <c r="K179" s="80">
        <f t="shared" ref="K179:K216" si="10">SUM(F179:J179)</f>
        <v>-8.1300000000000008</v>
      </c>
      <c r="L179" s="80"/>
      <c r="M179" s="80"/>
      <c r="N179" s="80"/>
      <c r="O179" s="80"/>
      <c r="P179" s="80"/>
      <c r="Q179" s="80">
        <f t="shared" ref="Q179:Q216" si="11">SUM(L179:P179)</f>
        <v>0</v>
      </c>
      <c r="R179" s="80"/>
      <c r="S179" s="81">
        <f t="shared" ref="S179:S215" si="12">SUM(K179,Q179:R179)</f>
        <v>-8.1300000000000008</v>
      </c>
      <c r="U179" s="79" t="s">
        <v>270</v>
      </c>
      <c r="V179" s="79" t="s">
        <v>122</v>
      </c>
      <c r="W179" s="82">
        <v>-8.1300000000000008</v>
      </c>
      <c r="X179" s="79" t="s">
        <v>246</v>
      </c>
      <c r="Y179" s="82">
        <v>-0.49</v>
      </c>
      <c r="Z179" s="82"/>
      <c r="AD179" s="82"/>
      <c r="AF179" s="82"/>
    </row>
    <row r="180" spans="1:32" s="79" customFormat="1" ht="11.4" x14ac:dyDescent="0.25">
      <c r="B180" s="79" t="s">
        <v>121</v>
      </c>
      <c r="C180" s="79" t="s">
        <v>357</v>
      </c>
      <c r="D180" s="79" t="s">
        <v>244</v>
      </c>
      <c r="E180" s="80"/>
      <c r="F180" s="80"/>
      <c r="G180" s="80"/>
      <c r="H180" s="80"/>
      <c r="I180" s="80">
        <v>-8.1300000000000008</v>
      </c>
      <c r="J180" s="80"/>
      <c r="K180" s="80">
        <f t="shared" si="10"/>
        <v>-8.1300000000000008</v>
      </c>
      <c r="L180" s="80"/>
      <c r="M180" s="80"/>
      <c r="N180" s="80"/>
      <c r="O180" s="80"/>
      <c r="P180" s="80"/>
      <c r="Q180" s="80">
        <f t="shared" si="11"/>
        <v>0</v>
      </c>
      <c r="R180" s="80"/>
      <c r="S180" s="81">
        <f t="shared" si="12"/>
        <v>-8.1300000000000008</v>
      </c>
      <c r="U180" s="79" t="s">
        <v>270</v>
      </c>
      <c r="V180" s="79" t="s">
        <v>122</v>
      </c>
      <c r="W180" s="82">
        <v>-8.1300000000000008</v>
      </c>
      <c r="X180" s="79" t="s">
        <v>246</v>
      </c>
      <c r="Y180" s="82">
        <v>-0.49</v>
      </c>
      <c r="Z180" s="82"/>
      <c r="AD180" s="82"/>
      <c r="AF180" s="82"/>
    </row>
    <row r="181" spans="1:32" s="79" customFormat="1" ht="11.4" x14ac:dyDescent="0.25">
      <c r="B181" s="79" t="s">
        <v>121</v>
      </c>
      <c r="C181" s="79" t="s">
        <v>358</v>
      </c>
      <c r="D181" s="79" t="s">
        <v>244</v>
      </c>
      <c r="E181" s="80"/>
      <c r="F181" s="80"/>
      <c r="G181" s="80"/>
      <c r="H181" s="80"/>
      <c r="I181" s="80">
        <v>-8.1300000000000008</v>
      </c>
      <c r="J181" s="80"/>
      <c r="K181" s="80">
        <f t="shared" si="10"/>
        <v>-8.1300000000000008</v>
      </c>
      <c r="L181" s="80"/>
      <c r="M181" s="80"/>
      <c r="N181" s="80"/>
      <c r="O181" s="80"/>
      <c r="P181" s="80"/>
      <c r="Q181" s="80">
        <f t="shared" si="11"/>
        <v>0</v>
      </c>
      <c r="R181" s="80"/>
      <c r="S181" s="81">
        <f t="shared" si="12"/>
        <v>-8.1300000000000008</v>
      </c>
      <c r="U181" s="79" t="s">
        <v>270</v>
      </c>
      <c r="V181" s="79" t="s">
        <v>122</v>
      </c>
      <c r="W181" s="82">
        <v>-8.1300000000000008</v>
      </c>
      <c r="X181" s="79" t="s">
        <v>246</v>
      </c>
      <c r="Y181" s="82">
        <v>-0.49</v>
      </c>
      <c r="Z181" s="82"/>
      <c r="AD181" s="82"/>
      <c r="AF181" s="82"/>
    </row>
    <row r="182" spans="1:32" s="79" customFormat="1" ht="11.4" x14ac:dyDescent="0.25">
      <c r="B182" s="79" t="s">
        <v>121</v>
      </c>
      <c r="C182" s="79" t="s">
        <v>359</v>
      </c>
      <c r="D182" s="79" t="s">
        <v>244</v>
      </c>
      <c r="E182" s="80"/>
      <c r="F182" s="80"/>
      <c r="G182" s="80"/>
      <c r="H182" s="80"/>
      <c r="I182" s="80">
        <v>-8.1300000000000008</v>
      </c>
      <c r="J182" s="80"/>
      <c r="K182" s="80">
        <f t="shared" si="10"/>
        <v>-8.1300000000000008</v>
      </c>
      <c r="L182" s="80"/>
      <c r="M182" s="80"/>
      <c r="N182" s="80"/>
      <c r="O182" s="80"/>
      <c r="P182" s="80"/>
      <c r="Q182" s="80">
        <f t="shared" si="11"/>
        <v>0</v>
      </c>
      <c r="R182" s="80"/>
      <c r="S182" s="81">
        <f t="shared" si="12"/>
        <v>-8.1300000000000008</v>
      </c>
      <c r="U182" s="79" t="s">
        <v>270</v>
      </c>
      <c r="V182" s="79" t="s">
        <v>122</v>
      </c>
      <c r="W182" s="82">
        <v>-8.1300000000000008</v>
      </c>
      <c r="X182" s="79" t="s">
        <v>246</v>
      </c>
      <c r="Y182" s="82">
        <v>-0.49</v>
      </c>
      <c r="Z182" s="82"/>
      <c r="AD182" s="82"/>
      <c r="AF182" s="82"/>
    </row>
    <row r="183" spans="1:32" s="79" customFormat="1" ht="11.4" x14ac:dyDescent="0.25">
      <c r="B183" s="79" t="s">
        <v>121</v>
      </c>
      <c r="C183" s="79" t="s">
        <v>360</v>
      </c>
      <c r="D183" s="79" t="s">
        <v>244</v>
      </c>
      <c r="E183" s="80"/>
      <c r="F183" s="80"/>
      <c r="G183" s="80"/>
      <c r="H183" s="80"/>
      <c r="I183" s="80">
        <v>-8.1300000000000008</v>
      </c>
      <c r="J183" s="80"/>
      <c r="K183" s="80">
        <f t="shared" si="10"/>
        <v>-8.1300000000000008</v>
      </c>
      <c r="L183" s="80"/>
      <c r="M183" s="80"/>
      <c r="N183" s="80"/>
      <c r="O183" s="80"/>
      <c r="P183" s="80"/>
      <c r="Q183" s="80">
        <f t="shared" si="11"/>
        <v>0</v>
      </c>
      <c r="R183" s="80"/>
      <c r="S183" s="81">
        <f t="shared" si="12"/>
        <v>-8.1300000000000008</v>
      </c>
      <c r="U183" s="79" t="s">
        <v>270</v>
      </c>
      <c r="V183" s="79" t="s">
        <v>122</v>
      </c>
      <c r="W183" s="82">
        <v>-8.1300000000000008</v>
      </c>
      <c r="X183" s="79" t="s">
        <v>246</v>
      </c>
      <c r="Y183" s="82">
        <v>-0.48</v>
      </c>
      <c r="Z183" s="82"/>
      <c r="AD183" s="82"/>
      <c r="AF183" s="82"/>
    </row>
    <row r="184" spans="1:32" s="79" customFormat="1" ht="11.4" x14ac:dyDescent="0.25">
      <c r="A184" s="79">
        <v>24</v>
      </c>
      <c r="B184" s="79" t="s">
        <v>148</v>
      </c>
      <c r="C184" s="79" t="s">
        <v>355</v>
      </c>
      <c r="D184" s="79" t="s">
        <v>244</v>
      </c>
      <c r="E184" s="80"/>
      <c r="F184" s="80"/>
      <c r="G184" s="80"/>
      <c r="H184" s="80"/>
      <c r="I184" s="80">
        <v>-7.45</v>
      </c>
      <c r="J184" s="80"/>
      <c r="K184" s="80">
        <f t="shared" si="10"/>
        <v>-7.45</v>
      </c>
      <c r="L184" s="80"/>
      <c r="M184" s="80"/>
      <c r="N184" s="80"/>
      <c r="O184" s="80"/>
      <c r="P184" s="80"/>
      <c r="Q184" s="80">
        <f t="shared" si="11"/>
        <v>0</v>
      </c>
      <c r="R184" s="80"/>
      <c r="S184" s="81">
        <f t="shared" si="12"/>
        <v>-7.45</v>
      </c>
      <c r="U184" s="79" t="s">
        <v>271</v>
      </c>
      <c r="V184" s="79" t="s">
        <v>149</v>
      </c>
      <c r="W184" s="82">
        <v>-7.45</v>
      </c>
      <c r="X184" s="79" t="s">
        <v>246</v>
      </c>
      <c r="Y184" s="82">
        <v>-0.45</v>
      </c>
      <c r="Z184" s="82"/>
      <c r="AD184" s="82"/>
      <c r="AF184" s="82"/>
    </row>
    <row r="185" spans="1:32" s="79" customFormat="1" ht="11.4" x14ac:dyDescent="0.25">
      <c r="B185" s="79" t="s">
        <v>148</v>
      </c>
      <c r="C185" s="79" t="s">
        <v>356</v>
      </c>
      <c r="D185" s="79" t="s">
        <v>244</v>
      </c>
      <c r="E185" s="80"/>
      <c r="F185" s="80"/>
      <c r="G185" s="80"/>
      <c r="H185" s="80"/>
      <c r="I185" s="80">
        <v>-7.45</v>
      </c>
      <c r="J185" s="80"/>
      <c r="K185" s="80">
        <f t="shared" si="10"/>
        <v>-7.45</v>
      </c>
      <c r="L185" s="80"/>
      <c r="M185" s="80"/>
      <c r="N185" s="80"/>
      <c r="O185" s="80"/>
      <c r="P185" s="80"/>
      <c r="Q185" s="80">
        <f t="shared" si="11"/>
        <v>0</v>
      </c>
      <c r="R185" s="80"/>
      <c r="S185" s="81">
        <f t="shared" si="12"/>
        <v>-7.45</v>
      </c>
      <c r="U185" s="79" t="s">
        <v>271</v>
      </c>
      <c r="V185" s="79" t="s">
        <v>149</v>
      </c>
      <c r="W185" s="82">
        <v>-7.45</v>
      </c>
      <c r="X185" s="79" t="s">
        <v>246</v>
      </c>
      <c r="Y185" s="82">
        <v>-0.45</v>
      </c>
      <c r="Z185" s="82"/>
      <c r="AD185" s="82"/>
      <c r="AF185" s="82"/>
    </row>
    <row r="186" spans="1:32" s="79" customFormat="1" ht="11.4" x14ac:dyDescent="0.25">
      <c r="B186" s="79" t="s">
        <v>148</v>
      </c>
      <c r="C186" s="79" t="s">
        <v>357</v>
      </c>
      <c r="D186" s="79" t="s">
        <v>244</v>
      </c>
      <c r="E186" s="80"/>
      <c r="F186" s="80"/>
      <c r="G186" s="80"/>
      <c r="H186" s="80"/>
      <c r="I186" s="80">
        <v>-7.45</v>
      </c>
      <c r="J186" s="80"/>
      <c r="K186" s="80">
        <f t="shared" si="10"/>
        <v>-7.45</v>
      </c>
      <c r="L186" s="80"/>
      <c r="M186" s="80"/>
      <c r="N186" s="80"/>
      <c r="O186" s="80"/>
      <c r="P186" s="80"/>
      <c r="Q186" s="80">
        <f t="shared" si="11"/>
        <v>0</v>
      </c>
      <c r="R186" s="80"/>
      <c r="S186" s="81">
        <f t="shared" si="12"/>
        <v>-7.45</v>
      </c>
      <c r="U186" s="79" t="s">
        <v>271</v>
      </c>
      <c r="V186" s="79" t="s">
        <v>149</v>
      </c>
      <c r="W186" s="82">
        <v>-7.45</v>
      </c>
      <c r="X186" s="79" t="s">
        <v>246</v>
      </c>
      <c r="Y186" s="82">
        <v>-0.45</v>
      </c>
      <c r="Z186" s="82"/>
      <c r="AD186" s="82"/>
      <c r="AF186" s="82"/>
    </row>
    <row r="187" spans="1:32" s="79" customFormat="1" ht="11.4" x14ac:dyDescent="0.25">
      <c r="B187" s="79" t="s">
        <v>148</v>
      </c>
      <c r="C187" s="79" t="s">
        <v>358</v>
      </c>
      <c r="D187" s="79" t="s">
        <v>244</v>
      </c>
      <c r="E187" s="80"/>
      <c r="F187" s="80"/>
      <c r="G187" s="80"/>
      <c r="H187" s="80"/>
      <c r="I187" s="80">
        <v>-7.45</v>
      </c>
      <c r="J187" s="80"/>
      <c r="K187" s="80">
        <f t="shared" si="10"/>
        <v>-7.45</v>
      </c>
      <c r="L187" s="80"/>
      <c r="M187" s="80"/>
      <c r="N187" s="80"/>
      <c r="O187" s="80"/>
      <c r="P187" s="80"/>
      <c r="Q187" s="80">
        <f t="shared" si="11"/>
        <v>0</v>
      </c>
      <c r="R187" s="80"/>
      <c r="S187" s="81">
        <f t="shared" si="12"/>
        <v>-7.45</v>
      </c>
      <c r="U187" s="79" t="s">
        <v>271</v>
      </c>
      <c r="V187" s="79" t="s">
        <v>149</v>
      </c>
      <c r="W187" s="82">
        <v>-7.45</v>
      </c>
      <c r="X187" s="79" t="s">
        <v>246</v>
      </c>
      <c r="Y187" s="82">
        <v>-0.45</v>
      </c>
      <c r="Z187" s="82"/>
      <c r="AD187" s="82"/>
      <c r="AF187" s="82"/>
    </row>
    <row r="188" spans="1:32" s="79" customFormat="1" ht="11.4" x14ac:dyDescent="0.25">
      <c r="B188" s="79" t="s">
        <v>148</v>
      </c>
      <c r="C188" s="79" t="s">
        <v>359</v>
      </c>
      <c r="D188" s="79" t="s">
        <v>244</v>
      </c>
      <c r="E188" s="80"/>
      <c r="F188" s="80"/>
      <c r="G188" s="80"/>
      <c r="H188" s="80"/>
      <c r="I188" s="80">
        <v>-7.45</v>
      </c>
      <c r="J188" s="80"/>
      <c r="K188" s="80">
        <f t="shared" si="10"/>
        <v>-7.45</v>
      </c>
      <c r="L188" s="80"/>
      <c r="M188" s="80"/>
      <c r="N188" s="80"/>
      <c r="O188" s="80"/>
      <c r="P188" s="80"/>
      <c r="Q188" s="80">
        <f t="shared" si="11"/>
        <v>0</v>
      </c>
      <c r="R188" s="80"/>
      <c r="S188" s="81">
        <f t="shared" si="12"/>
        <v>-7.45</v>
      </c>
      <c r="U188" s="79" t="s">
        <v>271</v>
      </c>
      <c r="V188" s="79" t="s">
        <v>149</v>
      </c>
      <c r="W188" s="82">
        <v>-7.45</v>
      </c>
      <c r="X188" s="79" t="s">
        <v>246</v>
      </c>
      <c r="Y188" s="82">
        <v>-0.45</v>
      </c>
      <c r="Z188" s="82"/>
      <c r="AD188" s="82"/>
      <c r="AF188" s="82"/>
    </row>
    <row r="189" spans="1:32" s="79" customFormat="1" ht="11.4" x14ac:dyDescent="0.25">
      <c r="B189" s="79" t="s">
        <v>148</v>
      </c>
      <c r="C189" s="79" t="s">
        <v>360</v>
      </c>
      <c r="D189" s="79" t="s">
        <v>244</v>
      </c>
      <c r="E189" s="80"/>
      <c r="F189" s="80"/>
      <c r="G189" s="80"/>
      <c r="H189" s="80"/>
      <c r="I189" s="80">
        <v>-7.45</v>
      </c>
      <c r="J189" s="80"/>
      <c r="K189" s="80">
        <f t="shared" si="10"/>
        <v>-7.45</v>
      </c>
      <c r="L189" s="80"/>
      <c r="M189" s="80"/>
      <c r="N189" s="80"/>
      <c r="O189" s="80"/>
      <c r="P189" s="80"/>
      <c r="Q189" s="80">
        <f t="shared" si="11"/>
        <v>0</v>
      </c>
      <c r="R189" s="80"/>
      <c r="S189" s="81">
        <f t="shared" si="12"/>
        <v>-7.45</v>
      </c>
      <c r="U189" s="79" t="s">
        <v>271</v>
      </c>
      <c r="V189" s="79" t="s">
        <v>149</v>
      </c>
      <c r="W189" s="82">
        <v>-7.45</v>
      </c>
      <c r="X189" s="79" t="s">
        <v>246</v>
      </c>
      <c r="Y189" s="82">
        <v>-0.43</v>
      </c>
      <c r="Z189" s="82"/>
      <c r="AD189" s="82"/>
      <c r="AF189" s="82"/>
    </row>
    <row r="190" spans="1:32" s="79" customFormat="1" ht="11.4" x14ac:dyDescent="0.25">
      <c r="A190" s="79">
        <v>25</v>
      </c>
      <c r="B190" s="79" t="s">
        <v>172</v>
      </c>
      <c r="C190" s="79" t="s">
        <v>355</v>
      </c>
      <c r="D190" s="79" t="s">
        <v>244</v>
      </c>
      <c r="E190" s="80"/>
      <c r="F190" s="80"/>
      <c r="G190" s="80"/>
      <c r="H190" s="80"/>
      <c r="I190" s="80">
        <v>-7.09</v>
      </c>
      <c r="J190" s="80"/>
      <c r="K190" s="80">
        <f t="shared" si="10"/>
        <v>-7.09</v>
      </c>
      <c r="L190" s="80"/>
      <c r="M190" s="80"/>
      <c r="N190" s="80"/>
      <c r="O190" s="80"/>
      <c r="P190" s="80"/>
      <c r="Q190" s="80">
        <f t="shared" si="11"/>
        <v>0</v>
      </c>
      <c r="R190" s="80"/>
      <c r="S190" s="81">
        <f t="shared" si="12"/>
        <v>-7.09</v>
      </c>
      <c r="U190" s="79" t="s">
        <v>272</v>
      </c>
      <c r="V190" s="79" t="s">
        <v>173</v>
      </c>
      <c r="W190" s="82">
        <v>-7.09</v>
      </c>
      <c r="X190" s="79" t="s">
        <v>246</v>
      </c>
      <c r="Y190" s="82">
        <v>-0.43</v>
      </c>
      <c r="Z190" s="82"/>
      <c r="AD190" s="82"/>
      <c r="AF190" s="82"/>
    </row>
    <row r="191" spans="1:32" s="79" customFormat="1" ht="11.4" x14ac:dyDescent="0.25">
      <c r="B191" s="79" t="s">
        <v>172</v>
      </c>
      <c r="C191" s="79" t="s">
        <v>356</v>
      </c>
      <c r="D191" s="79" t="s">
        <v>244</v>
      </c>
      <c r="E191" s="80"/>
      <c r="F191" s="80"/>
      <c r="G191" s="80"/>
      <c r="H191" s="80"/>
      <c r="I191" s="80">
        <v>-7.09</v>
      </c>
      <c r="J191" s="80"/>
      <c r="K191" s="80">
        <f t="shared" si="10"/>
        <v>-7.09</v>
      </c>
      <c r="L191" s="80"/>
      <c r="M191" s="80"/>
      <c r="N191" s="80"/>
      <c r="O191" s="80"/>
      <c r="P191" s="80"/>
      <c r="Q191" s="80">
        <f t="shared" si="11"/>
        <v>0</v>
      </c>
      <c r="R191" s="80"/>
      <c r="S191" s="81">
        <f t="shared" si="12"/>
        <v>-7.09</v>
      </c>
      <c r="U191" s="79" t="s">
        <v>272</v>
      </c>
      <c r="V191" s="79" t="s">
        <v>173</v>
      </c>
      <c r="W191" s="82">
        <v>-7.09</v>
      </c>
      <c r="X191" s="79" t="s">
        <v>246</v>
      </c>
      <c r="Y191" s="82">
        <v>-0.43</v>
      </c>
      <c r="Z191" s="82"/>
      <c r="AD191" s="82"/>
      <c r="AF191" s="82"/>
    </row>
    <row r="192" spans="1:32" s="79" customFormat="1" ht="11.4" x14ac:dyDescent="0.25">
      <c r="B192" s="79" t="s">
        <v>172</v>
      </c>
      <c r="C192" s="79" t="s">
        <v>357</v>
      </c>
      <c r="D192" s="79" t="s">
        <v>244</v>
      </c>
      <c r="E192" s="80"/>
      <c r="F192" s="80"/>
      <c r="G192" s="80"/>
      <c r="H192" s="80"/>
      <c r="I192" s="80">
        <v>-7.09</v>
      </c>
      <c r="J192" s="80"/>
      <c r="K192" s="80">
        <f t="shared" si="10"/>
        <v>-7.09</v>
      </c>
      <c r="L192" s="80"/>
      <c r="M192" s="80"/>
      <c r="N192" s="80"/>
      <c r="O192" s="80"/>
      <c r="P192" s="80"/>
      <c r="Q192" s="80">
        <f t="shared" si="11"/>
        <v>0</v>
      </c>
      <c r="R192" s="80"/>
      <c r="S192" s="81">
        <f t="shared" si="12"/>
        <v>-7.09</v>
      </c>
      <c r="U192" s="79" t="s">
        <v>272</v>
      </c>
      <c r="V192" s="79" t="s">
        <v>173</v>
      </c>
      <c r="W192" s="82">
        <v>-7.09</v>
      </c>
      <c r="X192" s="79" t="s">
        <v>246</v>
      </c>
      <c r="Y192" s="82">
        <v>-0.43</v>
      </c>
      <c r="Z192" s="82"/>
      <c r="AD192" s="82"/>
      <c r="AF192" s="82"/>
    </row>
    <row r="193" spans="1:32" s="79" customFormat="1" ht="11.4" x14ac:dyDescent="0.25">
      <c r="B193" s="79" t="s">
        <v>172</v>
      </c>
      <c r="C193" s="79" t="s">
        <v>358</v>
      </c>
      <c r="D193" s="79" t="s">
        <v>244</v>
      </c>
      <c r="E193" s="80"/>
      <c r="F193" s="80"/>
      <c r="G193" s="80"/>
      <c r="H193" s="80"/>
      <c r="I193" s="80">
        <v>-7.09</v>
      </c>
      <c r="J193" s="80"/>
      <c r="K193" s="80">
        <f t="shared" si="10"/>
        <v>-7.09</v>
      </c>
      <c r="L193" s="80"/>
      <c r="M193" s="80"/>
      <c r="N193" s="80"/>
      <c r="O193" s="80"/>
      <c r="P193" s="80"/>
      <c r="Q193" s="80">
        <f t="shared" si="11"/>
        <v>0</v>
      </c>
      <c r="R193" s="80"/>
      <c r="S193" s="81">
        <f t="shared" si="12"/>
        <v>-7.09</v>
      </c>
      <c r="U193" s="79" t="s">
        <v>272</v>
      </c>
      <c r="V193" s="79" t="s">
        <v>173</v>
      </c>
      <c r="W193" s="82">
        <v>-7.09</v>
      </c>
      <c r="X193" s="79" t="s">
        <v>246</v>
      </c>
      <c r="Y193" s="82">
        <v>-0.43</v>
      </c>
      <c r="Z193" s="82"/>
      <c r="AD193" s="82"/>
      <c r="AF193" s="82"/>
    </row>
    <row r="194" spans="1:32" s="79" customFormat="1" ht="11.4" x14ac:dyDescent="0.25">
      <c r="B194" s="79" t="s">
        <v>172</v>
      </c>
      <c r="C194" s="79" t="s">
        <v>359</v>
      </c>
      <c r="D194" s="79" t="s">
        <v>244</v>
      </c>
      <c r="E194" s="80"/>
      <c r="F194" s="80"/>
      <c r="G194" s="80"/>
      <c r="H194" s="80"/>
      <c r="I194" s="80">
        <v>-7.09</v>
      </c>
      <c r="J194" s="80"/>
      <c r="K194" s="80">
        <f t="shared" si="10"/>
        <v>-7.09</v>
      </c>
      <c r="L194" s="80"/>
      <c r="M194" s="80"/>
      <c r="N194" s="80"/>
      <c r="O194" s="80"/>
      <c r="P194" s="80"/>
      <c r="Q194" s="80">
        <f t="shared" si="11"/>
        <v>0</v>
      </c>
      <c r="R194" s="80"/>
      <c r="S194" s="81">
        <f t="shared" si="12"/>
        <v>-7.09</v>
      </c>
      <c r="U194" s="79" t="s">
        <v>272</v>
      </c>
      <c r="V194" s="79" t="s">
        <v>173</v>
      </c>
      <c r="W194" s="82">
        <v>-7.09</v>
      </c>
      <c r="X194" s="79" t="s">
        <v>246</v>
      </c>
      <c r="Y194" s="82">
        <v>-0.43</v>
      </c>
      <c r="Z194" s="82"/>
      <c r="AD194" s="82"/>
      <c r="AF194" s="82"/>
    </row>
    <row r="195" spans="1:32" s="79" customFormat="1" ht="11.4" x14ac:dyDescent="0.25">
      <c r="B195" s="79" t="s">
        <v>172</v>
      </c>
      <c r="C195" s="79" t="s">
        <v>360</v>
      </c>
      <c r="D195" s="79" t="s">
        <v>244</v>
      </c>
      <c r="E195" s="80"/>
      <c r="F195" s="80"/>
      <c r="G195" s="80"/>
      <c r="H195" s="80"/>
      <c r="I195" s="80">
        <v>-7.09</v>
      </c>
      <c r="J195" s="80"/>
      <c r="K195" s="80">
        <f t="shared" si="10"/>
        <v>-7.09</v>
      </c>
      <c r="L195" s="80"/>
      <c r="M195" s="80"/>
      <c r="N195" s="80"/>
      <c r="O195" s="80"/>
      <c r="P195" s="80"/>
      <c r="Q195" s="80">
        <f t="shared" si="11"/>
        <v>0</v>
      </c>
      <c r="R195" s="80"/>
      <c r="S195" s="81">
        <f t="shared" si="12"/>
        <v>-7.09</v>
      </c>
      <c r="U195" s="79" t="s">
        <v>272</v>
      </c>
      <c r="V195" s="79" t="s">
        <v>173</v>
      </c>
      <c r="W195" s="82">
        <v>-7.09</v>
      </c>
      <c r="X195" s="79" t="s">
        <v>246</v>
      </c>
      <c r="Y195" s="82">
        <v>-0.4</v>
      </c>
      <c r="Z195" s="82"/>
      <c r="AD195" s="82"/>
      <c r="AF195" s="82"/>
    </row>
    <row r="196" spans="1:32" s="79" customFormat="1" ht="11.4" x14ac:dyDescent="0.25">
      <c r="A196" s="79">
        <v>26</v>
      </c>
      <c r="B196" s="79" t="s">
        <v>127</v>
      </c>
      <c r="C196" s="79" t="s">
        <v>355</v>
      </c>
      <c r="D196" s="79" t="s">
        <v>244</v>
      </c>
      <c r="E196" s="80"/>
      <c r="F196" s="80"/>
      <c r="G196" s="80"/>
      <c r="H196" s="80"/>
      <c r="I196" s="80">
        <v>-7.09</v>
      </c>
      <c r="J196" s="80"/>
      <c r="K196" s="80">
        <f t="shared" si="10"/>
        <v>-7.09</v>
      </c>
      <c r="L196" s="80"/>
      <c r="M196" s="80"/>
      <c r="N196" s="80"/>
      <c r="O196" s="80"/>
      <c r="P196" s="80"/>
      <c r="Q196" s="80">
        <f t="shared" si="11"/>
        <v>0</v>
      </c>
      <c r="R196" s="80"/>
      <c r="S196" s="81">
        <f t="shared" si="12"/>
        <v>-7.09</v>
      </c>
      <c r="U196" s="79" t="s">
        <v>273</v>
      </c>
      <c r="V196" s="79" t="s">
        <v>128</v>
      </c>
      <c r="W196" s="82">
        <v>-7.09</v>
      </c>
      <c r="X196" s="79" t="s">
        <v>246</v>
      </c>
      <c r="Y196" s="82">
        <v>-0.43</v>
      </c>
      <c r="Z196" s="82"/>
      <c r="AD196" s="82"/>
      <c r="AF196" s="82"/>
    </row>
    <row r="197" spans="1:32" s="79" customFormat="1" ht="11.4" x14ac:dyDescent="0.25">
      <c r="B197" s="79" t="s">
        <v>127</v>
      </c>
      <c r="C197" s="79" t="s">
        <v>356</v>
      </c>
      <c r="D197" s="79" t="s">
        <v>244</v>
      </c>
      <c r="E197" s="80"/>
      <c r="F197" s="80"/>
      <c r="G197" s="80"/>
      <c r="H197" s="80"/>
      <c r="I197" s="80">
        <v>-7.09</v>
      </c>
      <c r="J197" s="80"/>
      <c r="K197" s="80">
        <f t="shared" si="10"/>
        <v>-7.09</v>
      </c>
      <c r="L197" s="80"/>
      <c r="M197" s="80"/>
      <c r="N197" s="80"/>
      <c r="O197" s="80"/>
      <c r="P197" s="80"/>
      <c r="Q197" s="80">
        <f t="shared" si="11"/>
        <v>0</v>
      </c>
      <c r="R197" s="80"/>
      <c r="S197" s="81">
        <f t="shared" si="12"/>
        <v>-7.09</v>
      </c>
      <c r="U197" s="79" t="s">
        <v>273</v>
      </c>
      <c r="V197" s="79" t="s">
        <v>128</v>
      </c>
      <c r="W197" s="82">
        <v>-7.09</v>
      </c>
      <c r="X197" s="79" t="s">
        <v>246</v>
      </c>
      <c r="Y197" s="82">
        <v>-0.43</v>
      </c>
      <c r="Z197" s="82"/>
      <c r="AD197" s="82"/>
      <c r="AF197" s="82"/>
    </row>
    <row r="198" spans="1:32" s="79" customFormat="1" ht="11.4" x14ac:dyDescent="0.25">
      <c r="B198" s="79" t="s">
        <v>127</v>
      </c>
      <c r="C198" s="79" t="s">
        <v>357</v>
      </c>
      <c r="D198" s="79" t="s">
        <v>244</v>
      </c>
      <c r="E198" s="80"/>
      <c r="F198" s="80"/>
      <c r="G198" s="80"/>
      <c r="H198" s="80"/>
      <c r="I198" s="80">
        <v>-7.09</v>
      </c>
      <c r="J198" s="80"/>
      <c r="K198" s="80">
        <f t="shared" si="10"/>
        <v>-7.09</v>
      </c>
      <c r="L198" s="80"/>
      <c r="M198" s="80"/>
      <c r="N198" s="80"/>
      <c r="O198" s="80"/>
      <c r="P198" s="80"/>
      <c r="Q198" s="80">
        <f t="shared" si="11"/>
        <v>0</v>
      </c>
      <c r="R198" s="80"/>
      <c r="S198" s="81">
        <f t="shared" si="12"/>
        <v>-7.09</v>
      </c>
      <c r="U198" s="79" t="s">
        <v>273</v>
      </c>
      <c r="V198" s="79" t="s">
        <v>128</v>
      </c>
      <c r="W198" s="82">
        <v>-7.09</v>
      </c>
      <c r="X198" s="79" t="s">
        <v>246</v>
      </c>
      <c r="Y198" s="82">
        <v>-0.43</v>
      </c>
      <c r="Z198" s="82"/>
      <c r="AD198" s="82"/>
      <c r="AF198" s="82"/>
    </row>
    <row r="199" spans="1:32" s="79" customFormat="1" ht="11.4" x14ac:dyDescent="0.25">
      <c r="B199" s="79" t="s">
        <v>127</v>
      </c>
      <c r="C199" s="79" t="s">
        <v>358</v>
      </c>
      <c r="D199" s="79" t="s">
        <v>244</v>
      </c>
      <c r="E199" s="80"/>
      <c r="F199" s="80"/>
      <c r="G199" s="80"/>
      <c r="H199" s="80"/>
      <c r="I199" s="80">
        <v>-7.09</v>
      </c>
      <c r="J199" s="80"/>
      <c r="K199" s="80">
        <f t="shared" si="10"/>
        <v>-7.09</v>
      </c>
      <c r="L199" s="80"/>
      <c r="M199" s="80"/>
      <c r="N199" s="80"/>
      <c r="O199" s="80"/>
      <c r="P199" s="80"/>
      <c r="Q199" s="80">
        <f t="shared" si="11"/>
        <v>0</v>
      </c>
      <c r="R199" s="80"/>
      <c r="S199" s="81">
        <f t="shared" si="12"/>
        <v>-7.09</v>
      </c>
      <c r="U199" s="79" t="s">
        <v>273</v>
      </c>
      <c r="V199" s="79" t="s">
        <v>128</v>
      </c>
      <c r="W199" s="82">
        <v>-7.09</v>
      </c>
      <c r="X199" s="79" t="s">
        <v>246</v>
      </c>
      <c r="Y199" s="82">
        <v>-0.43</v>
      </c>
      <c r="Z199" s="82"/>
      <c r="AD199" s="82"/>
      <c r="AF199" s="82"/>
    </row>
    <row r="200" spans="1:32" s="79" customFormat="1" ht="11.4" x14ac:dyDescent="0.25">
      <c r="B200" s="79" t="s">
        <v>127</v>
      </c>
      <c r="C200" s="79" t="s">
        <v>359</v>
      </c>
      <c r="D200" s="79" t="s">
        <v>244</v>
      </c>
      <c r="E200" s="80"/>
      <c r="F200" s="80"/>
      <c r="G200" s="80"/>
      <c r="H200" s="80"/>
      <c r="I200" s="80">
        <v>-7.09</v>
      </c>
      <c r="J200" s="80"/>
      <c r="K200" s="80">
        <f t="shared" si="10"/>
        <v>-7.09</v>
      </c>
      <c r="L200" s="80"/>
      <c r="M200" s="80"/>
      <c r="N200" s="80"/>
      <c r="O200" s="80"/>
      <c r="P200" s="80"/>
      <c r="Q200" s="80">
        <f t="shared" si="11"/>
        <v>0</v>
      </c>
      <c r="R200" s="80"/>
      <c r="S200" s="81">
        <f t="shared" si="12"/>
        <v>-7.09</v>
      </c>
      <c r="U200" s="79" t="s">
        <v>273</v>
      </c>
      <c r="V200" s="79" t="s">
        <v>128</v>
      </c>
      <c r="W200" s="82">
        <v>-7.09</v>
      </c>
      <c r="X200" s="79" t="s">
        <v>246</v>
      </c>
      <c r="Y200" s="82">
        <v>-0.43</v>
      </c>
      <c r="Z200" s="82"/>
      <c r="AD200" s="82"/>
      <c r="AF200" s="82"/>
    </row>
    <row r="201" spans="1:32" s="79" customFormat="1" ht="11.4" x14ac:dyDescent="0.25">
      <c r="B201" s="79" t="s">
        <v>127</v>
      </c>
      <c r="C201" s="79" t="s">
        <v>360</v>
      </c>
      <c r="D201" s="79" t="s">
        <v>244</v>
      </c>
      <c r="E201" s="80"/>
      <c r="F201" s="80"/>
      <c r="G201" s="80"/>
      <c r="H201" s="80"/>
      <c r="I201" s="80">
        <v>-7.09</v>
      </c>
      <c r="J201" s="80"/>
      <c r="K201" s="80">
        <f t="shared" si="10"/>
        <v>-7.09</v>
      </c>
      <c r="L201" s="80"/>
      <c r="M201" s="80"/>
      <c r="N201" s="80"/>
      <c r="O201" s="80"/>
      <c r="P201" s="80"/>
      <c r="Q201" s="80">
        <f t="shared" si="11"/>
        <v>0</v>
      </c>
      <c r="R201" s="80"/>
      <c r="S201" s="81">
        <f t="shared" si="12"/>
        <v>-7.09</v>
      </c>
      <c r="U201" s="79" t="s">
        <v>273</v>
      </c>
      <c r="V201" s="79" t="s">
        <v>128</v>
      </c>
      <c r="W201" s="82">
        <v>-7.09</v>
      </c>
      <c r="X201" s="79" t="s">
        <v>246</v>
      </c>
      <c r="Y201" s="82">
        <v>-0.4</v>
      </c>
      <c r="Z201" s="82"/>
      <c r="AD201" s="82"/>
      <c r="AF201" s="82"/>
    </row>
    <row r="202" spans="1:32" s="79" customFormat="1" ht="11.4" x14ac:dyDescent="0.25">
      <c r="A202" s="79">
        <v>27</v>
      </c>
      <c r="B202" s="79" t="s">
        <v>103</v>
      </c>
      <c r="C202" s="79" t="s">
        <v>355</v>
      </c>
      <c r="D202" s="79" t="s">
        <v>244</v>
      </c>
      <c r="E202" s="80"/>
      <c r="F202" s="80"/>
      <c r="G202" s="80"/>
      <c r="H202" s="80"/>
      <c r="I202" s="80">
        <v>-10.54</v>
      </c>
      <c r="J202" s="80"/>
      <c r="K202" s="80">
        <f t="shared" si="10"/>
        <v>-10.54</v>
      </c>
      <c r="L202" s="80"/>
      <c r="M202" s="80"/>
      <c r="N202" s="80"/>
      <c r="O202" s="80"/>
      <c r="P202" s="80"/>
      <c r="Q202" s="80">
        <f t="shared" si="11"/>
        <v>0</v>
      </c>
      <c r="R202" s="80"/>
      <c r="S202" s="81">
        <f t="shared" si="12"/>
        <v>-10.54</v>
      </c>
      <c r="U202" s="79" t="s">
        <v>274</v>
      </c>
      <c r="V202" s="79" t="s">
        <v>104</v>
      </c>
      <c r="W202" s="82">
        <v>-10.54</v>
      </c>
      <c r="X202" s="79" t="s">
        <v>246</v>
      </c>
      <c r="Y202" s="82">
        <v>-0.63</v>
      </c>
      <c r="Z202" s="82"/>
      <c r="AD202" s="82"/>
      <c r="AF202" s="82"/>
    </row>
    <row r="203" spans="1:32" s="79" customFormat="1" ht="11.4" x14ac:dyDescent="0.25">
      <c r="B203" s="79" t="s">
        <v>103</v>
      </c>
      <c r="C203" s="79" t="s">
        <v>356</v>
      </c>
      <c r="D203" s="79" t="s">
        <v>244</v>
      </c>
      <c r="E203" s="80"/>
      <c r="F203" s="80"/>
      <c r="G203" s="80"/>
      <c r="H203" s="80"/>
      <c r="I203" s="80">
        <v>-10.54</v>
      </c>
      <c r="J203" s="80"/>
      <c r="K203" s="80">
        <f t="shared" si="10"/>
        <v>-10.54</v>
      </c>
      <c r="L203" s="80"/>
      <c r="M203" s="80"/>
      <c r="N203" s="80"/>
      <c r="O203" s="80"/>
      <c r="P203" s="80"/>
      <c r="Q203" s="80">
        <f t="shared" si="11"/>
        <v>0</v>
      </c>
      <c r="R203" s="80"/>
      <c r="S203" s="81">
        <f t="shared" si="12"/>
        <v>-10.54</v>
      </c>
      <c r="U203" s="79" t="s">
        <v>274</v>
      </c>
      <c r="V203" s="79" t="s">
        <v>104</v>
      </c>
      <c r="W203" s="82">
        <v>-10.54</v>
      </c>
      <c r="X203" s="79" t="s">
        <v>246</v>
      </c>
      <c r="Y203" s="82">
        <v>-0.63</v>
      </c>
      <c r="Z203" s="82"/>
      <c r="AD203" s="82"/>
      <c r="AF203" s="82"/>
    </row>
    <row r="204" spans="1:32" s="79" customFormat="1" ht="11.4" x14ac:dyDescent="0.25">
      <c r="B204" s="79" t="s">
        <v>103</v>
      </c>
      <c r="C204" s="79" t="s">
        <v>357</v>
      </c>
      <c r="D204" s="79" t="s">
        <v>244</v>
      </c>
      <c r="E204" s="80"/>
      <c r="F204" s="80"/>
      <c r="G204" s="80"/>
      <c r="H204" s="80"/>
      <c r="I204" s="80">
        <v>-10.54</v>
      </c>
      <c r="J204" s="80"/>
      <c r="K204" s="80">
        <f t="shared" si="10"/>
        <v>-10.54</v>
      </c>
      <c r="L204" s="80"/>
      <c r="M204" s="80"/>
      <c r="N204" s="80"/>
      <c r="O204" s="80"/>
      <c r="P204" s="80"/>
      <c r="Q204" s="80">
        <f t="shared" si="11"/>
        <v>0</v>
      </c>
      <c r="R204" s="80"/>
      <c r="S204" s="81">
        <f t="shared" si="12"/>
        <v>-10.54</v>
      </c>
      <c r="U204" s="79" t="s">
        <v>274</v>
      </c>
      <c r="V204" s="79" t="s">
        <v>104</v>
      </c>
      <c r="W204" s="82">
        <v>-10.54</v>
      </c>
      <c r="X204" s="79" t="s">
        <v>246</v>
      </c>
      <c r="Y204" s="82">
        <v>-0.63</v>
      </c>
      <c r="Z204" s="82"/>
      <c r="AD204" s="82"/>
      <c r="AF204" s="82"/>
    </row>
    <row r="205" spans="1:32" s="79" customFormat="1" ht="11.4" x14ac:dyDescent="0.25">
      <c r="B205" s="79" t="s">
        <v>103</v>
      </c>
      <c r="C205" s="79" t="s">
        <v>358</v>
      </c>
      <c r="D205" s="79" t="s">
        <v>244</v>
      </c>
      <c r="E205" s="80"/>
      <c r="F205" s="80"/>
      <c r="G205" s="80"/>
      <c r="H205" s="80"/>
      <c r="I205" s="80">
        <v>-10.54</v>
      </c>
      <c r="J205" s="80"/>
      <c r="K205" s="80">
        <f t="shared" si="10"/>
        <v>-10.54</v>
      </c>
      <c r="L205" s="80"/>
      <c r="M205" s="80"/>
      <c r="N205" s="80"/>
      <c r="O205" s="80"/>
      <c r="P205" s="80"/>
      <c r="Q205" s="80">
        <f t="shared" si="11"/>
        <v>0</v>
      </c>
      <c r="R205" s="80"/>
      <c r="S205" s="81">
        <f t="shared" si="12"/>
        <v>-10.54</v>
      </c>
      <c r="U205" s="79" t="s">
        <v>274</v>
      </c>
      <c r="V205" s="79" t="s">
        <v>104</v>
      </c>
      <c r="W205" s="82">
        <v>-10.54</v>
      </c>
      <c r="X205" s="79" t="s">
        <v>246</v>
      </c>
      <c r="Y205" s="82">
        <v>-0.63</v>
      </c>
      <c r="Z205" s="82"/>
      <c r="AD205" s="82"/>
      <c r="AF205" s="82"/>
    </row>
    <row r="206" spans="1:32" s="79" customFormat="1" ht="11.4" x14ac:dyDescent="0.25">
      <c r="B206" s="79" t="s">
        <v>103</v>
      </c>
      <c r="C206" s="79" t="s">
        <v>359</v>
      </c>
      <c r="D206" s="79" t="s">
        <v>244</v>
      </c>
      <c r="E206" s="80"/>
      <c r="F206" s="80"/>
      <c r="G206" s="80"/>
      <c r="H206" s="80"/>
      <c r="I206" s="80">
        <v>-10.54</v>
      </c>
      <c r="J206" s="80"/>
      <c r="K206" s="80">
        <f t="shared" si="10"/>
        <v>-10.54</v>
      </c>
      <c r="L206" s="80"/>
      <c r="M206" s="80"/>
      <c r="N206" s="80"/>
      <c r="O206" s="80"/>
      <c r="P206" s="80"/>
      <c r="Q206" s="80">
        <f t="shared" si="11"/>
        <v>0</v>
      </c>
      <c r="R206" s="80"/>
      <c r="S206" s="81">
        <f t="shared" si="12"/>
        <v>-10.54</v>
      </c>
      <c r="U206" s="79" t="s">
        <v>274</v>
      </c>
      <c r="V206" s="79" t="s">
        <v>104</v>
      </c>
      <c r="W206" s="82">
        <v>-10.54</v>
      </c>
      <c r="X206" s="79" t="s">
        <v>246</v>
      </c>
      <c r="Y206" s="82">
        <v>-0.63</v>
      </c>
      <c r="Z206" s="82"/>
      <c r="AD206" s="82"/>
      <c r="AF206" s="82"/>
    </row>
    <row r="207" spans="1:32" s="79" customFormat="1" ht="11.4" x14ac:dyDescent="0.25">
      <c r="B207" s="79" t="s">
        <v>103</v>
      </c>
      <c r="C207" s="79" t="s">
        <v>360</v>
      </c>
      <c r="D207" s="79" t="s">
        <v>244</v>
      </c>
      <c r="E207" s="80"/>
      <c r="F207" s="80"/>
      <c r="G207" s="80"/>
      <c r="H207" s="80"/>
      <c r="I207" s="80">
        <v>-10.54</v>
      </c>
      <c r="J207" s="80"/>
      <c r="K207" s="80">
        <f t="shared" si="10"/>
        <v>-10.54</v>
      </c>
      <c r="L207" s="80"/>
      <c r="M207" s="80"/>
      <c r="N207" s="80"/>
      <c r="O207" s="80"/>
      <c r="P207" s="80"/>
      <c r="Q207" s="80">
        <f t="shared" si="11"/>
        <v>0</v>
      </c>
      <c r="R207" s="80"/>
      <c r="S207" s="81">
        <f t="shared" si="12"/>
        <v>-10.54</v>
      </c>
      <c r="U207" s="79" t="s">
        <v>274</v>
      </c>
      <c r="V207" s="79" t="s">
        <v>104</v>
      </c>
      <c r="W207" s="82">
        <v>-10.54</v>
      </c>
      <c r="X207" s="79" t="s">
        <v>246</v>
      </c>
      <c r="Y207" s="82">
        <v>-0.64</v>
      </c>
      <c r="Z207" s="82"/>
      <c r="AD207" s="82"/>
      <c r="AF207" s="82"/>
    </row>
    <row r="208" spans="1:32" s="79" customFormat="1" ht="11.4" x14ac:dyDescent="0.25">
      <c r="A208" s="79">
        <v>28</v>
      </c>
      <c r="B208" s="79" t="s">
        <v>166</v>
      </c>
      <c r="C208" s="79" t="s">
        <v>355</v>
      </c>
      <c r="D208" s="79" t="s">
        <v>244</v>
      </c>
      <c r="E208" s="80"/>
      <c r="F208" s="80"/>
      <c r="G208" s="80"/>
      <c r="H208" s="80"/>
      <c r="I208" s="80">
        <v>-11.44</v>
      </c>
      <c r="J208" s="80"/>
      <c r="K208" s="80">
        <f t="shared" si="10"/>
        <v>-11.44</v>
      </c>
      <c r="L208" s="80"/>
      <c r="M208" s="80"/>
      <c r="N208" s="80"/>
      <c r="O208" s="80"/>
      <c r="P208" s="80"/>
      <c r="Q208" s="80">
        <f t="shared" si="11"/>
        <v>0</v>
      </c>
      <c r="R208" s="80"/>
      <c r="S208" s="81">
        <f t="shared" si="12"/>
        <v>-11.44</v>
      </c>
      <c r="U208" s="79" t="s">
        <v>275</v>
      </c>
      <c r="V208" s="79" t="s">
        <v>167</v>
      </c>
      <c r="W208" s="82">
        <v>-11.44</v>
      </c>
      <c r="X208" s="79" t="s">
        <v>246</v>
      </c>
      <c r="Y208" s="82">
        <v>-0.69</v>
      </c>
      <c r="Z208" s="82"/>
      <c r="AD208" s="82"/>
      <c r="AF208" s="82"/>
    </row>
    <row r="209" spans="1:32" s="79" customFormat="1" ht="11.4" x14ac:dyDescent="0.25">
      <c r="B209" s="79" t="s">
        <v>166</v>
      </c>
      <c r="C209" s="79" t="s">
        <v>356</v>
      </c>
      <c r="D209" s="79" t="s">
        <v>244</v>
      </c>
      <c r="E209" s="80"/>
      <c r="F209" s="80"/>
      <c r="G209" s="80"/>
      <c r="H209" s="80"/>
      <c r="I209" s="80">
        <v>-11.44</v>
      </c>
      <c r="J209" s="80"/>
      <c r="K209" s="80">
        <f t="shared" si="10"/>
        <v>-11.44</v>
      </c>
      <c r="L209" s="80"/>
      <c r="M209" s="80"/>
      <c r="N209" s="80"/>
      <c r="O209" s="80"/>
      <c r="P209" s="80"/>
      <c r="Q209" s="80">
        <f t="shared" si="11"/>
        <v>0</v>
      </c>
      <c r="R209" s="80"/>
      <c r="S209" s="81">
        <f t="shared" si="12"/>
        <v>-11.44</v>
      </c>
      <c r="U209" s="79" t="s">
        <v>275</v>
      </c>
      <c r="V209" s="79" t="s">
        <v>167</v>
      </c>
      <c r="W209" s="82">
        <v>-11.44</v>
      </c>
      <c r="X209" s="79" t="s">
        <v>246</v>
      </c>
      <c r="Y209" s="82">
        <v>-0.69</v>
      </c>
      <c r="Z209" s="82"/>
      <c r="AD209" s="82"/>
      <c r="AF209" s="82"/>
    </row>
    <row r="210" spans="1:32" s="79" customFormat="1" ht="11.4" x14ac:dyDescent="0.25">
      <c r="B210" s="79" t="s">
        <v>166</v>
      </c>
      <c r="C210" s="79" t="s">
        <v>357</v>
      </c>
      <c r="D210" s="79" t="s">
        <v>244</v>
      </c>
      <c r="E210" s="80"/>
      <c r="F210" s="80"/>
      <c r="G210" s="80"/>
      <c r="H210" s="80"/>
      <c r="I210" s="80">
        <v>-11.44</v>
      </c>
      <c r="J210" s="80"/>
      <c r="K210" s="80">
        <f t="shared" si="10"/>
        <v>-11.44</v>
      </c>
      <c r="L210" s="80"/>
      <c r="M210" s="80"/>
      <c r="N210" s="80"/>
      <c r="O210" s="80"/>
      <c r="P210" s="80"/>
      <c r="Q210" s="80">
        <f t="shared" si="11"/>
        <v>0</v>
      </c>
      <c r="R210" s="80"/>
      <c r="S210" s="81">
        <f t="shared" si="12"/>
        <v>-11.44</v>
      </c>
      <c r="U210" s="79" t="s">
        <v>275</v>
      </c>
      <c r="V210" s="79" t="s">
        <v>167</v>
      </c>
      <c r="W210" s="82">
        <v>-11.44</v>
      </c>
      <c r="X210" s="79" t="s">
        <v>246</v>
      </c>
      <c r="Y210" s="82">
        <v>-0.69</v>
      </c>
      <c r="Z210" s="82"/>
      <c r="AD210" s="82"/>
      <c r="AF210" s="82"/>
    </row>
    <row r="211" spans="1:32" s="79" customFormat="1" ht="11.4" x14ac:dyDescent="0.25">
      <c r="B211" s="79" t="s">
        <v>166</v>
      </c>
      <c r="C211" s="79" t="s">
        <v>358</v>
      </c>
      <c r="D211" s="79" t="s">
        <v>244</v>
      </c>
      <c r="E211" s="80"/>
      <c r="F211" s="80"/>
      <c r="G211" s="80"/>
      <c r="H211" s="80"/>
      <c r="I211" s="80">
        <v>-11.44</v>
      </c>
      <c r="J211" s="80"/>
      <c r="K211" s="80">
        <f t="shared" si="10"/>
        <v>-11.44</v>
      </c>
      <c r="L211" s="80"/>
      <c r="M211" s="80"/>
      <c r="N211" s="80"/>
      <c r="O211" s="80"/>
      <c r="P211" s="80"/>
      <c r="Q211" s="80">
        <f t="shared" si="11"/>
        <v>0</v>
      </c>
      <c r="R211" s="80"/>
      <c r="S211" s="81">
        <f t="shared" si="12"/>
        <v>-11.44</v>
      </c>
      <c r="U211" s="79" t="s">
        <v>275</v>
      </c>
      <c r="V211" s="79" t="s">
        <v>167</v>
      </c>
      <c r="W211" s="82">
        <v>-11.44</v>
      </c>
      <c r="X211" s="79" t="s">
        <v>246</v>
      </c>
      <c r="Y211" s="82">
        <v>-0.69</v>
      </c>
      <c r="Z211" s="82"/>
      <c r="AD211" s="82"/>
      <c r="AF211" s="82"/>
    </row>
    <row r="212" spans="1:32" s="79" customFormat="1" ht="11.4" x14ac:dyDescent="0.25">
      <c r="B212" s="79" t="s">
        <v>166</v>
      </c>
      <c r="C212" s="79" t="s">
        <v>359</v>
      </c>
      <c r="D212" s="79" t="s">
        <v>244</v>
      </c>
      <c r="E212" s="80"/>
      <c r="F212" s="80"/>
      <c r="G212" s="80"/>
      <c r="H212" s="80"/>
      <c r="I212" s="80">
        <v>-11.44</v>
      </c>
      <c r="J212" s="80"/>
      <c r="K212" s="80">
        <f t="shared" si="10"/>
        <v>-11.44</v>
      </c>
      <c r="L212" s="80"/>
      <c r="M212" s="80"/>
      <c r="N212" s="80"/>
      <c r="O212" s="80"/>
      <c r="P212" s="80"/>
      <c r="Q212" s="80">
        <f t="shared" si="11"/>
        <v>0</v>
      </c>
      <c r="R212" s="80"/>
      <c r="S212" s="81">
        <f t="shared" si="12"/>
        <v>-11.44</v>
      </c>
      <c r="U212" s="79" t="s">
        <v>275</v>
      </c>
      <c r="V212" s="79" t="s">
        <v>167</v>
      </c>
      <c r="W212" s="82">
        <v>-11.44</v>
      </c>
      <c r="X212" s="79" t="s">
        <v>246</v>
      </c>
      <c r="Y212" s="82">
        <v>-0.69</v>
      </c>
      <c r="Z212" s="82"/>
      <c r="AD212" s="82"/>
      <c r="AF212" s="82"/>
    </row>
    <row r="213" spans="1:32" s="79" customFormat="1" ht="11.4" x14ac:dyDescent="0.25">
      <c r="B213" s="79" t="s">
        <v>166</v>
      </c>
      <c r="C213" s="79" t="s">
        <v>360</v>
      </c>
      <c r="D213" s="79" t="s">
        <v>244</v>
      </c>
      <c r="E213" s="80"/>
      <c r="F213" s="80"/>
      <c r="G213" s="80"/>
      <c r="H213" s="80"/>
      <c r="I213" s="80">
        <v>-11.44</v>
      </c>
      <c r="J213" s="80"/>
      <c r="K213" s="80">
        <f t="shared" si="10"/>
        <v>-11.44</v>
      </c>
      <c r="L213" s="80"/>
      <c r="M213" s="80"/>
      <c r="N213" s="80"/>
      <c r="O213" s="80"/>
      <c r="P213" s="80"/>
      <c r="Q213" s="80">
        <f t="shared" si="11"/>
        <v>0</v>
      </c>
      <c r="R213" s="80"/>
      <c r="S213" s="81">
        <f t="shared" si="12"/>
        <v>-11.44</v>
      </c>
      <c r="U213" s="79" t="s">
        <v>275</v>
      </c>
      <c r="V213" s="79" t="s">
        <v>167</v>
      </c>
      <c r="W213" s="82">
        <v>-11.44</v>
      </c>
      <c r="X213" s="79" t="s">
        <v>246</v>
      </c>
      <c r="Y213" s="82">
        <v>-0.67</v>
      </c>
      <c r="Z213" s="82"/>
      <c r="AD213" s="82"/>
      <c r="AF213" s="82"/>
    </row>
    <row r="214" spans="1:32" s="79" customFormat="1" ht="11.4" x14ac:dyDescent="0.25">
      <c r="A214" s="79">
        <v>29</v>
      </c>
      <c r="B214" s="79" t="s">
        <v>350</v>
      </c>
      <c r="C214" s="79" t="s">
        <v>355</v>
      </c>
      <c r="D214" s="79" t="s">
        <v>244</v>
      </c>
      <c r="E214" s="80"/>
      <c r="F214" s="80"/>
      <c r="G214" s="80"/>
      <c r="H214" s="80"/>
      <c r="I214" s="80">
        <v>-7.15</v>
      </c>
      <c r="J214" s="80"/>
      <c r="K214" s="80">
        <f t="shared" si="10"/>
        <v>-7.15</v>
      </c>
      <c r="L214" s="80"/>
      <c r="M214" s="80"/>
      <c r="N214" s="80"/>
      <c r="O214" s="80"/>
      <c r="P214" s="80"/>
      <c r="Q214" s="80">
        <f t="shared" si="11"/>
        <v>0</v>
      </c>
      <c r="R214" s="80"/>
      <c r="S214" s="81">
        <f t="shared" si="12"/>
        <v>-7.15</v>
      </c>
      <c r="U214" s="79" t="s">
        <v>351</v>
      </c>
      <c r="V214" s="79" t="s">
        <v>352</v>
      </c>
      <c r="W214" s="82">
        <v>-7.15</v>
      </c>
      <c r="X214" s="79" t="s">
        <v>246</v>
      </c>
      <c r="Y214" s="82">
        <v>-0.43</v>
      </c>
      <c r="Z214" s="82"/>
      <c r="AD214" s="82"/>
      <c r="AF214" s="82"/>
    </row>
    <row r="215" spans="1:32" s="79" customFormat="1" ht="11.4" x14ac:dyDescent="0.25">
      <c r="B215" s="79" t="s">
        <v>350</v>
      </c>
      <c r="C215" s="79" t="s">
        <v>356</v>
      </c>
      <c r="D215" s="79" t="s">
        <v>244</v>
      </c>
      <c r="E215" s="80"/>
      <c r="F215" s="80"/>
      <c r="G215" s="80"/>
      <c r="H215" s="80"/>
      <c r="I215" s="80">
        <v>-7.15</v>
      </c>
      <c r="J215" s="80"/>
      <c r="K215" s="80">
        <f t="shared" si="10"/>
        <v>-7.15</v>
      </c>
      <c r="L215" s="80"/>
      <c r="M215" s="80"/>
      <c r="N215" s="80"/>
      <c r="O215" s="80"/>
      <c r="P215" s="80"/>
      <c r="Q215" s="80">
        <f t="shared" si="11"/>
        <v>0</v>
      </c>
      <c r="R215" s="80"/>
      <c r="S215" s="81">
        <f t="shared" si="12"/>
        <v>-7.15</v>
      </c>
      <c r="U215" s="79" t="s">
        <v>351</v>
      </c>
      <c r="V215" s="79" t="s">
        <v>352</v>
      </c>
      <c r="W215" s="82">
        <v>-7.15</v>
      </c>
      <c r="X215" s="79" t="s">
        <v>246</v>
      </c>
      <c r="Y215" s="82">
        <v>-0.43</v>
      </c>
      <c r="Z215" s="82"/>
      <c r="AD215" s="82"/>
      <c r="AF215" s="82"/>
    </row>
    <row r="216" spans="1:32" s="79" customFormat="1" ht="11.4" x14ac:dyDescent="0.25">
      <c r="B216" s="79" t="s">
        <v>350</v>
      </c>
      <c r="C216" s="79" t="s">
        <v>357</v>
      </c>
      <c r="D216" s="79" t="s">
        <v>244</v>
      </c>
      <c r="E216" s="80"/>
      <c r="F216" s="80"/>
      <c r="G216" s="80"/>
      <c r="H216" s="80"/>
      <c r="I216" s="80">
        <v>-7.15</v>
      </c>
      <c r="J216" s="80"/>
      <c r="K216" s="80">
        <f t="shared" si="10"/>
        <v>-7.15</v>
      </c>
      <c r="L216" s="80"/>
      <c r="M216" s="80"/>
      <c r="N216" s="80"/>
      <c r="O216" s="80"/>
      <c r="P216" s="80"/>
      <c r="Q216" s="80">
        <f t="shared" si="11"/>
        <v>0</v>
      </c>
      <c r="R216" s="80"/>
      <c r="S216" s="81">
        <f>SUM(K216,Q216:R216)</f>
        <v>-7.15</v>
      </c>
      <c r="U216" s="79" t="s">
        <v>351</v>
      </c>
      <c r="V216" s="79" t="s">
        <v>352</v>
      </c>
      <c r="W216" s="82">
        <v>-7.15</v>
      </c>
      <c r="X216" s="79" t="s">
        <v>246</v>
      </c>
      <c r="Y216" s="82">
        <v>-0.43</v>
      </c>
      <c r="Z216" s="82"/>
      <c r="AD216" s="82"/>
      <c r="AF216" s="82"/>
    </row>
    <row r="217" spans="1:32" s="79" customFormat="1" ht="11.4" x14ac:dyDescent="0.25">
      <c r="A217" s="79" t="s">
        <v>276</v>
      </c>
      <c r="E217" s="80"/>
      <c r="F217" s="80">
        <f t="shared" ref="F217:S217" si="13">SUM(F51:F216)</f>
        <v>0</v>
      </c>
      <c r="G217" s="80">
        <f t="shared" si="13"/>
        <v>0</v>
      </c>
      <c r="H217" s="80">
        <f t="shared" si="13"/>
        <v>0</v>
      </c>
      <c r="I217" s="80">
        <f t="shared" si="13"/>
        <v>-1566.1800000000003</v>
      </c>
      <c r="J217" s="80">
        <f t="shared" si="13"/>
        <v>0</v>
      </c>
      <c r="K217" s="80">
        <f t="shared" si="13"/>
        <v>-1566.1800000000003</v>
      </c>
      <c r="L217" s="80">
        <f t="shared" si="13"/>
        <v>0</v>
      </c>
      <c r="M217" s="80">
        <f t="shared" si="13"/>
        <v>0</v>
      </c>
      <c r="N217" s="80">
        <f t="shared" si="13"/>
        <v>0</v>
      </c>
      <c r="O217" s="80">
        <f t="shared" si="13"/>
        <v>0</v>
      </c>
      <c r="P217" s="80">
        <f t="shared" si="13"/>
        <v>0</v>
      </c>
      <c r="Q217" s="80">
        <f t="shared" si="13"/>
        <v>0</v>
      </c>
      <c r="R217" s="80">
        <f t="shared" si="13"/>
        <v>0</v>
      </c>
      <c r="S217" s="81">
        <f t="shared" si="13"/>
        <v>-1566.1800000000003</v>
      </c>
      <c r="W217" s="82">
        <f>SUM(W51:W216)</f>
        <v>-1566.1800000000003</v>
      </c>
      <c r="X217" s="82"/>
      <c r="Y217" s="82">
        <f>SUM(Y51:Y216)</f>
        <v>-93.950000000000074</v>
      </c>
      <c r="Z217" s="82"/>
      <c r="AD217" s="82"/>
      <c r="AF217" s="82"/>
    </row>
    <row r="218" spans="1:32" s="79" customFormat="1" ht="11.4" x14ac:dyDescent="0.25">
      <c r="A218" s="84" t="s">
        <v>361</v>
      </c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5">
        <v>-1660.13</v>
      </c>
      <c r="W218" s="82"/>
      <c r="X218" s="82"/>
      <c r="Y218" s="82"/>
      <c r="Z218" s="82"/>
      <c r="AD218" s="82"/>
      <c r="AF218" s="82"/>
    </row>
    <row r="219" spans="1:32" x14ac:dyDescent="0.25"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62"/>
      <c r="U219" s="62"/>
      <c r="V219" s="62"/>
    </row>
    <row r="220" spans="1:32" s="88" customFormat="1" ht="11.4" x14ac:dyDescent="0.25">
      <c r="A220" s="87" t="s">
        <v>277</v>
      </c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W220" s="89"/>
      <c r="X220" s="89"/>
      <c r="Y220" s="89"/>
      <c r="Z220" s="89"/>
      <c r="AD220" s="89"/>
      <c r="AF220" s="89"/>
    </row>
    <row r="221" spans="1:32" s="91" customFormat="1" ht="30" customHeight="1" x14ac:dyDescent="0.15">
      <c r="A221" s="71" t="s">
        <v>0</v>
      </c>
      <c r="B221" s="71" t="s">
        <v>203</v>
      </c>
      <c r="C221" s="71" t="s">
        <v>278</v>
      </c>
      <c r="D221" s="71" t="s">
        <v>279</v>
      </c>
      <c r="E221" s="72" t="s">
        <v>216</v>
      </c>
      <c r="F221" s="72" t="s">
        <v>219</v>
      </c>
      <c r="G221" s="72" t="s">
        <v>220</v>
      </c>
      <c r="H221" s="72" t="s">
        <v>39</v>
      </c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D221" s="90"/>
      <c r="AF221" s="90"/>
    </row>
    <row r="222" spans="1:32" s="93" customFormat="1" ht="30" customHeight="1" x14ac:dyDescent="0.25">
      <c r="A222" s="75" t="s">
        <v>221</v>
      </c>
      <c r="B222" s="75" t="s">
        <v>222</v>
      </c>
      <c r="C222" s="75" t="s">
        <v>280</v>
      </c>
      <c r="D222" s="75" t="s">
        <v>281</v>
      </c>
      <c r="E222" s="76" t="s">
        <v>238</v>
      </c>
      <c r="F222" s="76" t="s">
        <v>241</v>
      </c>
      <c r="G222" s="76" t="s">
        <v>242</v>
      </c>
      <c r="H222" s="76" t="s">
        <v>90</v>
      </c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D222" s="92"/>
      <c r="AF222" s="92"/>
    </row>
    <row r="223" spans="1:32" s="88" customFormat="1" ht="11.4" x14ac:dyDescent="0.25">
      <c r="A223" s="79">
        <v>1</v>
      </c>
      <c r="B223" s="79" t="s">
        <v>358</v>
      </c>
      <c r="C223" s="79" t="s">
        <v>282</v>
      </c>
      <c r="D223" s="80">
        <v>0</v>
      </c>
      <c r="E223" s="82"/>
      <c r="F223" s="80">
        <v>0.09</v>
      </c>
      <c r="G223" s="82">
        <v>0.06</v>
      </c>
      <c r="H223" s="80">
        <v>-0.09</v>
      </c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D223" s="89"/>
      <c r="AF223" s="89"/>
    </row>
    <row r="224" spans="1:32" s="88" customFormat="1" ht="11.4" x14ac:dyDescent="0.25">
      <c r="A224" s="79">
        <v>2</v>
      </c>
      <c r="B224" s="79" t="s">
        <v>243</v>
      </c>
      <c r="C224" s="79" t="s">
        <v>362</v>
      </c>
      <c r="D224" s="80">
        <v>4886.8999999999996</v>
      </c>
      <c r="E224" s="82"/>
      <c r="F224" s="80">
        <v>4610.28</v>
      </c>
      <c r="G224" s="82">
        <v>0.06</v>
      </c>
      <c r="H224" s="80">
        <v>276.62</v>
      </c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D224" s="89"/>
      <c r="AF224" s="89"/>
    </row>
    <row r="225" spans="1:32" s="88" customFormat="1" ht="11.4" x14ac:dyDescent="0.25">
      <c r="A225" s="79">
        <v>3</v>
      </c>
      <c r="B225" s="79" t="s">
        <v>243</v>
      </c>
      <c r="C225" s="79" t="s">
        <v>363</v>
      </c>
      <c r="D225" s="80">
        <v>5220.5</v>
      </c>
      <c r="E225" s="82"/>
      <c r="F225" s="80">
        <v>4925</v>
      </c>
      <c r="G225" s="82">
        <v>0.06</v>
      </c>
      <c r="H225" s="80">
        <v>295.5</v>
      </c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D225" s="89"/>
      <c r="AF225" s="89"/>
    </row>
    <row r="226" spans="1:32" s="88" customFormat="1" ht="11.4" x14ac:dyDescent="0.25">
      <c r="A226" s="79" t="s">
        <v>276</v>
      </c>
      <c r="B226" s="79"/>
      <c r="C226" s="79"/>
      <c r="D226" s="80">
        <f>SUM(D223:D225)</f>
        <v>10107.4</v>
      </c>
      <c r="E226" s="82"/>
      <c r="F226" s="80">
        <f>SUM(F223:F225)</f>
        <v>9535.369999999999</v>
      </c>
      <c r="G226" s="82"/>
      <c r="H226" s="80">
        <f>SUM(H223:H225)</f>
        <v>572.03</v>
      </c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D226" s="89"/>
      <c r="AF226" s="89"/>
    </row>
    <row r="227" spans="1:32" s="88" customFormat="1" ht="11.4" x14ac:dyDescent="0.25">
      <c r="A227" s="84" t="s">
        <v>364</v>
      </c>
      <c r="B227" s="79"/>
      <c r="C227" s="79"/>
      <c r="D227" s="94">
        <v>10107.4</v>
      </c>
      <c r="E227" s="82"/>
      <c r="F227" s="94">
        <v>9535.3700000000008</v>
      </c>
      <c r="G227" s="82"/>
      <c r="H227" s="94">
        <v>572.03</v>
      </c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D227" s="89"/>
      <c r="AF227" s="89"/>
    </row>
    <row r="229" spans="1:32" x14ac:dyDescent="0.25">
      <c r="A229" s="62" t="s">
        <v>283</v>
      </c>
    </row>
    <row r="230" spans="1:32" ht="25.05" customHeight="1" x14ac:dyDescent="0.25">
      <c r="A230" s="119" t="s">
        <v>284</v>
      </c>
      <c r="B230" s="119" t="s">
        <v>285</v>
      </c>
      <c r="C230" s="119" t="s">
        <v>220</v>
      </c>
      <c r="D230" s="119" t="s">
        <v>286</v>
      </c>
    </row>
    <row r="231" spans="1:32" ht="25.05" customHeight="1" x14ac:dyDescent="0.25">
      <c r="A231" s="120"/>
      <c r="B231" s="120"/>
      <c r="C231" s="120"/>
      <c r="D231" s="120"/>
    </row>
    <row r="232" spans="1:32" x14ac:dyDescent="0.25">
      <c r="A232" s="79">
        <v>1</v>
      </c>
      <c r="B232" s="82">
        <v>368213.88</v>
      </c>
      <c r="C232" s="79" t="s">
        <v>246</v>
      </c>
      <c r="D232" s="82">
        <v>22092.83</v>
      </c>
    </row>
    <row r="233" spans="1:32" x14ac:dyDescent="0.25">
      <c r="A233" s="79" t="s">
        <v>287</v>
      </c>
      <c r="B233" s="82">
        <v>368213.88</v>
      </c>
      <c r="C233" s="79"/>
      <c r="D233" s="82">
        <v>22092.83</v>
      </c>
    </row>
    <row r="234" spans="1:32" x14ac:dyDescent="0.25">
      <c r="A234" s="121" t="s">
        <v>288</v>
      </c>
      <c r="B234" s="122"/>
      <c r="C234" s="122"/>
      <c r="D234" s="95">
        <v>22092.83</v>
      </c>
    </row>
    <row r="235" spans="1:32" x14ac:dyDescent="0.25">
      <c r="A235" s="96" t="s">
        <v>365</v>
      </c>
    </row>
    <row r="236" spans="1:32" x14ac:dyDescent="0.25">
      <c r="A236" s="97">
        <v>390306.71</v>
      </c>
    </row>
    <row r="237" spans="1:32" x14ac:dyDescent="0.25">
      <c r="A237" s="96" t="s">
        <v>366</v>
      </c>
    </row>
    <row r="239" spans="1:32" s="99" customFormat="1" ht="17.399999999999999" x14ac:dyDescent="0.25">
      <c r="A239" s="98" t="s">
        <v>367</v>
      </c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D239" s="100"/>
      <c r="AF239" s="100"/>
    </row>
    <row r="241" spans="1:10" x14ac:dyDescent="0.25">
      <c r="A241" s="101" t="s">
        <v>289</v>
      </c>
      <c r="J241" s="63" t="s">
        <v>290</v>
      </c>
    </row>
    <row r="243" spans="1:10" x14ac:dyDescent="0.25">
      <c r="A243" s="61" t="s">
        <v>291</v>
      </c>
      <c r="G243" s="102" t="s">
        <v>291</v>
      </c>
    </row>
    <row r="244" spans="1:10" x14ac:dyDescent="0.25">
      <c r="A244" s="61" t="s">
        <v>292</v>
      </c>
      <c r="G244" s="102" t="s">
        <v>293</v>
      </c>
    </row>
    <row r="245" spans="1:10" x14ac:dyDescent="0.25">
      <c r="A245" s="61" t="s">
        <v>294</v>
      </c>
      <c r="G245" s="102" t="s">
        <v>295</v>
      </c>
    </row>
    <row r="246" spans="1:10" x14ac:dyDescent="0.25">
      <c r="A246" s="61" t="s">
        <v>296</v>
      </c>
      <c r="G246" s="102" t="s">
        <v>297</v>
      </c>
    </row>
    <row r="247" spans="1:10" x14ac:dyDescent="0.25">
      <c r="A247" s="61" t="s">
        <v>298</v>
      </c>
      <c r="G247" s="102" t="s">
        <v>299</v>
      </c>
    </row>
    <row r="249" spans="1:10" x14ac:dyDescent="0.25">
      <c r="A249" s="61" t="s">
        <v>291</v>
      </c>
    </row>
    <row r="250" spans="1:10" x14ac:dyDescent="0.25">
      <c r="A250" s="61" t="s">
        <v>300</v>
      </c>
    </row>
    <row r="251" spans="1:10" x14ac:dyDescent="0.25">
      <c r="A251" s="61" t="s">
        <v>301</v>
      </c>
    </row>
    <row r="252" spans="1:10" x14ac:dyDescent="0.25">
      <c r="A252" s="61" t="s">
        <v>302</v>
      </c>
    </row>
    <row r="253" spans="1:10" x14ac:dyDescent="0.25">
      <c r="A253" s="61" t="s">
        <v>303</v>
      </c>
    </row>
    <row r="255" spans="1:10" x14ac:dyDescent="0.25">
      <c r="A255" s="101" t="s">
        <v>304</v>
      </c>
      <c r="D255" s="101" t="s">
        <v>305</v>
      </c>
      <c r="G255" s="102" t="s">
        <v>197</v>
      </c>
    </row>
    <row r="256" spans="1:10" x14ac:dyDescent="0.25">
      <c r="A256" s="101" t="s">
        <v>306</v>
      </c>
      <c r="G256" s="103" t="s">
        <v>307</v>
      </c>
    </row>
    <row r="257" spans="1:10" x14ac:dyDescent="0.25">
      <c r="A257" s="101" t="s">
        <v>308</v>
      </c>
      <c r="D257" s="101" t="s">
        <v>309</v>
      </c>
      <c r="G257" s="103" t="s">
        <v>310</v>
      </c>
    </row>
    <row r="258" spans="1:10" x14ac:dyDescent="0.25">
      <c r="A258" s="101" t="s">
        <v>311</v>
      </c>
      <c r="D258" s="101" t="s">
        <v>312</v>
      </c>
      <c r="G258" s="103" t="s">
        <v>313</v>
      </c>
      <c r="J258" s="103" t="s">
        <v>314</v>
      </c>
    </row>
    <row r="260" spans="1:10" x14ac:dyDescent="0.25">
      <c r="A260" s="101" t="s">
        <v>315</v>
      </c>
      <c r="B260" s="101" t="s">
        <v>316</v>
      </c>
    </row>
    <row r="261" spans="1:10" x14ac:dyDescent="0.25">
      <c r="B261" s="101" t="s">
        <v>317</v>
      </c>
    </row>
    <row r="262" spans="1:10" x14ac:dyDescent="0.25">
      <c r="B262" s="101" t="s">
        <v>318</v>
      </c>
    </row>
    <row r="263" spans="1:10" x14ac:dyDescent="0.25">
      <c r="B263" s="101" t="s">
        <v>319</v>
      </c>
    </row>
    <row r="264" spans="1:10" x14ac:dyDescent="0.25">
      <c r="B264" s="101" t="s">
        <v>320</v>
      </c>
    </row>
    <row r="266" spans="1:10" x14ac:dyDescent="0.25">
      <c r="A266" s="101" t="s">
        <v>321</v>
      </c>
      <c r="B266" s="101" t="s">
        <v>322</v>
      </c>
    </row>
    <row r="267" spans="1:10" x14ac:dyDescent="0.25">
      <c r="B267" s="101" t="s">
        <v>323</v>
      </c>
    </row>
  </sheetData>
  <mergeCells count="9">
    <mergeCell ref="H14:M14"/>
    <mergeCell ref="P14:T14"/>
    <mergeCell ref="F49:J49"/>
    <mergeCell ref="L49:P49"/>
    <mergeCell ref="A230:A231"/>
    <mergeCell ref="B230:B231"/>
    <mergeCell ref="C230:C231"/>
    <mergeCell ref="D230:D231"/>
    <mergeCell ref="A234:C234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202501</vt:lpstr>
      <vt:lpstr>对账单</vt:lpstr>
      <vt:lpstr>系统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2023-05-10T02:27:00Z</dcterms:created>
  <dcterms:modified xsi:type="dcterms:W3CDTF">2025-01-16T01:07:13Z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8233FB2981AF491AB94FABEB1FC6C762</vt:lpwstr>
  </property>
  <property fmtid="{D5CDD505-2E9C-101B-9397-08002B2CF9AE}" pid="3" name="KSOProductBuildVer">
    <vt:lpwstr>2052-12.8.2.15091</vt:lpwstr>
  </property>
</Properties>
</file>