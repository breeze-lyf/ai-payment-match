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/>
  <mc:AlternateContent xmlns:mc="http://schemas.openxmlformats.org/markup-compatibility/2006">
    <mc:Choice Requires="x15">
      <x15ac:absPath xmlns:x15ac="http://schemas.microsoft.com/office/spreadsheetml/2010/11/ac" url="C:\Users\zidan.luo\Desktop\电信工作\202412电信\"/>
    </mc:Choice>
  </mc:AlternateContent>
  <xr:revisionPtr revIDLastSave="0" documentId="13_ncr:1_{A03681E1-11AB-4E53-A405-7225629A7B58}" xr6:coauthVersionLast="36" xr6:coauthVersionMax="36" xr10:uidLastSave="{00000000-0000-0000-0000-000000000000}"/>
  <bookViews>
    <workbookView xWindow="0" yWindow="0" windowWidth="23040" windowHeight="9012" activeTab="1" xr2:uid="{00000000-000D-0000-FFFF-FFFF00000000}"/>
  </bookViews>
  <sheets>
    <sheet name="202412" sheetId="1" r:id="rId1"/>
    <sheet name="对账单" sheetId="2" r:id="rId2"/>
    <sheet name="系统" sheetId="3" r:id="rId3"/>
  </sheets>
  <definedNames>
    <definedName name="_xlnm._FilterDatabase" localSheetId="0" hidden="1">'202412'!$A$1:$BF$29</definedName>
  </definedNames>
  <calcPr calcId="191029"/>
</workbook>
</file>

<file path=xl/calcChain.xml><?xml version="1.0" encoding="utf-8"?>
<calcChain xmlns="http://schemas.openxmlformats.org/spreadsheetml/2006/main">
  <c r="D7" i="2" l="1"/>
  <c r="B2" i="2"/>
  <c r="G9" i="2"/>
  <c r="F9" i="2"/>
  <c r="D3" i="2"/>
  <c r="C7" i="2"/>
  <c r="C5" i="2"/>
  <c r="C4" i="2"/>
  <c r="C2" i="2"/>
  <c r="B10" i="2"/>
  <c r="B9" i="2"/>
  <c r="B7" i="2"/>
  <c r="B5" i="2"/>
  <c r="B4" i="2"/>
  <c r="B3" i="2"/>
  <c r="H50" i="3"/>
  <c r="F50" i="3"/>
  <c r="D50" i="3"/>
  <c r="AE43" i="3"/>
  <c r="AC43" i="3"/>
  <c r="X43" i="3"/>
  <c r="W43" i="3"/>
  <c r="U43" i="3"/>
  <c r="T43" i="3"/>
  <c r="S43" i="3"/>
  <c r="R43" i="3"/>
  <c r="Q43" i="3"/>
  <c r="P43" i="3"/>
  <c r="N43" i="3"/>
  <c r="M43" i="3"/>
  <c r="L43" i="3"/>
  <c r="K43" i="3"/>
  <c r="J43" i="3"/>
  <c r="I43" i="3"/>
  <c r="H43" i="3"/>
  <c r="E43" i="3"/>
  <c r="Y42" i="3"/>
  <c r="V42" i="3"/>
  <c r="O42" i="3"/>
  <c r="Y41" i="3"/>
  <c r="V41" i="3"/>
  <c r="O41" i="3"/>
  <c r="V40" i="3"/>
  <c r="O40" i="3"/>
  <c r="Y40" i="3" s="1"/>
  <c r="V39" i="3"/>
  <c r="O39" i="3"/>
  <c r="Y39" i="3" s="1"/>
  <c r="Y38" i="3"/>
  <c r="V38" i="3"/>
  <c r="O38" i="3"/>
  <c r="Y37" i="3"/>
  <c r="V37" i="3"/>
  <c r="O37" i="3"/>
  <c r="V36" i="3"/>
  <c r="O36" i="3"/>
  <c r="Y36" i="3" s="1"/>
  <c r="V35" i="3"/>
  <c r="O35" i="3"/>
  <c r="Y35" i="3" s="1"/>
  <c r="Y34" i="3"/>
  <c r="V34" i="3"/>
  <c r="O34" i="3"/>
  <c r="Y33" i="3"/>
  <c r="V33" i="3"/>
  <c r="O33" i="3"/>
  <c r="V32" i="3"/>
  <c r="O32" i="3"/>
  <c r="Y32" i="3" s="1"/>
  <c r="V31" i="3"/>
  <c r="O31" i="3"/>
  <c r="Y31" i="3" s="1"/>
  <c r="Y30" i="3"/>
  <c r="V30" i="3"/>
  <c r="O30" i="3"/>
  <c r="Y29" i="3"/>
  <c r="V29" i="3"/>
  <c r="O29" i="3"/>
  <c r="V28" i="3"/>
  <c r="O28" i="3"/>
  <c r="Y28" i="3" s="1"/>
  <c r="V27" i="3"/>
  <c r="O27" i="3"/>
  <c r="Y27" i="3" s="1"/>
  <c r="V26" i="3"/>
  <c r="Y26" i="3" s="1"/>
  <c r="O26" i="3"/>
  <c r="Y25" i="3"/>
  <c r="V25" i="3"/>
  <c r="O25" i="3"/>
  <c r="V24" i="3"/>
  <c r="O24" i="3"/>
  <c r="Y24" i="3" s="1"/>
  <c r="V23" i="3"/>
  <c r="O23" i="3"/>
  <c r="Y23" i="3" s="1"/>
  <c r="V22" i="3"/>
  <c r="Y22" i="3" s="1"/>
  <c r="O22" i="3"/>
  <c r="Y21" i="3"/>
  <c r="V21" i="3"/>
  <c r="O21" i="3"/>
  <c r="V20" i="3"/>
  <c r="O20" i="3"/>
  <c r="Y20" i="3" s="1"/>
  <c r="V19" i="3"/>
  <c r="O19" i="3"/>
  <c r="O43" i="3" s="1"/>
  <c r="V18" i="3"/>
  <c r="Y18" i="3" s="1"/>
  <c r="O18" i="3"/>
  <c r="Y17" i="3"/>
  <c r="V17" i="3"/>
  <c r="O17" i="3"/>
  <c r="V16" i="3"/>
  <c r="V43" i="3" s="1"/>
  <c r="O16" i="3"/>
  <c r="Y16" i="3" s="1"/>
  <c r="Y19" i="3" l="1"/>
  <c r="Y43" i="3" s="1"/>
  <c r="D11" i="2"/>
  <c r="D13" i="2" s="1"/>
  <c r="I10" i="2"/>
  <c r="H10" i="2"/>
  <c r="G11" i="2"/>
  <c r="F11" i="2"/>
  <c r="I9" i="2"/>
  <c r="I8" i="2"/>
  <c r="H8" i="2"/>
  <c r="H7" i="2"/>
  <c r="I7" i="2"/>
  <c r="I6" i="2"/>
  <c r="H6" i="2"/>
  <c r="I5" i="2"/>
  <c r="H5" i="2"/>
  <c r="I4" i="2"/>
  <c r="H4" i="2"/>
  <c r="I3" i="2"/>
  <c r="H3" i="2"/>
  <c r="C11" i="2"/>
  <c r="H11" i="2" l="1"/>
  <c r="C14" i="2"/>
  <c r="G13" i="2"/>
  <c r="G14" i="2" s="1"/>
  <c r="H9" i="2"/>
  <c r="D14" i="2"/>
  <c r="F13" i="2"/>
  <c r="F14" i="2" s="1"/>
  <c r="H2" i="2"/>
  <c r="AA3" i="1"/>
  <c r="AW30" i="1"/>
  <c r="H13" i="2" l="1"/>
  <c r="H14" i="2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BB30" i="1" l="1"/>
  <c r="AZ30" i="1"/>
  <c r="AU29" i="1"/>
  <c r="AT29" i="1"/>
  <c r="AR29" i="1"/>
  <c r="AQ29" i="1"/>
  <c r="AP29" i="1"/>
  <c r="AO29" i="1"/>
  <c r="AH29" i="1"/>
  <c r="AA29" i="1"/>
  <c r="AU28" i="1"/>
  <c r="AT28" i="1"/>
  <c r="AR28" i="1"/>
  <c r="AQ28" i="1"/>
  <c r="AO28" i="1"/>
  <c r="AH28" i="1"/>
  <c r="AA28" i="1"/>
  <c r="AU27" i="1"/>
  <c r="AT27" i="1"/>
  <c r="AR27" i="1"/>
  <c r="AQ27" i="1"/>
  <c r="AO27" i="1"/>
  <c r="AH27" i="1"/>
  <c r="AA27" i="1"/>
  <c r="AU26" i="1"/>
  <c r="AT26" i="1"/>
  <c r="AR26" i="1"/>
  <c r="AQ26" i="1"/>
  <c r="AP26" i="1"/>
  <c r="AO26" i="1"/>
  <c r="AU25" i="1"/>
  <c r="AT25" i="1"/>
  <c r="AR25" i="1"/>
  <c r="AQ25" i="1"/>
  <c r="AP25" i="1"/>
  <c r="AO25" i="1"/>
  <c r="AH25" i="1"/>
  <c r="AA25" i="1"/>
  <c r="AU24" i="1"/>
  <c r="AT24" i="1"/>
  <c r="AR24" i="1"/>
  <c r="AQ24" i="1"/>
  <c r="AP24" i="1"/>
  <c r="AO24" i="1"/>
  <c r="AH24" i="1"/>
  <c r="AA24" i="1"/>
  <c r="AU23" i="1"/>
  <c r="AT23" i="1"/>
  <c r="AR23" i="1"/>
  <c r="AQ23" i="1"/>
  <c r="AP23" i="1"/>
  <c r="AO23" i="1"/>
  <c r="AH23" i="1"/>
  <c r="AA23" i="1"/>
  <c r="AU22" i="1"/>
  <c r="AT22" i="1"/>
  <c r="AR22" i="1"/>
  <c r="AQ22" i="1"/>
  <c r="AO22" i="1"/>
  <c r="AH22" i="1"/>
  <c r="AU21" i="1"/>
  <c r="AT21" i="1"/>
  <c r="AR21" i="1"/>
  <c r="AQ21" i="1"/>
  <c r="AO21" i="1"/>
  <c r="AH21" i="1"/>
  <c r="AA21" i="1"/>
  <c r="AU20" i="1"/>
  <c r="AT20" i="1"/>
  <c r="AR20" i="1"/>
  <c r="AQ20" i="1"/>
  <c r="AP20" i="1"/>
  <c r="AO20" i="1"/>
  <c r="AA20" i="1"/>
  <c r="AU19" i="1"/>
  <c r="AT19" i="1"/>
  <c r="AR19" i="1"/>
  <c r="AQ19" i="1"/>
  <c r="AP19" i="1"/>
  <c r="AO19" i="1"/>
  <c r="AU18" i="1"/>
  <c r="AT18" i="1"/>
  <c r="AR18" i="1"/>
  <c r="AQ18" i="1"/>
  <c r="AO18" i="1"/>
  <c r="AH18" i="1"/>
  <c r="AA18" i="1"/>
  <c r="AU17" i="1"/>
  <c r="AT17" i="1"/>
  <c r="AR17" i="1"/>
  <c r="AQ17" i="1"/>
  <c r="AP17" i="1"/>
  <c r="AO17" i="1"/>
  <c r="AA17" i="1"/>
  <c r="AU16" i="1"/>
  <c r="AT16" i="1"/>
  <c r="AR16" i="1"/>
  <c r="AQ16" i="1"/>
  <c r="AP16" i="1"/>
  <c r="AO16" i="1"/>
  <c r="AH16" i="1"/>
  <c r="AA16" i="1"/>
  <c r="AU15" i="1"/>
  <c r="AT15" i="1"/>
  <c r="AR15" i="1"/>
  <c r="AQ15" i="1"/>
  <c r="AP15" i="1"/>
  <c r="AO15" i="1"/>
  <c r="AH15" i="1"/>
  <c r="AA15" i="1"/>
  <c r="AU14" i="1"/>
  <c r="AT14" i="1"/>
  <c r="AR14" i="1"/>
  <c r="AQ14" i="1"/>
  <c r="AP14" i="1"/>
  <c r="AO14" i="1"/>
  <c r="AH14" i="1"/>
  <c r="AA14" i="1"/>
  <c r="AU13" i="1"/>
  <c r="AT13" i="1"/>
  <c r="AR13" i="1"/>
  <c r="AQ13" i="1"/>
  <c r="AO13" i="1"/>
  <c r="AH13" i="1"/>
  <c r="AU12" i="1"/>
  <c r="AT12" i="1"/>
  <c r="AR12" i="1"/>
  <c r="AQ12" i="1"/>
  <c r="AP12" i="1"/>
  <c r="AO12" i="1"/>
  <c r="AH12" i="1"/>
  <c r="AA12" i="1"/>
  <c r="AU11" i="1"/>
  <c r="AT11" i="1"/>
  <c r="AR11" i="1"/>
  <c r="AQ11" i="1"/>
  <c r="AO11" i="1"/>
  <c r="AU10" i="1"/>
  <c r="AT10" i="1"/>
  <c r="AR10" i="1"/>
  <c r="AQ10" i="1"/>
  <c r="AP10" i="1"/>
  <c r="AO10" i="1"/>
  <c r="AH10" i="1"/>
  <c r="AU9" i="1"/>
  <c r="AT9" i="1"/>
  <c r="AR9" i="1"/>
  <c r="AQ9" i="1"/>
  <c r="AP9" i="1"/>
  <c r="AO9" i="1"/>
  <c r="AH9" i="1"/>
  <c r="AA9" i="1"/>
  <c r="AU8" i="1"/>
  <c r="AT8" i="1"/>
  <c r="AR8" i="1"/>
  <c r="AQ8" i="1"/>
  <c r="AO8" i="1"/>
  <c r="AU7" i="1"/>
  <c r="AT7" i="1"/>
  <c r="AR7" i="1"/>
  <c r="AQ7" i="1"/>
  <c r="AO7" i="1"/>
  <c r="AH7" i="1"/>
  <c r="AA7" i="1"/>
  <c r="AU6" i="1"/>
  <c r="AT6" i="1"/>
  <c r="AR6" i="1"/>
  <c r="AQ6" i="1"/>
  <c r="AO6" i="1"/>
  <c r="AU5" i="1"/>
  <c r="AT5" i="1"/>
  <c r="AR5" i="1"/>
  <c r="AQ5" i="1"/>
  <c r="AP5" i="1"/>
  <c r="AO5" i="1"/>
  <c r="AH5" i="1"/>
  <c r="AU4" i="1"/>
  <c r="AT4" i="1"/>
  <c r="AR4" i="1"/>
  <c r="AQ4" i="1"/>
  <c r="AP4" i="1"/>
  <c r="AO4" i="1"/>
  <c r="AH4" i="1"/>
  <c r="AA4" i="1"/>
  <c r="A4" i="1"/>
  <c r="AU3" i="1"/>
  <c r="AT3" i="1"/>
  <c r="AR3" i="1"/>
  <c r="AQ3" i="1"/>
  <c r="AO3" i="1"/>
  <c r="AH3" i="1"/>
  <c r="A3" i="1"/>
  <c r="AV7" i="1" l="1"/>
  <c r="AX7" i="1" s="1"/>
  <c r="AV11" i="1"/>
  <c r="AV18" i="1"/>
  <c r="AX18" i="1" s="1"/>
  <c r="AV24" i="1"/>
  <c r="AX24" i="1" s="1"/>
  <c r="AV4" i="1"/>
  <c r="AX4" i="1" s="1"/>
  <c r="BC4" i="1" s="1"/>
  <c r="BD4" i="1" s="1"/>
  <c r="BE4" i="1" s="1"/>
  <c r="AL18" i="1"/>
  <c r="AV19" i="1"/>
  <c r="AV20" i="1"/>
  <c r="AX20" i="1" s="1"/>
  <c r="BC20" i="1" s="1"/>
  <c r="AV28" i="1"/>
  <c r="AX28" i="1" s="1"/>
  <c r="BC28" i="1" s="1"/>
  <c r="AV29" i="1"/>
  <c r="AX29" i="1" s="1"/>
  <c r="BC29" i="1" s="1"/>
  <c r="AV9" i="1"/>
  <c r="AX9" i="1" s="1"/>
  <c r="AV12" i="1"/>
  <c r="AX12" i="1" s="1"/>
  <c r="BC12" i="1" s="1"/>
  <c r="AV14" i="1"/>
  <c r="AX14" i="1" s="1"/>
  <c r="BC14" i="1" s="1"/>
  <c r="AV23" i="1"/>
  <c r="AX23" i="1" s="1"/>
  <c r="BC23" i="1" s="1"/>
  <c r="AV26" i="1"/>
  <c r="AV5" i="1"/>
  <c r="AV10" i="1"/>
  <c r="AV15" i="1"/>
  <c r="AX15" i="1" s="1"/>
  <c r="AV21" i="1"/>
  <c r="AX21" i="1" s="1"/>
  <c r="AL25" i="1"/>
  <c r="AL16" i="1"/>
  <c r="AL21" i="1"/>
  <c r="AL4" i="1"/>
  <c r="AL12" i="1"/>
  <c r="AL7" i="1"/>
  <c r="AL14" i="1"/>
  <c r="AL27" i="1"/>
  <c r="AL28" i="1"/>
  <c r="AL29" i="1"/>
  <c r="AL9" i="1"/>
  <c r="AL15" i="1"/>
  <c r="AL23" i="1"/>
  <c r="AV16" i="1"/>
  <c r="AX16" i="1" s="1"/>
  <c r="BC16" i="1" s="1"/>
  <c r="AV27" i="1"/>
  <c r="AX27" i="1" s="1"/>
  <c r="BC27" i="1" s="1"/>
  <c r="AA5" i="1"/>
  <c r="AL5" i="1" s="1"/>
  <c r="AA6" i="1"/>
  <c r="AH6" i="1"/>
  <c r="AA8" i="1"/>
  <c r="AH8" i="1"/>
  <c r="AV13" i="1"/>
  <c r="AH20" i="1"/>
  <c r="AA22" i="1"/>
  <c r="AL22" i="1" s="1"/>
  <c r="AV3" i="1"/>
  <c r="AX3" i="1" s="1"/>
  <c r="BC3" i="1" s="1"/>
  <c r="AV6" i="1"/>
  <c r="AV8" i="1"/>
  <c r="AA10" i="1"/>
  <c r="AL10" i="1" s="1"/>
  <c r="AA11" i="1"/>
  <c r="AH11" i="1"/>
  <c r="AH17" i="1"/>
  <c r="AV17" i="1"/>
  <c r="AX17" i="1" s="1"/>
  <c r="BC17" i="1" s="1"/>
  <c r="AA19" i="1"/>
  <c r="AH19" i="1"/>
  <c r="AV22" i="1"/>
  <c r="AV25" i="1"/>
  <c r="AX25" i="1" s="1"/>
  <c r="BC25" i="1" s="1"/>
  <c r="AA26" i="1"/>
  <c r="AH26" i="1"/>
  <c r="AA13" i="1"/>
  <c r="AL13" i="1" s="1"/>
  <c r="AL24" i="1"/>
  <c r="BC9" i="1" l="1"/>
  <c r="BC15" i="1"/>
  <c r="BC21" i="1"/>
  <c r="BC7" i="1"/>
  <c r="BC18" i="1"/>
  <c r="BC24" i="1"/>
  <c r="AX26" i="1"/>
  <c r="AX19" i="1"/>
  <c r="AA30" i="1"/>
  <c r="AX11" i="1"/>
  <c r="AL17" i="1"/>
  <c r="AL20" i="1"/>
  <c r="AX6" i="1"/>
  <c r="AH30" i="1"/>
  <c r="AL8" i="1"/>
  <c r="AX22" i="1"/>
  <c r="BD17" i="1"/>
  <c r="BE17" i="1" s="1"/>
  <c r="BD16" i="1"/>
  <c r="BE16" i="1" s="1"/>
  <c r="AL11" i="1"/>
  <c r="AV30" i="1"/>
  <c r="BD20" i="1"/>
  <c r="BE20" i="1" s="1"/>
  <c r="BD28" i="1"/>
  <c r="BE28" i="1" s="1"/>
  <c r="BD14" i="1"/>
  <c r="BE14" i="1" s="1"/>
  <c r="BD25" i="1"/>
  <c r="BE25" i="1" s="1"/>
  <c r="AL3" i="1"/>
  <c r="BD27" i="1"/>
  <c r="BE27" i="1" s="1"/>
  <c r="BD12" i="1"/>
  <c r="BE12" i="1" s="1"/>
  <c r="AX10" i="1"/>
  <c r="BC10" i="1" s="1"/>
  <c r="AL26" i="1"/>
  <c r="AL19" i="1"/>
  <c r="AX8" i="1"/>
  <c r="BC8" i="1" s="1"/>
  <c r="BD29" i="1"/>
  <c r="BE29" i="1" s="1"/>
  <c r="AX13" i="1"/>
  <c r="BC13" i="1" s="1"/>
  <c r="AL6" i="1"/>
  <c r="BD23" i="1"/>
  <c r="BE23" i="1" s="1"/>
  <c r="AX5" i="1"/>
  <c r="BC5" i="1" s="1"/>
  <c r="BC6" i="1" l="1"/>
  <c r="BD24" i="1"/>
  <c r="BE24" i="1" s="1"/>
  <c r="BD7" i="1"/>
  <c r="BE7" i="1" s="1"/>
  <c r="BD15" i="1"/>
  <c r="BE15" i="1" s="1"/>
  <c r="BC22" i="1"/>
  <c r="BC19" i="1"/>
  <c r="BD19" i="1" s="1"/>
  <c r="BE19" i="1" s="1"/>
  <c r="BC11" i="1"/>
  <c r="BC26" i="1"/>
  <c r="BD26" i="1" s="1"/>
  <c r="BE26" i="1" s="1"/>
  <c r="BD18" i="1"/>
  <c r="BE18" i="1" s="1"/>
  <c r="BD21" i="1"/>
  <c r="BE21" i="1" s="1"/>
  <c r="BD9" i="1"/>
  <c r="BE9" i="1" s="1"/>
  <c r="BD5" i="1"/>
  <c r="BE5" i="1" s="1"/>
  <c r="BD10" i="1"/>
  <c r="BE10" i="1" s="1"/>
  <c r="BD13" i="1"/>
  <c r="BE13" i="1" s="1"/>
  <c r="AL30" i="1"/>
  <c r="AX30" i="1"/>
  <c r="BD8" i="1"/>
  <c r="BE8" i="1" s="1"/>
  <c r="BD11" i="1" l="1"/>
  <c r="BE11" i="1" s="1"/>
  <c r="BD22" i="1"/>
  <c r="BE22" i="1" s="1"/>
  <c r="BD6" i="1"/>
  <c r="BE6" i="1" s="1"/>
  <c r="BC30" i="1"/>
  <c r="BD3" i="1"/>
  <c r="BD30" i="1" l="1"/>
  <c r="BE3" i="1"/>
  <c r="BE30" i="1" s="1"/>
  <c r="I2" i="2"/>
  <c r="B11" i="2"/>
  <c r="B14" i="2" s="1"/>
  <c r="H15" i="2" s="1"/>
  <c r="H16" i="2" s="1"/>
  <c r="H1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yewei.du</author>
  </authors>
  <commentList>
    <comment ref="B2" authorId="0" shapeId="0" xr:uid="{9BA7EBE8-7BDA-4B4F-9AA5-F5CC5E63039C}">
      <text>
        <r>
          <rPr>
            <b/>
            <sz val="9"/>
            <rFont val="宋体"/>
            <family val="3"/>
            <charset val="134"/>
          </rPr>
          <t>含附加税、增值税、福利费</t>
        </r>
      </text>
    </comment>
    <comment ref="E5" authorId="1" shapeId="0" xr:uid="{9244E39F-10E7-4DB5-863D-373BCF055A7A}">
      <text>
        <r>
          <rPr>
            <b/>
            <sz val="9"/>
            <color indexed="81"/>
            <rFont val="宋体"/>
            <family val="3"/>
            <charset val="134"/>
          </rPr>
          <t>yewei.du:</t>
        </r>
        <r>
          <rPr>
            <sz val="9"/>
            <color indexed="81"/>
            <rFont val="宋体"/>
            <family val="3"/>
            <charset val="134"/>
          </rPr>
          <t xml:space="preserve">
不用实际添加，上月已有金额</t>
        </r>
      </text>
    </comment>
  </commentList>
</comments>
</file>

<file path=xl/sharedStrings.xml><?xml version="1.0" encoding="utf-8"?>
<sst xmlns="http://schemas.openxmlformats.org/spreadsheetml/2006/main" count="530" uniqueCount="331">
  <si>
    <t>序号</t>
  </si>
  <si>
    <t>计薪
周期</t>
  </si>
  <si>
    <t>工号</t>
  </si>
  <si>
    <t>姓名</t>
  </si>
  <si>
    <t>劳动合同起始日期</t>
  </si>
  <si>
    <t>劳动合同结束日期</t>
  </si>
  <si>
    <t>离职日期</t>
  </si>
  <si>
    <t>社保缴纳地</t>
  </si>
  <si>
    <t>星级费用</t>
  </si>
  <si>
    <t>考核费用</t>
  </si>
  <si>
    <t>OKR费用</t>
  </si>
  <si>
    <t>量化费用</t>
  </si>
  <si>
    <t>专项费用</t>
  </si>
  <si>
    <t>当月税前工资合计</t>
  </si>
  <si>
    <t>社保基数(个人)</t>
  </si>
  <si>
    <t>养老保险(个人)</t>
  </si>
  <si>
    <t>医疗保险(个人)</t>
  </si>
  <si>
    <t>失业保险(个人)</t>
  </si>
  <si>
    <t>公积金基数(个人)</t>
  </si>
  <si>
    <t>住房公积金(个人)</t>
  </si>
  <si>
    <t>员工五险一金合计</t>
  </si>
  <si>
    <t>本月个人所得税-系统导出</t>
  </si>
  <si>
    <t>税后增加</t>
  </si>
  <si>
    <t>税后扣减</t>
  </si>
  <si>
    <t>员工实发合计</t>
  </si>
  <si>
    <t>社保基数</t>
  </si>
  <si>
    <t>公积金基数</t>
  </si>
  <si>
    <t>养老缴费</t>
  </si>
  <si>
    <t>医疗缴费</t>
  </si>
  <si>
    <t>失业保险</t>
  </si>
  <si>
    <t>工伤保险</t>
  </si>
  <si>
    <t>生育保险</t>
  </si>
  <si>
    <t>公积金</t>
  </si>
  <si>
    <t>残保金</t>
  </si>
  <si>
    <t>企业五险一金合计</t>
  </si>
  <si>
    <t>工会费</t>
  </si>
  <si>
    <t>代收付合计</t>
  </si>
  <si>
    <t>上月垫付</t>
  </si>
  <si>
    <t>社保备注</t>
  </si>
  <si>
    <t>外包服务费</t>
  </si>
  <si>
    <t>税前项合计</t>
  </si>
  <si>
    <t>增值税</t>
  </si>
  <si>
    <t>总计</t>
  </si>
  <si>
    <t>NO.</t>
  </si>
  <si>
    <t>Salary Cycle</t>
  </si>
  <si>
    <t>Employee No.</t>
  </si>
  <si>
    <t>Name</t>
  </si>
  <si>
    <t>ID No.</t>
  </si>
  <si>
    <t>Contract Starting Date</t>
  </si>
  <si>
    <t>Contract Expiry Date</t>
  </si>
  <si>
    <t>Exit Date</t>
  </si>
  <si>
    <t>Social Insurance City</t>
  </si>
  <si>
    <t>Contract Salary</t>
  </si>
  <si>
    <t>Assessment fees</t>
  </si>
  <si>
    <t>Quantifying costs</t>
  </si>
  <si>
    <t>支局专项</t>
  </si>
  <si>
    <t>1+1激励</t>
  </si>
  <si>
    <t>体检费</t>
  </si>
  <si>
    <t>通信费</t>
  </si>
  <si>
    <t>高温费及清凉饮料费
（6-9月）</t>
  </si>
  <si>
    <t>伙食补贴</t>
  </si>
  <si>
    <t>独生子女奖励</t>
  </si>
  <si>
    <t>保险费</t>
  </si>
  <si>
    <t>补发费用</t>
  </si>
  <si>
    <t>劳防用品</t>
  </si>
  <si>
    <t>保障补差</t>
  </si>
  <si>
    <t>其他扣款</t>
  </si>
  <si>
    <t>Pre-tax Total</t>
  </si>
  <si>
    <t>Social Insurance Base</t>
  </si>
  <si>
    <t>Pension Employee</t>
  </si>
  <si>
    <t>Medical Employee</t>
  </si>
  <si>
    <t>Umemployment Employee</t>
  </si>
  <si>
    <t>Housing Fund Base</t>
  </si>
  <si>
    <t>Housing Fund Employee</t>
  </si>
  <si>
    <t>Total Amount of Social Insurance(EE)</t>
  </si>
  <si>
    <t>Personal Income Tax</t>
  </si>
  <si>
    <t>Increase After-tax payment</t>
  </si>
  <si>
    <t>Reduction After-tax payment</t>
  </si>
  <si>
    <t xml:space="preserve">After-tax total Income </t>
  </si>
  <si>
    <t>Pension Employer</t>
  </si>
  <si>
    <t>Medical Employer</t>
  </si>
  <si>
    <t>Umemployment Employer</t>
  </si>
  <si>
    <t>Injury Employer</t>
  </si>
  <si>
    <t>Maternity Insurance Employer</t>
  </si>
  <si>
    <t>Housing Fund Employer</t>
  </si>
  <si>
    <t xml:space="preserve">
Disabled people&amp;Back pay Fund</t>
  </si>
  <si>
    <t>Total Amount of Social Insurance(ER)</t>
  </si>
  <si>
    <t>Union Fee</t>
  </si>
  <si>
    <t>Payment Total</t>
  </si>
  <si>
    <t>Social Security remark</t>
  </si>
  <si>
    <t>Service Fee</t>
  </si>
  <si>
    <t>Total</t>
  </si>
  <si>
    <t>VAT</t>
  </si>
  <si>
    <t>Subtotal</t>
  </si>
  <si>
    <t>WB016994</t>
  </si>
  <si>
    <t>王邹强</t>
  </si>
  <si>
    <t>310108198909220554</t>
  </si>
  <si>
    <t>上海</t>
  </si>
  <si>
    <t>WB022665</t>
  </si>
  <si>
    <t>熊伟</t>
  </si>
  <si>
    <t>310109198905074533</t>
  </si>
  <si>
    <t>WB016995</t>
  </si>
  <si>
    <t>杭亮</t>
  </si>
  <si>
    <t>310110198004027057</t>
  </si>
  <si>
    <t>WB007082</t>
  </si>
  <si>
    <t>朱春红</t>
  </si>
  <si>
    <t>310230197703304160</t>
  </si>
  <si>
    <t>WB017012</t>
  </si>
  <si>
    <t>王一峰</t>
  </si>
  <si>
    <t>310230198106182913</t>
  </si>
  <si>
    <t>WB019180</t>
  </si>
  <si>
    <t>王偲</t>
  </si>
  <si>
    <t>310109198908200531</t>
  </si>
  <si>
    <t>WB024266</t>
  </si>
  <si>
    <t>王凤凌</t>
  </si>
  <si>
    <t>31011019870909564X</t>
  </si>
  <si>
    <t>WB033751</t>
  </si>
  <si>
    <t>高雄飞</t>
  </si>
  <si>
    <t>310101198402231014</t>
  </si>
  <si>
    <t>WB017080</t>
  </si>
  <si>
    <t>季华</t>
  </si>
  <si>
    <t>310115198609170130</t>
  </si>
  <si>
    <t>WB017076</t>
  </si>
  <si>
    <t>杨晓燕</t>
  </si>
  <si>
    <t>34222519770913404X</t>
  </si>
  <si>
    <t>WB025472</t>
  </si>
  <si>
    <t>孟浩杰</t>
  </si>
  <si>
    <t>510108198209090637</t>
  </si>
  <si>
    <t>WB021004</t>
  </si>
  <si>
    <t>周雨薇</t>
  </si>
  <si>
    <t>310104199212304829</t>
  </si>
  <si>
    <t>WB017081</t>
  </si>
  <si>
    <t>王姗姗</t>
  </si>
  <si>
    <t>34112519880604436X</t>
  </si>
  <si>
    <t>WB017085</t>
  </si>
  <si>
    <t>邱杭佳</t>
  </si>
  <si>
    <t>31010819830921103X</t>
  </si>
  <si>
    <t>WB008065</t>
  </si>
  <si>
    <t>戚继英</t>
  </si>
  <si>
    <t>310102198004243227</t>
  </si>
  <si>
    <t>WB045238</t>
  </si>
  <si>
    <t>戈婷婷</t>
  </si>
  <si>
    <t>320821199610185147</t>
  </si>
  <si>
    <t>WB013266</t>
  </si>
  <si>
    <t>吴裕刚</t>
  </si>
  <si>
    <t>31010219810818361X</t>
  </si>
  <si>
    <t>WB017007</t>
  </si>
  <si>
    <t>贺彦</t>
  </si>
  <si>
    <t>310108198901250513</t>
  </si>
  <si>
    <t>WB017000</t>
  </si>
  <si>
    <t>叶毅</t>
  </si>
  <si>
    <t>310110198502133266</t>
  </si>
  <si>
    <t>WB017001</t>
  </si>
  <si>
    <t>陈世碧</t>
  </si>
  <si>
    <t>513023197709136722</t>
  </si>
  <si>
    <t>WB017004</t>
  </si>
  <si>
    <t>顾陆慧</t>
  </si>
  <si>
    <t>310230197904164766</t>
  </si>
  <si>
    <t>WB017006</t>
  </si>
  <si>
    <t>程祖云</t>
  </si>
  <si>
    <t>411524198609258442</t>
  </si>
  <si>
    <t>WB003572</t>
  </si>
  <si>
    <t>谢俊敏</t>
  </si>
  <si>
    <t>310110198911171036</t>
  </si>
  <si>
    <t>WB039916</t>
  </si>
  <si>
    <t>梁裔杰</t>
  </si>
  <si>
    <t>310113198509301719</t>
  </si>
  <si>
    <t>WB017057</t>
  </si>
  <si>
    <t>朱云</t>
  </si>
  <si>
    <t>310110198810200045</t>
  </si>
  <si>
    <t>WB017068</t>
  </si>
  <si>
    <t>罗文彬</t>
  </si>
  <si>
    <t>310110198902103234</t>
  </si>
  <si>
    <t>WB054689</t>
  </si>
  <si>
    <t>张梦诏</t>
  </si>
  <si>
    <t>342423200108298172</t>
  </si>
  <si>
    <t>合计</t>
  </si>
  <si>
    <t xml:space="preserve"> </t>
  </si>
  <si>
    <t>身份证号</t>
    <phoneticPr fontId="12" type="noConversion"/>
  </si>
  <si>
    <t>其他费用</t>
    <phoneticPr fontId="12" type="noConversion"/>
  </si>
  <si>
    <t>备注</t>
    <phoneticPr fontId="12" type="noConversion"/>
  </si>
  <si>
    <t>科目</t>
  </si>
  <si>
    <t>手工账单</t>
  </si>
  <si>
    <t>速创账单</t>
    <phoneticPr fontId="18" type="noConversion"/>
  </si>
  <si>
    <t>系统已有金额（不做一次性）</t>
    <phoneticPr fontId="12" type="noConversion"/>
  </si>
  <si>
    <t>4-11月工会费</t>
    <phoneticPr fontId="12" type="noConversion"/>
  </si>
  <si>
    <t>12月工会费</t>
    <phoneticPr fontId="12" type="noConversion"/>
  </si>
  <si>
    <t>差异</t>
    <phoneticPr fontId="12" type="noConversion"/>
  </si>
  <si>
    <t>管理费</t>
  </si>
  <si>
    <t>风险费</t>
  </si>
  <si>
    <t>个人四金</t>
  </si>
  <si>
    <t>公司四金</t>
  </si>
  <si>
    <t>代发工资</t>
  </si>
  <si>
    <t>上月垫付</t>
    <phoneticPr fontId="12" type="noConversion"/>
  </si>
  <si>
    <t>小计</t>
  </si>
  <si>
    <t>附加税</t>
  </si>
  <si>
    <t>给客户账单金额</t>
  </si>
  <si>
    <t>差异</t>
  </si>
  <si>
    <t>不含税差异</t>
  </si>
  <si>
    <t>200070</t>
  </si>
  <si>
    <t>寄：梅园路77号人才大厦</t>
  </si>
  <si>
    <t>中国电信股份有限公司上海分公司  王慧珏  收</t>
  </si>
  <si>
    <t>上海外服布列吉科技有限公司</t>
  </si>
  <si>
    <t>Shanghai Foreign Service Bridge Technology Co,Ltd.</t>
  </si>
  <si>
    <t>收款通知书</t>
  </si>
  <si>
    <t>ADVISE ON COLLECTION</t>
  </si>
  <si>
    <t>2024年12月</t>
  </si>
  <si>
    <t>公司名称：中国电信股份有限公司上海分公司</t>
  </si>
  <si>
    <t>帐单号：202412CH6594403</t>
  </si>
  <si>
    <t>发生年月</t>
  </si>
  <si>
    <t>入职日期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</si>
  <si>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</si>
  <si>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</si>
  <si>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</si>
  <si>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</si>
  <si>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</si>
  <si>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</si>
  <si>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</si>
  <si>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</si>
  <si>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代办薪酬</t>
  </si>
  <si>
    <t>其他</t>
  </si>
  <si>
    <t>备注</t>
  </si>
  <si>
    <t>外服工号</t>
  </si>
  <si>
    <t>证件号码</t>
  </si>
  <si>
    <t>应纳税金额</t>
  </si>
  <si>
    <t>税率</t>
  </si>
  <si>
    <t>S/N</t>
  </si>
  <si>
    <t>YYYYMM</t>
  </si>
  <si>
    <t>Employment Start Date</t>
  </si>
  <si>
    <t>Adm Fee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</si>
  <si>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</si>
  <si>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</si>
  <si>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</si>
  <si>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</si>
  <si>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</si>
  <si>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</si>
  <si>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医疗生育保险
Medical Maternity</t>
  </si>
  <si>
    <t>保障金
Disabled people&amp;Back pay Fund</t>
  </si>
  <si>
    <t>公积金
Provident Fund</t>
  </si>
  <si>
    <t>Subtotal of Employer Payment</t>
  </si>
  <si>
    <t>Subtotal of Personal Payment</t>
  </si>
  <si>
    <t>Agency of Wage Payment</t>
  </si>
  <si>
    <t>Others</t>
  </si>
  <si>
    <t>Remarks</t>
  </si>
  <si>
    <t>SFSC ID</t>
  </si>
  <si>
    <t>ID Card</t>
  </si>
  <si>
    <t>Taxable Amount</t>
  </si>
  <si>
    <t>Tax Rate</t>
  </si>
  <si>
    <t>202412</t>
  </si>
  <si>
    <t>2024-06-01</t>
  </si>
  <si>
    <t>5861127</t>
  </si>
  <si>
    <t>6%</t>
  </si>
  <si>
    <t>5861128</t>
  </si>
  <si>
    <t>5544585</t>
  </si>
  <si>
    <t>5544594</t>
  </si>
  <si>
    <t>5863338</t>
  </si>
  <si>
    <t>5544580</t>
  </si>
  <si>
    <t>5701787</t>
  </si>
  <si>
    <t>5544586</t>
  </si>
  <si>
    <t>5861130</t>
  </si>
  <si>
    <t>5922255</t>
  </si>
  <si>
    <t>5544588</t>
  </si>
  <si>
    <t>5544593</t>
  </si>
  <si>
    <t>5544592</t>
  </si>
  <si>
    <t>5544583</t>
  </si>
  <si>
    <t>5544584</t>
  </si>
  <si>
    <t>5544582</t>
  </si>
  <si>
    <t>5544577</t>
  </si>
  <si>
    <t>5544591</t>
  </si>
  <si>
    <t>5544595</t>
  </si>
  <si>
    <t>5861129</t>
  </si>
  <si>
    <t>5544579</t>
  </si>
  <si>
    <t>5544587</t>
  </si>
  <si>
    <t>5861126</t>
  </si>
  <si>
    <t>5726531</t>
  </si>
  <si>
    <t>5544590</t>
  </si>
  <si>
    <t>5544581</t>
  </si>
  <si>
    <t>5922254</t>
  </si>
  <si>
    <t>合计（RMB）</t>
  </si>
  <si>
    <t>总计（RMB）已包含历月补收人民币伍拾万贰仟伍佰陆拾壹圆伍角整</t>
  </si>
  <si>
    <t>其他费用</t>
  </si>
  <si>
    <t>费用项目</t>
  </si>
  <si>
    <t>金额</t>
  </si>
  <si>
    <t>Item</t>
  </si>
  <si>
    <t>Amount</t>
  </si>
  <si>
    <t>税差调整6%</t>
  </si>
  <si>
    <t>总计（RMB）人民币零</t>
  </si>
  <si>
    <t>增值税：</t>
  </si>
  <si>
    <t>序号
S/N</t>
  </si>
  <si>
    <t>应纳税额</t>
  </si>
  <si>
    <t>税金</t>
  </si>
  <si>
    <t>小计（RMB）</t>
  </si>
  <si>
    <t>总计(RMB)</t>
  </si>
  <si>
    <t>本次价税合计(RMB):人民币伍拾万贰仟伍佰陆拾壹圆伍角整</t>
  </si>
  <si>
    <t>本月价税合计（RMB）：502561.50 其中已开票502561.50</t>
  </si>
  <si>
    <t>本月总计（RMB）人民币伍拾万贰仟伍佰陆拾壹圆伍角整                ￥502561.50</t>
  </si>
  <si>
    <t>制单人：</t>
  </si>
  <si>
    <t>制单日期：2024-12-20</t>
  </si>
  <si>
    <t>户名：上海外服（集团）有限公司</t>
  </si>
  <si>
    <t>美金收款账号：449459237031</t>
  </si>
  <si>
    <t>外币/人民币收款账号：083651120100303014006</t>
  </si>
  <si>
    <t>开户银行：中国银行上海市分行</t>
  </si>
  <si>
    <t>开户银行：中国光大银行上海分行营业部</t>
  </si>
  <si>
    <t>SWIFT CODE：BKCHCNBJ300</t>
  </si>
  <si>
    <t>SWIFT CODE：EVERCNBJSH1</t>
  </si>
  <si>
    <t>地址：中国上海市黄浦区中山东一路23号</t>
  </si>
  <si>
    <t>地址：中国上海市浦东新区世纪大道1118号</t>
  </si>
  <si>
    <t>外币/人民币收款账号：1001244329006580566</t>
  </si>
  <si>
    <t>开户银行：工商银行上海市分行营业部</t>
  </si>
  <si>
    <t>SWIFT CODE：ICBKCNBJSHI</t>
  </si>
  <si>
    <t>地址：中国上海市黄浦区中山东一路24号</t>
  </si>
  <si>
    <t>管理部：</t>
  </si>
  <si>
    <t>负责人：</t>
  </si>
  <si>
    <t>地  址：</t>
  </si>
  <si>
    <t>地  址：上海市黄浦区会馆街55号T3座</t>
  </si>
  <si>
    <t>邮  编：</t>
  </si>
  <si>
    <t>财  务：</t>
  </si>
  <si>
    <t>邮  编：200437</t>
  </si>
  <si>
    <t>电  话：</t>
  </si>
  <si>
    <t>传  真：</t>
  </si>
  <si>
    <t>电  话：63721888</t>
  </si>
  <si>
    <t>传  真：63856522</t>
  </si>
  <si>
    <t>注意：</t>
  </si>
  <si>
    <t>1、务必请将当月人员变动信息，在15日前通知所在业务部。</t>
  </si>
  <si>
    <t>2、若贵机构的地址变更，请及时通知。</t>
  </si>
  <si>
    <t>3、逾期按合同约定收取滞纳金。</t>
  </si>
  <si>
    <t>4、交款时请务必带此通知单或复印件，通过银行汇款请在汇款用途中写上右上角账单号。</t>
  </si>
  <si>
    <t>5、请贵机构在收到本账单的三个工作日内，对于账单内容进行确认并回复。逾期未回复的，视作贵机构已确认账单内容准确无误。</t>
  </si>
  <si>
    <t>友情提醒：</t>
  </si>
  <si>
    <t>1、根据国家政策，自2020年1月1日起，“生育”调整为“医疗生育”。</t>
  </si>
  <si>
    <t>2、如对以上账单内容有疑问请联系相关业务人员，发票开具及款项到账问题请联系财务，谢谢！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</si>
</sst>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¥&quot;#,##0.00;&quot;¥&quot;\-#,##0.00"/>
    <numFmt numFmtId="43" formatCode="_ * #,##0.00_ ;_ * \-#,##0.00_ ;_ * &quot;-&quot;??_ ;_ @_ "/>
    <numFmt numFmtId="176" formatCode="0.00_);[Red]\(0.00\)"/>
    <numFmt numFmtId="177" formatCode="0.00_ "/>
    <numFmt numFmtId="178" formatCode="0_ "/>
  </numFmts>
  <fonts count="34" x14ac:knownFonts="1">
    <font>
      <sz val="11"/>
      <color theme="1"/>
      <name val="等线"/>
      <charset val="134"/>
      <scheme val="minor"/>
    </font>
    <font>
      <sz val="8"/>
      <name val="阿里巴巴普惠体 R"/>
      <family val="1"/>
      <charset val="134"/>
    </font>
    <font>
      <sz val="8"/>
      <color theme="1"/>
      <name val="阿里巴巴普惠体 R"/>
      <family val="1"/>
      <charset val="134"/>
    </font>
    <font>
      <sz val="11"/>
      <color theme="1"/>
      <name val="阿里巴巴普惠体 R"/>
      <family val="1"/>
      <charset val="134"/>
    </font>
    <font>
      <sz val="7"/>
      <name val="阿里巴巴普惠体 R"/>
      <family val="1"/>
      <charset val="134"/>
    </font>
    <font>
      <sz val="9"/>
      <name val="阿里巴巴普惠体 R"/>
      <family val="1"/>
      <charset val="134"/>
    </font>
    <font>
      <sz val="9"/>
      <color theme="1"/>
      <name val="阿里巴巴普惠体 R"/>
      <family val="1"/>
      <charset val="134"/>
    </font>
    <font>
      <sz val="6"/>
      <name val="阿里巴巴普惠体 R"/>
      <family val="1"/>
      <charset val="134"/>
    </font>
    <font>
      <sz val="8"/>
      <color rgb="FFFF0000"/>
      <name val="阿里巴巴普惠体 R"/>
      <family val="1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theme="4"/>
      <name val="阿里巴巴普惠体 R"/>
      <family val="1"/>
      <charset val="134"/>
    </font>
    <font>
      <sz val="11"/>
      <color theme="1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b/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b/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9" fillId="0" borderId="0" applyNumberFormat="0" applyFill="0" applyBorder="0" applyProtection="0">
      <alignment vertical="center"/>
    </xf>
    <xf numFmtId="0" fontId="11" fillId="0" borderId="0">
      <alignment vertical="center"/>
    </xf>
    <xf numFmtId="0" fontId="11" fillId="0" borderId="0"/>
    <xf numFmtId="0" fontId="10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2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5" applyFont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49" fontId="5" fillId="0" borderId="1" xfId="5" applyNumberFormat="1" applyFont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6" fillId="0" borderId="1" xfId="5" applyFont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2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2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176" fontId="1" fillId="5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43" fontId="3" fillId="0" borderId="0" xfId="1" applyFont="1">
      <alignment vertical="center"/>
    </xf>
    <xf numFmtId="176" fontId="1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5" fillId="6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2" fontId="1" fillId="6" borderId="1" xfId="0" applyNumberFormat="1" applyFont="1" applyFill="1" applyBorder="1" applyAlignment="1" applyProtection="1">
      <alignment horizontal="center" vertical="center" wrapText="1"/>
      <protection locked="0"/>
    </xf>
    <xf numFmtId="2" fontId="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1" fillId="6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left" vertical="center"/>
    </xf>
    <xf numFmtId="176" fontId="1" fillId="3" borderId="1" xfId="0" applyNumberFormat="1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8" fontId="13" fillId="0" borderId="1" xfId="0" applyNumberFormat="1" applyFont="1" applyFill="1" applyBorder="1" applyAlignment="1">
      <alignment horizontal="left" vertical="center"/>
    </xf>
    <xf numFmtId="177" fontId="15" fillId="0" borderId="0" xfId="0" applyNumberFormat="1" applyFont="1" applyBorder="1" applyAlignment="1">
      <alignment horizontal="right" vertical="center"/>
    </xf>
    <xf numFmtId="0" fontId="3" fillId="0" borderId="0" xfId="0" applyFont="1" applyBorder="1">
      <alignment vertical="center"/>
    </xf>
    <xf numFmtId="43" fontId="3" fillId="0" borderId="0" xfId="0" applyNumberFormat="1" applyFont="1">
      <alignment vertical="center"/>
    </xf>
    <xf numFmtId="43" fontId="3" fillId="3" borderId="0" xfId="1" applyFont="1" applyFill="1">
      <alignment vertical="center"/>
    </xf>
    <xf numFmtId="0" fontId="6" fillId="3" borderId="1" xfId="5" applyFont="1" applyFill="1" applyBorder="1" applyAlignment="1">
      <alignment horizontal="center" vertical="center"/>
    </xf>
    <xf numFmtId="176" fontId="3" fillId="0" borderId="0" xfId="0" applyNumberFormat="1" applyFont="1">
      <alignment vertical="center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Fill="1" applyBorder="1" applyAlignment="1">
      <alignment horizontal="center" vertical="center"/>
    </xf>
    <xf numFmtId="43" fontId="16" fillId="0" borderId="1" xfId="0" applyNumberFormat="1" applyFont="1" applyFill="1" applyBorder="1" applyAlignment="1">
      <alignment horizontal="center" vertical="center"/>
    </xf>
    <xf numFmtId="43" fontId="16" fillId="0" borderId="5" xfId="0" applyNumberFormat="1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43" fontId="16" fillId="3" borderId="1" xfId="0" applyNumberFormat="1" applyFont="1" applyFill="1" applyBorder="1" applyAlignment="1">
      <alignment horizontal="center" vertical="center"/>
    </xf>
    <xf numFmtId="43" fontId="16" fillId="0" borderId="1" xfId="1" applyFont="1" applyFill="1" applyBorder="1" applyAlignment="1">
      <alignment horizontal="center" vertical="center"/>
    </xf>
    <xf numFmtId="43" fontId="16" fillId="0" borderId="1" xfId="0" applyNumberFormat="1" applyFont="1" applyFill="1" applyBorder="1" applyAlignment="1">
      <alignment horizontal="right" vertical="center"/>
    </xf>
    <xf numFmtId="0" fontId="19" fillId="3" borderId="1" xfId="0" applyFont="1" applyFill="1" applyBorder="1" applyAlignment="1">
      <alignment horizontal="center" vertical="center"/>
    </xf>
    <xf numFmtId="43" fontId="19" fillId="3" borderId="1" xfId="0" applyNumberFormat="1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43" fontId="19" fillId="7" borderId="1" xfId="0" applyNumberFormat="1" applyFont="1" applyFill="1" applyBorder="1" applyAlignment="1">
      <alignment horizontal="center" vertical="center"/>
    </xf>
    <xf numFmtId="49" fontId="23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49" fontId="24" fillId="0" borderId="0" xfId="0" applyNumberFormat="1" applyFont="1" applyAlignment="1">
      <alignment horizontal="left" vertical="center"/>
    </xf>
    <xf numFmtId="177" fontId="24" fillId="0" borderId="0" xfId="0" applyNumberFormat="1" applyFont="1" applyAlignment="1">
      <alignment horizontal="center" vertical="center"/>
    </xf>
    <xf numFmtId="177" fontId="25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center" vertical="center"/>
    </xf>
    <xf numFmtId="177" fontId="27" fillId="0" borderId="0" xfId="0" applyNumberFormat="1" applyFont="1" applyAlignment="1">
      <alignment horizontal="center" vertical="center"/>
    </xf>
    <xf numFmtId="177" fontId="26" fillId="0" borderId="0" xfId="0" applyNumberFormat="1" applyFont="1" applyAlignment="1">
      <alignment horizontal="left" vertical="center"/>
    </xf>
    <xf numFmtId="49" fontId="28" fillId="0" borderId="6" xfId="0" applyNumberFormat="1" applyFont="1" applyBorder="1" applyAlignment="1">
      <alignment horizontal="center" wrapText="1"/>
    </xf>
    <xf numFmtId="177" fontId="28" fillId="0" borderId="6" xfId="0" applyNumberFormat="1" applyFont="1" applyBorder="1" applyAlignment="1">
      <alignment horizontal="center" wrapText="1"/>
    </xf>
    <xf numFmtId="177" fontId="28" fillId="0" borderId="2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177" fontId="28" fillId="0" borderId="6" xfId="0" applyNumberFormat="1" applyFont="1" applyBorder="1" applyAlignment="1">
      <alignment horizontal="center" vertical="top" wrapText="1"/>
    </xf>
    <xf numFmtId="177" fontId="29" fillId="0" borderId="6" xfId="0" applyNumberFormat="1" applyFont="1" applyBorder="1" applyAlignment="1">
      <alignment horizontal="center" wrapText="1"/>
    </xf>
    <xf numFmtId="49" fontId="28" fillId="0" borderId="7" xfId="0" applyNumberFormat="1" applyFont="1" applyBorder="1" applyAlignment="1">
      <alignment horizontal="center" vertical="top" wrapText="1"/>
    </xf>
    <xf numFmtId="177" fontId="28" fillId="0" borderId="7" xfId="0" applyNumberFormat="1" applyFont="1" applyBorder="1" applyAlignment="1">
      <alignment horizontal="center" vertical="top" wrapText="1"/>
    </xf>
    <xf numFmtId="177" fontId="28" fillId="0" borderId="1" xfId="0" applyNumberFormat="1" applyFont="1" applyBorder="1" applyAlignment="1">
      <alignment horizontal="center" vertical="top" wrapText="1"/>
    </xf>
    <xf numFmtId="177" fontId="29" fillId="0" borderId="7" xfId="0" applyNumberFormat="1" applyFont="1" applyBorder="1" applyAlignment="1">
      <alignment horizontal="center" vertical="top" wrapText="1"/>
    </xf>
    <xf numFmtId="49" fontId="15" fillId="0" borderId="1" xfId="0" applyNumberFormat="1" applyFont="1" applyBorder="1" applyAlignment="1">
      <alignment horizontal="center" vertical="center"/>
    </xf>
    <xf numFmtId="177" fontId="15" fillId="0" borderId="1" xfId="0" applyNumberFormat="1" applyFont="1" applyBorder="1" applyAlignment="1">
      <alignment horizontal="right" vertical="center"/>
    </xf>
    <xf numFmtId="177" fontId="30" fillId="0" borderId="1" xfId="0" applyNumberFormat="1" applyFont="1" applyBorder="1" applyAlignment="1">
      <alignment horizontal="right" vertical="center"/>
    </xf>
    <xf numFmtId="177" fontId="15" fillId="0" borderId="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left" vertical="center"/>
    </xf>
    <xf numFmtId="7" fontId="30" fillId="0" borderId="1" xfId="0" applyNumberFormat="1" applyFont="1" applyBorder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49" fontId="31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center" vertical="center"/>
    </xf>
    <xf numFmtId="177" fontId="15" fillId="0" borderId="0" xfId="0" applyNumberFormat="1" applyFont="1" applyAlignment="1">
      <alignment horizontal="center" vertical="center"/>
    </xf>
    <xf numFmtId="177" fontId="28" fillId="0" borderId="0" xfId="0" applyNumberFormat="1" applyFont="1" applyAlignment="1">
      <alignment horizontal="center" wrapText="1"/>
    </xf>
    <xf numFmtId="49" fontId="28" fillId="0" borderId="0" xfId="0" applyNumberFormat="1" applyFont="1" applyAlignment="1">
      <alignment horizontal="center" wrapText="1"/>
    </xf>
    <xf numFmtId="177" fontId="28" fillId="0" borderId="0" xfId="0" applyNumberFormat="1" applyFont="1" applyAlignment="1">
      <alignment horizontal="center" vertical="top" wrapText="1"/>
    </xf>
    <xf numFmtId="49" fontId="28" fillId="0" borderId="0" xfId="0" applyNumberFormat="1" applyFont="1" applyAlignment="1">
      <alignment horizontal="center" vertical="top" wrapText="1"/>
    </xf>
    <xf numFmtId="7" fontId="15" fillId="0" borderId="1" xfId="0" applyNumberFormat="1" applyFont="1" applyBorder="1" applyAlignment="1">
      <alignment horizontal="right" vertical="center"/>
    </xf>
    <xf numFmtId="49" fontId="32" fillId="0" borderId="6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7" fontId="15" fillId="0" borderId="4" xfId="0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horizontal="left" vertical="center"/>
    </xf>
    <xf numFmtId="7" fontId="15" fillId="0" borderId="0" xfId="0" applyNumberFormat="1" applyFont="1" applyAlignment="1">
      <alignment horizontal="left" vertical="center"/>
    </xf>
    <xf numFmtId="49" fontId="33" fillId="0" borderId="0" xfId="0" applyNumberFormat="1" applyFont="1" applyAlignment="1">
      <alignment horizontal="left" vertical="center"/>
    </xf>
    <xf numFmtId="49" fontId="33" fillId="0" borderId="0" xfId="0" applyNumberFormat="1" applyFont="1" applyAlignment="1">
      <alignment horizontal="center" vertical="center"/>
    </xf>
    <xf numFmtId="177" fontId="3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7" fontId="23" fillId="0" borderId="0" xfId="0" applyNumberFormat="1" applyFont="1" applyAlignment="1">
      <alignment horizontal="left" vertical="center"/>
    </xf>
    <xf numFmtId="177" fontId="0" fillId="0" borderId="0" xfId="0" applyNumberFormat="1" applyAlignment="1">
      <alignment horizontal="left" vertical="center"/>
    </xf>
  </cellXfs>
  <cellStyles count="8">
    <cellStyle name="常规" xfId="0" builtinId="0"/>
    <cellStyle name="常规 10" xfId="4" xr:uid="{00000000-0005-0000-0000-000033000000}"/>
    <cellStyle name="常规 2" xfId="5" xr:uid="{00000000-0005-0000-0000-000034000000}"/>
    <cellStyle name="常规 2 2" xfId="3" xr:uid="{00000000-0005-0000-0000-000032000000}"/>
    <cellStyle name="常规 3" xfId="6" xr:uid="{00000000-0005-0000-0000-000035000000}"/>
    <cellStyle name="常规 3 2" xfId="2" xr:uid="{00000000-0005-0000-0000-000031000000}"/>
    <cellStyle name="常规 3 3" xfId="7" xr:uid="{9EA1CF18-82BA-45F5-8D0B-3FEE9F89C1A4}"/>
    <cellStyle name="千位分隔" xfId="1" builtinId="3"/>
  </cellStyles>
  <dxfs count="2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4"/>
  <sheetViews>
    <sheetView zoomScale="110" zoomScaleNormal="110" workbookViewId="0">
      <pane xSplit="5" ySplit="2" topLeftCell="AX19" activePane="bottomRight" state="frozen"/>
      <selection pane="topRight"/>
      <selection pane="bottomLeft"/>
      <selection pane="bottomRight" activeCell="BA33" sqref="BA33"/>
    </sheetView>
  </sheetViews>
  <sheetFormatPr defaultColWidth="9" defaultRowHeight="16.2" x14ac:dyDescent="0.25"/>
  <cols>
    <col min="1" max="1" width="5" style="4" customWidth="1"/>
    <col min="2" max="2" width="7.6640625" style="4" customWidth="1"/>
    <col min="3" max="3" width="8.77734375" style="4" customWidth="1"/>
    <col min="4" max="4" width="5.6640625" style="4" customWidth="1"/>
    <col min="5" max="5" width="16.77734375" style="4" customWidth="1"/>
    <col min="6" max="6" width="12" style="4" customWidth="1"/>
    <col min="7" max="7" width="10.5546875" style="4" customWidth="1"/>
    <col min="8" max="8" width="10.109375" style="4" customWidth="1"/>
    <col min="9" max="9" width="12.88671875" style="4" customWidth="1"/>
    <col min="10" max="10" width="9.5546875" style="4" customWidth="1"/>
    <col min="11" max="11" width="10.44140625" style="4" customWidth="1"/>
    <col min="12" max="12" width="9.109375" style="4" customWidth="1"/>
    <col min="13" max="13" width="11" style="4" customWidth="1"/>
    <col min="14" max="15" width="7.77734375" style="4" customWidth="1"/>
    <col min="16" max="16" width="7.88671875" style="4" customWidth="1"/>
    <col min="17" max="17" width="5.33203125" style="4" customWidth="1"/>
    <col min="18" max="18" width="9.109375" style="4" customWidth="1"/>
    <col min="19" max="19" width="8.44140625" style="4" customWidth="1"/>
    <col min="20" max="20" width="8" style="4" customWidth="1"/>
    <col min="21" max="21" width="9.21875" style="4" customWidth="1"/>
    <col min="22" max="22" width="7.109375" style="4" customWidth="1"/>
    <col min="23" max="23" width="8.6640625" style="4" customWidth="1"/>
    <col min="24" max="24" width="9.44140625" style="4" customWidth="1"/>
    <col min="25" max="25" width="8.109375" style="4" customWidth="1"/>
    <col min="26" max="26" width="9.44140625" style="4" customWidth="1"/>
    <col min="27" max="27" width="15" style="4" customWidth="1"/>
    <col min="28" max="28" width="10.44140625" style="4" customWidth="1"/>
    <col min="29" max="31" width="10.109375" style="4" customWidth="1"/>
    <col min="32" max="32" width="12.109375" style="4" customWidth="1"/>
    <col min="33" max="33" width="11.6640625" style="4" customWidth="1"/>
    <col min="34" max="34" width="14.77734375" style="4" customWidth="1"/>
    <col min="35" max="35" width="11.109375" style="4" customWidth="1"/>
    <col min="36" max="36" width="9.21875" style="4" customWidth="1"/>
    <col min="37" max="37" width="10.33203125" style="4" customWidth="1"/>
    <col min="38" max="38" width="16.77734375" style="4" customWidth="1"/>
    <col min="39" max="39" width="10.44140625" style="4" customWidth="1"/>
    <col min="40" max="40" width="12.109375" style="4" customWidth="1"/>
    <col min="41" max="41" width="9.5546875" style="4" customWidth="1"/>
    <col min="42" max="42" width="9.109375" style="4" customWidth="1"/>
    <col min="43" max="43" width="10" style="4" customWidth="1"/>
    <col min="44" max="44" width="9.77734375" style="4" customWidth="1"/>
    <col min="45" max="45" width="6.5546875" style="4" customWidth="1"/>
    <col min="46" max="46" width="8.88671875" style="4" customWidth="1"/>
    <col min="47" max="47" width="10.77734375" style="4" customWidth="1"/>
    <col min="48" max="48" width="14.44140625" style="4" customWidth="1"/>
    <col min="49" max="49" width="14.21875" style="4" customWidth="1"/>
    <col min="50" max="51" width="17.33203125" style="4" customWidth="1"/>
    <col min="52" max="52" width="12.21875" style="4" customWidth="1"/>
    <col min="53" max="53" width="24.5546875" style="4" customWidth="1"/>
    <col min="54" max="54" width="14.44140625" style="4" customWidth="1"/>
    <col min="55" max="55" width="19.21875" style="4" customWidth="1"/>
    <col min="56" max="56" width="16" style="4" customWidth="1"/>
    <col min="57" max="57" width="15.33203125" style="4" customWidth="1"/>
    <col min="58" max="16384" width="9" style="4"/>
  </cols>
  <sheetData>
    <row r="1" spans="1:58" s="1" customFormat="1" ht="26.1" customHeight="1" x14ac:dyDescent="0.3">
      <c r="A1" s="5" t="s">
        <v>0</v>
      </c>
      <c r="B1" s="6" t="s">
        <v>1</v>
      </c>
      <c r="C1" s="7" t="s">
        <v>2</v>
      </c>
      <c r="D1" s="7" t="s">
        <v>3</v>
      </c>
      <c r="E1" s="7" t="s">
        <v>178</v>
      </c>
      <c r="F1" s="5" t="s">
        <v>4</v>
      </c>
      <c r="G1" s="5" t="s">
        <v>5</v>
      </c>
      <c r="H1" s="5" t="s">
        <v>6</v>
      </c>
      <c r="I1" s="5" t="s">
        <v>7</v>
      </c>
      <c r="J1" s="15" t="s">
        <v>8</v>
      </c>
      <c r="K1" s="5" t="s">
        <v>9</v>
      </c>
      <c r="L1" s="5" t="s">
        <v>10</v>
      </c>
      <c r="M1" s="5" t="s">
        <v>11</v>
      </c>
      <c r="N1" s="43" t="s">
        <v>12</v>
      </c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5"/>
      <c r="AA1" s="19" t="s">
        <v>13</v>
      </c>
      <c r="AB1" s="15" t="s">
        <v>14</v>
      </c>
      <c r="AC1" s="15" t="s">
        <v>15</v>
      </c>
      <c r="AD1" s="15" t="s">
        <v>16</v>
      </c>
      <c r="AE1" s="15" t="s">
        <v>17</v>
      </c>
      <c r="AF1" s="15" t="s">
        <v>18</v>
      </c>
      <c r="AG1" s="15" t="s">
        <v>19</v>
      </c>
      <c r="AH1" s="19" t="s">
        <v>20</v>
      </c>
      <c r="AI1" s="15" t="s">
        <v>21</v>
      </c>
      <c r="AJ1" s="15" t="s">
        <v>22</v>
      </c>
      <c r="AK1" s="15" t="s">
        <v>23</v>
      </c>
      <c r="AL1" s="19" t="s">
        <v>24</v>
      </c>
      <c r="AM1" s="15" t="s">
        <v>25</v>
      </c>
      <c r="AN1" s="15" t="s">
        <v>26</v>
      </c>
      <c r="AO1" s="15" t="s">
        <v>27</v>
      </c>
      <c r="AP1" s="15" t="s">
        <v>28</v>
      </c>
      <c r="AQ1" s="15" t="s">
        <v>29</v>
      </c>
      <c r="AR1" s="15" t="s">
        <v>30</v>
      </c>
      <c r="AS1" s="15" t="s">
        <v>31</v>
      </c>
      <c r="AT1" s="15" t="s">
        <v>32</v>
      </c>
      <c r="AU1" s="15" t="s">
        <v>33</v>
      </c>
      <c r="AV1" s="19" t="s">
        <v>34</v>
      </c>
      <c r="AW1" s="19" t="s">
        <v>35</v>
      </c>
      <c r="AX1" s="26" t="s">
        <v>36</v>
      </c>
      <c r="AY1" s="26" t="s">
        <v>180</v>
      </c>
      <c r="AZ1" s="27" t="s">
        <v>37</v>
      </c>
      <c r="BA1" s="28" t="s">
        <v>38</v>
      </c>
      <c r="BB1" s="26" t="s">
        <v>39</v>
      </c>
      <c r="BC1" s="29" t="s">
        <v>40</v>
      </c>
      <c r="BD1" s="26" t="s">
        <v>41</v>
      </c>
      <c r="BE1" s="26" t="s">
        <v>42</v>
      </c>
    </row>
    <row r="2" spans="1:58" s="2" customFormat="1" ht="40.799999999999997" x14ac:dyDescent="0.25">
      <c r="A2" s="8" t="s">
        <v>43</v>
      </c>
      <c r="B2" s="9" t="s">
        <v>44</v>
      </c>
      <c r="C2" s="8" t="s">
        <v>45</v>
      </c>
      <c r="D2" s="8" t="s">
        <v>46</v>
      </c>
      <c r="E2" s="8" t="s">
        <v>47</v>
      </c>
      <c r="F2" s="8" t="s">
        <v>48</v>
      </c>
      <c r="G2" s="8" t="s">
        <v>49</v>
      </c>
      <c r="H2" s="8" t="s">
        <v>50</v>
      </c>
      <c r="I2" s="8" t="s">
        <v>51</v>
      </c>
      <c r="J2" s="16" t="s">
        <v>52</v>
      </c>
      <c r="K2" s="8" t="s">
        <v>53</v>
      </c>
      <c r="L2" s="8"/>
      <c r="M2" s="8" t="s">
        <v>54</v>
      </c>
      <c r="N2" s="8" t="s">
        <v>55</v>
      </c>
      <c r="O2" s="8" t="s">
        <v>56</v>
      </c>
      <c r="P2" s="8" t="s">
        <v>57</v>
      </c>
      <c r="Q2" s="8" t="s">
        <v>58</v>
      </c>
      <c r="R2" s="8" t="s">
        <v>59</v>
      </c>
      <c r="S2" s="8" t="s">
        <v>60</v>
      </c>
      <c r="T2" s="8" t="s">
        <v>61</v>
      </c>
      <c r="U2" s="8" t="s">
        <v>62</v>
      </c>
      <c r="V2" s="8" t="s">
        <v>179</v>
      </c>
      <c r="W2" s="8" t="s">
        <v>63</v>
      </c>
      <c r="X2" s="8" t="s">
        <v>64</v>
      </c>
      <c r="Y2" s="8" t="s">
        <v>65</v>
      </c>
      <c r="Z2" s="8" t="s">
        <v>66</v>
      </c>
      <c r="AA2" s="20" t="s">
        <v>67</v>
      </c>
      <c r="AB2" s="16" t="s">
        <v>68</v>
      </c>
      <c r="AC2" s="16" t="s">
        <v>69</v>
      </c>
      <c r="AD2" s="16" t="s">
        <v>70</v>
      </c>
      <c r="AE2" s="16" t="s">
        <v>71</v>
      </c>
      <c r="AF2" s="16" t="s">
        <v>72</v>
      </c>
      <c r="AG2" s="16" t="s">
        <v>73</v>
      </c>
      <c r="AH2" s="20" t="s">
        <v>74</v>
      </c>
      <c r="AI2" s="16" t="s">
        <v>75</v>
      </c>
      <c r="AJ2" s="16" t="s">
        <v>76</v>
      </c>
      <c r="AK2" s="16" t="s">
        <v>77</v>
      </c>
      <c r="AL2" s="20" t="s">
        <v>78</v>
      </c>
      <c r="AM2" s="16" t="s">
        <v>68</v>
      </c>
      <c r="AN2" s="16" t="s">
        <v>72</v>
      </c>
      <c r="AO2" s="16" t="s">
        <v>79</v>
      </c>
      <c r="AP2" s="16" t="s">
        <v>80</v>
      </c>
      <c r="AQ2" s="16" t="s">
        <v>81</v>
      </c>
      <c r="AR2" s="16" t="s">
        <v>82</v>
      </c>
      <c r="AS2" s="16" t="s">
        <v>83</v>
      </c>
      <c r="AT2" s="16" t="s">
        <v>84</v>
      </c>
      <c r="AU2" s="16" t="s">
        <v>85</v>
      </c>
      <c r="AV2" s="20" t="s">
        <v>86</v>
      </c>
      <c r="AW2" s="20" t="s">
        <v>87</v>
      </c>
      <c r="AX2" s="20" t="s">
        <v>88</v>
      </c>
      <c r="AY2" s="20"/>
      <c r="AZ2" s="30"/>
      <c r="BA2" s="31" t="s">
        <v>89</v>
      </c>
      <c r="BB2" s="26" t="s">
        <v>90</v>
      </c>
      <c r="BC2" s="29" t="s">
        <v>91</v>
      </c>
      <c r="BD2" s="26" t="s">
        <v>92</v>
      </c>
      <c r="BE2" s="26" t="s">
        <v>93</v>
      </c>
    </row>
    <row r="3" spans="1:58" s="3" customFormat="1" ht="15" customHeight="1" x14ac:dyDescent="0.25">
      <c r="A3" s="10">
        <f>ROW()-2</f>
        <v>1</v>
      </c>
      <c r="B3" s="11">
        <v>2412</v>
      </c>
      <c r="C3" s="11" t="s">
        <v>94</v>
      </c>
      <c r="D3" s="10" t="s">
        <v>95</v>
      </c>
      <c r="E3" s="12" t="s">
        <v>96</v>
      </c>
      <c r="F3" s="13">
        <v>45444</v>
      </c>
      <c r="G3" s="13">
        <v>45808</v>
      </c>
      <c r="H3" s="10"/>
      <c r="I3" s="17" t="s">
        <v>97</v>
      </c>
      <c r="J3" s="18">
        <v>1300</v>
      </c>
      <c r="K3" s="18">
        <v>4406.3999999999996</v>
      </c>
      <c r="L3" s="18">
        <v>5680</v>
      </c>
      <c r="M3" s="18">
        <v>1224</v>
      </c>
      <c r="N3" s="18"/>
      <c r="O3" s="18"/>
      <c r="P3" s="18">
        <v>0</v>
      </c>
      <c r="Q3" s="18"/>
      <c r="R3" s="18"/>
      <c r="S3" s="18">
        <v>630</v>
      </c>
      <c r="T3" s="18"/>
      <c r="U3" s="18"/>
      <c r="V3" s="18"/>
      <c r="W3" s="18"/>
      <c r="X3" s="18">
        <v>150</v>
      </c>
      <c r="Y3" s="18">
        <v>0</v>
      </c>
      <c r="Z3" s="18"/>
      <c r="AA3" s="21">
        <f>SUM(J3:Z3)</f>
        <v>13390.4</v>
      </c>
      <c r="AB3" s="22">
        <v>8707</v>
      </c>
      <c r="AC3" s="23">
        <v>696.56</v>
      </c>
      <c r="AD3" s="23">
        <v>174.14</v>
      </c>
      <c r="AE3" s="23">
        <v>43.54</v>
      </c>
      <c r="AF3" s="22">
        <v>8707</v>
      </c>
      <c r="AG3" s="22">
        <f t="shared" ref="AG3:AG20" si="0">ROUND(AF3*7%,0)</f>
        <v>609</v>
      </c>
      <c r="AH3" s="21">
        <f t="shared" ref="AH3:AH29" si="1">AC3+AD3+AE3+AG3</f>
        <v>1523.2399999999998</v>
      </c>
      <c r="AI3" s="25"/>
      <c r="AJ3" s="25"/>
      <c r="AK3" s="25"/>
      <c r="AL3" s="21">
        <f t="shared" ref="AL3:AL29" si="2">AA3-AH3-AI3</f>
        <v>11867.16</v>
      </c>
      <c r="AM3" s="22">
        <v>8707</v>
      </c>
      <c r="AN3" s="22">
        <v>8707</v>
      </c>
      <c r="AO3" s="22">
        <f t="shared" ref="AO3:AO20" si="3">ROUND(AM3*16%,2)</f>
        <v>1393.12</v>
      </c>
      <c r="AP3" s="22">
        <v>783.64</v>
      </c>
      <c r="AQ3" s="22">
        <f t="shared" ref="AQ3:AQ29" si="4">ROUND(AM3*0.5%,2)</f>
        <v>43.54</v>
      </c>
      <c r="AR3" s="22">
        <f t="shared" ref="AR3:AR29" si="5">ROUND(AM3*0.256%,2)</f>
        <v>22.29</v>
      </c>
      <c r="AS3" s="22"/>
      <c r="AT3" s="22">
        <f t="shared" ref="AT3:AT29" si="6">ROUND(AN3*7%,0)</f>
        <v>609</v>
      </c>
      <c r="AU3" s="22">
        <f t="shared" ref="AU3:AU29" si="7">ROUND(IF(AM3&lt;24366,AM3*1.5%,24366*1.5%),2)</f>
        <v>130.61000000000001</v>
      </c>
      <c r="AV3" s="21">
        <f t="shared" ref="AV3:AV29" si="8">SUM(AO3:AU3)</f>
        <v>2982.2</v>
      </c>
      <c r="AW3" s="21">
        <v>252</v>
      </c>
      <c r="AX3" s="21">
        <f>AV3+AA3+AJ3-AK3+AW3</f>
        <v>16624.599999999999</v>
      </c>
      <c r="AY3" s="21"/>
      <c r="AZ3" s="32"/>
      <c r="BA3" s="33"/>
      <c r="BB3" s="21">
        <v>255</v>
      </c>
      <c r="BC3" s="34">
        <f>ROUND(AX3+BB3+AZ3,2)</f>
        <v>16879.599999999999</v>
      </c>
      <c r="BD3" s="21">
        <f t="shared" ref="BD3:BD29" si="9">ROUND(BC3*6%,2)</f>
        <v>1012.78</v>
      </c>
      <c r="BE3" s="21">
        <f t="shared" ref="BE3:BE29" si="10">ROUND(SUM(BC3:BD3),2)</f>
        <v>17892.38</v>
      </c>
      <c r="BF3" s="35"/>
    </row>
    <row r="4" spans="1:58" s="3" customFormat="1" ht="15" customHeight="1" x14ac:dyDescent="0.25">
      <c r="A4" s="10">
        <f t="shared" ref="A4:A29" si="11">ROW()-2</f>
        <v>2</v>
      </c>
      <c r="B4" s="11">
        <v>2412</v>
      </c>
      <c r="C4" s="11" t="s">
        <v>98</v>
      </c>
      <c r="D4" s="10" t="s">
        <v>99</v>
      </c>
      <c r="E4" s="12" t="s">
        <v>100</v>
      </c>
      <c r="F4" s="13">
        <v>45444</v>
      </c>
      <c r="G4" s="13">
        <v>45808</v>
      </c>
      <c r="H4" s="10"/>
      <c r="I4" s="17" t="s">
        <v>97</v>
      </c>
      <c r="J4" s="18">
        <v>1030</v>
      </c>
      <c r="K4" s="18">
        <v>1117.2</v>
      </c>
      <c r="L4" s="18">
        <v>0</v>
      </c>
      <c r="M4" s="18">
        <v>673.32</v>
      </c>
      <c r="N4" s="18"/>
      <c r="O4" s="18"/>
      <c r="P4" s="18">
        <v>0</v>
      </c>
      <c r="Q4" s="18"/>
      <c r="R4" s="18"/>
      <c r="S4" s="18">
        <v>630</v>
      </c>
      <c r="T4" s="18"/>
      <c r="U4" s="18"/>
      <c r="V4" s="18"/>
      <c r="W4" s="18"/>
      <c r="X4" s="18">
        <v>150</v>
      </c>
      <c r="Y4" s="18">
        <v>1424.72</v>
      </c>
      <c r="Z4" s="18"/>
      <c r="AA4" s="21">
        <f t="shared" ref="AA4:AA29" si="12">SUM(J4:Z4)</f>
        <v>5025.24</v>
      </c>
      <c r="AB4" s="22">
        <v>8888</v>
      </c>
      <c r="AC4" s="23">
        <v>711.04</v>
      </c>
      <c r="AD4" s="23">
        <v>177.76</v>
      </c>
      <c r="AE4" s="23">
        <v>44.44</v>
      </c>
      <c r="AF4" s="22">
        <v>8888</v>
      </c>
      <c r="AG4" s="22">
        <f t="shared" si="0"/>
        <v>622</v>
      </c>
      <c r="AH4" s="21">
        <f t="shared" si="1"/>
        <v>1555.24</v>
      </c>
      <c r="AI4" s="25"/>
      <c r="AJ4" s="25"/>
      <c r="AK4" s="25"/>
      <c r="AL4" s="21">
        <f t="shared" si="2"/>
        <v>3470</v>
      </c>
      <c r="AM4" s="22">
        <v>8888</v>
      </c>
      <c r="AN4" s="22">
        <v>8888</v>
      </c>
      <c r="AO4" s="22">
        <f t="shared" si="3"/>
        <v>1422.08</v>
      </c>
      <c r="AP4" s="22">
        <f t="shared" ref="AP4:AP29" si="13">ROUND(AM4*9%,2)</f>
        <v>799.92</v>
      </c>
      <c r="AQ4" s="22">
        <f t="shared" si="4"/>
        <v>44.44</v>
      </c>
      <c r="AR4" s="22">
        <f t="shared" si="5"/>
        <v>22.75</v>
      </c>
      <c r="AS4" s="22"/>
      <c r="AT4" s="22">
        <f t="shared" si="6"/>
        <v>622</v>
      </c>
      <c r="AU4" s="22">
        <f t="shared" si="7"/>
        <v>133.32</v>
      </c>
      <c r="AV4" s="21">
        <f t="shared" si="8"/>
        <v>3044.51</v>
      </c>
      <c r="AW4" s="21">
        <v>85</v>
      </c>
      <c r="AX4" s="21">
        <f>AV4+AA4+AJ4-AK4+AW4</f>
        <v>8154.75</v>
      </c>
      <c r="AY4" s="21"/>
      <c r="AZ4" s="32"/>
      <c r="BA4" s="33"/>
      <c r="BB4" s="21">
        <v>255</v>
      </c>
      <c r="BC4" s="34">
        <f t="shared" ref="BC4:BC29" si="14">ROUND(AX4+BB4+AZ4,2)</f>
        <v>8409.75</v>
      </c>
      <c r="BD4" s="21">
        <f t="shared" si="9"/>
        <v>504.59</v>
      </c>
      <c r="BE4" s="21">
        <f t="shared" si="10"/>
        <v>8914.34</v>
      </c>
      <c r="BF4" s="35"/>
    </row>
    <row r="5" spans="1:58" s="3" customFormat="1" ht="15" customHeight="1" x14ac:dyDescent="0.25">
      <c r="A5" s="10">
        <f t="shared" si="11"/>
        <v>3</v>
      </c>
      <c r="B5" s="11">
        <v>2412</v>
      </c>
      <c r="C5" s="11" t="s">
        <v>101</v>
      </c>
      <c r="D5" s="10" t="s">
        <v>102</v>
      </c>
      <c r="E5" s="12" t="s">
        <v>103</v>
      </c>
      <c r="F5" s="13">
        <v>45444</v>
      </c>
      <c r="G5" s="13">
        <v>45808</v>
      </c>
      <c r="H5" s="10"/>
      <c r="I5" s="17" t="s">
        <v>97</v>
      </c>
      <c r="J5" s="18">
        <v>1030</v>
      </c>
      <c r="K5" s="18">
        <v>3084.48</v>
      </c>
      <c r="L5" s="18">
        <v>5476</v>
      </c>
      <c r="M5" s="18">
        <v>765.54</v>
      </c>
      <c r="N5" s="18"/>
      <c r="O5" s="18"/>
      <c r="P5" s="18">
        <v>0</v>
      </c>
      <c r="Q5" s="18"/>
      <c r="R5" s="18"/>
      <c r="S5" s="18">
        <v>630</v>
      </c>
      <c r="T5" s="18"/>
      <c r="U5" s="18"/>
      <c r="V5" s="18"/>
      <c r="W5" s="18"/>
      <c r="X5" s="18">
        <v>150</v>
      </c>
      <c r="Y5" s="18">
        <v>0</v>
      </c>
      <c r="Z5" s="18"/>
      <c r="AA5" s="21">
        <f t="shared" si="12"/>
        <v>11136.02</v>
      </c>
      <c r="AB5" s="22">
        <v>9226</v>
      </c>
      <c r="AC5" s="23">
        <v>738.08</v>
      </c>
      <c r="AD5" s="23">
        <v>184.52</v>
      </c>
      <c r="AE5" s="23">
        <v>46.13</v>
      </c>
      <c r="AF5" s="22">
        <v>9226</v>
      </c>
      <c r="AG5" s="22">
        <f t="shared" si="0"/>
        <v>646</v>
      </c>
      <c r="AH5" s="21">
        <f t="shared" si="1"/>
        <v>1614.73</v>
      </c>
      <c r="AI5" s="25"/>
      <c r="AJ5" s="25"/>
      <c r="AK5" s="25"/>
      <c r="AL5" s="21">
        <f t="shared" si="2"/>
        <v>9521.2900000000009</v>
      </c>
      <c r="AM5" s="22">
        <v>9226</v>
      </c>
      <c r="AN5" s="22">
        <v>9226</v>
      </c>
      <c r="AO5" s="22">
        <f t="shared" si="3"/>
        <v>1476.16</v>
      </c>
      <c r="AP5" s="22">
        <f t="shared" si="13"/>
        <v>830.34</v>
      </c>
      <c r="AQ5" s="22">
        <f t="shared" si="4"/>
        <v>46.13</v>
      </c>
      <c r="AR5" s="22">
        <f t="shared" si="5"/>
        <v>23.62</v>
      </c>
      <c r="AS5" s="22"/>
      <c r="AT5" s="22">
        <f t="shared" si="6"/>
        <v>646</v>
      </c>
      <c r="AU5" s="22">
        <f t="shared" si="7"/>
        <v>138.38999999999999</v>
      </c>
      <c r="AV5" s="21">
        <f t="shared" si="8"/>
        <v>3160.64</v>
      </c>
      <c r="AW5" s="21">
        <v>207</v>
      </c>
      <c r="AX5" s="21">
        <f t="shared" ref="AX5:AX29" si="15">AV5+AA5+AJ5-AK5+AW5</f>
        <v>14503.66</v>
      </c>
      <c r="AY5" s="21"/>
      <c r="AZ5" s="32"/>
      <c r="BA5" s="33"/>
      <c r="BB5" s="21">
        <v>255</v>
      </c>
      <c r="BC5" s="34">
        <f t="shared" si="14"/>
        <v>14758.66</v>
      </c>
      <c r="BD5" s="21">
        <f t="shared" si="9"/>
        <v>885.52</v>
      </c>
      <c r="BE5" s="21">
        <f t="shared" si="10"/>
        <v>15644.18</v>
      </c>
      <c r="BF5" s="35"/>
    </row>
    <row r="6" spans="1:58" s="3" customFormat="1" ht="15" customHeight="1" x14ac:dyDescent="0.25">
      <c r="A6" s="10">
        <f t="shared" si="11"/>
        <v>4</v>
      </c>
      <c r="B6" s="11">
        <v>2412</v>
      </c>
      <c r="C6" s="11" t="s">
        <v>104</v>
      </c>
      <c r="D6" s="10" t="s">
        <v>105</v>
      </c>
      <c r="E6" s="12" t="s">
        <v>106</v>
      </c>
      <c r="F6" s="13">
        <v>45444</v>
      </c>
      <c r="G6" s="13">
        <v>45808</v>
      </c>
      <c r="H6" s="10"/>
      <c r="I6" s="17" t="s">
        <v>97</v>
      </c>
      <c r="J6" s="18">
        <v>1030</v>
      </c>
      <c r="K6" s="18">
        <v>3190.2</v>
      </c>
      <c r="L6" s="18">
        <v>6170</v>
      </c>
      <c r="M6" s="18">
        <v>2240.64</v>
      </c>
      <c r="N6" s="18"/>
      <c r="O6" s="18"/>
      <c r="P6" s="18">
        <v>0</v>
      </c>
      <c r="Q6" s="18"/>
      <c r="R6" s="18"/>
      <c r="S6" s="18">
        <v>630</v>
      </c>
      <c r="T6" s="18"/>
      <c r="U6" s="18"/>
      <c r="V6" s="18"/>
      <c r="W6" s="18"/>
      <c r="X6" s="18">
        <v>150</v>
      </c>
      <c r="Y6" s="18">
        <v>0</v>
      </c>
      <c r="Z6" s="18"/>
      <c r="AA6" s="21">
        <f t="shared" si="12"/>
        <v>13410.84</v>
      </c>
      <c r="AB6" s="22">
        <v>10979</v>
      </c>
      <c r="AC6" s="23">
        <v>878.32</v>
      </c>
      <c r="AD6" s="23">
        <v>219.58</v>
      </c>
      <c r="AE6" s="23">
        <v>54.9</v>
      </c>
      <c r="AF6" s="22">
        <v>10979</v>
      </c>
      <c r="AG6" s="22">
        <f t="shared" si="0"/>
        <v>769</v>
      </c>
      <c r="AH6" s="21">
        <f t="shared" si="1"/>
        <v>1921.8000000000002</v>
      </c>
      <c r="AI6" s="25"/>
      <c r="AJ6" s="25"/>
      <c r="AK6" s="25"/>
      <c r="AL6" s="21">
        <f t="shared" si="2"/>
        <v>11489.04</v>
      </c>
      <c r="AM6" s="22">
        <v>10979</v>
      </c>
      <c r="AN6" s="22">
        <v>10979</v>
      </c>
      <c r="AO6" s="22">
        <f t="shared" si="3"/>
        <v>1756.64</v>
      </c>
      <c r="AP6" s="22">
        <v>988.12</v>
      </c>
      <c r="AQ6" s="22">
        <f t="shared" si="4"/>
        <v>54.9</v>
      </c>
      <c r="AR6" s="22">
        <f t="shared" si="5"/>
        <v>28.11</v>
      </c>
      <c r="AS6" s="22"/>
      <c r="AT6" s="22">
        <f t="shared" si="6"/>
        <v>769</v>
      </c>
      <c r="AU6" s="22">
        <f t="shared" si="7"/>
        <v>164.69</v>
      </c>
      <c r="AV6" s="21">
        <f t="shared" si="8"/>
        <v>3761.4600000000005</v>
      </c>
      <c r="AW6" s="21">
        <v>253</v>
      </c>
      <c r="AX6" s="21">
        <f t="shared" si="15"/>
        <v>17425.3</v>
      </c>
      <c r="AY6" s="21"/>
      <c r="AZ6" s="32"/>
      <c r="BA6" s="33"/>
      <c r="BB6" s="21">
        <v>255</v>
      </c>
      <c r="BC6" s="34">
        <f t="shared" si="14"/>
        <v>17680.3</v>
      </c>
      <c r="BD6" s="21">
        <f t="shared" si="9"/>
        <v>1060.82</v>
      </c>
      <c r="BE6" s="21">
        <f t="shared" si="10"/>
        <v>18741.12</v>
      </c>
      <c r="BF6" s="35"/>
    </row>
    <row r="7" spans="1:58" s="3" customFormat="1" ht="15" customHeight="1" x14ac:dyDescent="0.25">
      <c r="A7" s="10">
        <f t="shared" si="11"/>
        <v>5</v>
      </c>
      <c r="B7" s="11">
        <v>2412</v>
      </c>
      <c r="C7" s="11" t="s">
        <v>107</v>
      </c>
      <c r="D7" s="10" t="s">
        <v>108</v>
      </c>
      <c r="E7" s="12" t="s">
        <v>109</v>
      </c>
      <c r="F7" s="13">
        <v>45444</v>
      </c>
      <c r="G7" s="13">
        <v>45808</v>
      </c>
      <c r="H7" s="10"/>
      <c r="I7" s="17" t="s">
        <v>97</v>
      </c>
      <c r="J7" s="18">
        <v>1030</v>
      </c>
      <c r="K7" s="18">
        <v>3322.8</v>
      </c>
      <c r="L7" s="18">
        <v>15000</v>
      </c>
      <c r="M7" s="18">
        <v>3030.75</v>
      </c>
      <c r="N7" s="18"/>
      <c r="O7" s="18"/>
      <c r="P7" s="18">
        <v>0</v>
      </c>
      <c r="Q7" s="18"/>
      <c r="R7" s="18"/>
      <c r="S7" s="18">
        <v>630</v>
      </c>
      <c r="T7" s="18"/>
      <c r="U7" s="18"/>
      <c r="V7" s="18"/>
      <c r="W7" s="18"/>
      <c r="X7" s="18">
        <v>150</v>
      </c>
      <c r="Y7" s="18">
        <v>0</v>
      </c>
      <c r="Z7" s="18"/>
      <c r="AA7" s="21">
        <f t="shared" si="12"/>
        <v>23163.55</v>
      </c>
      <c r="AB7" s="22">
        <v>16443</v>
      </c>
      <c r="AC7" s="23">
        <v>1315.44</v>
      </c>
      <c r="AD7" s="23">
        <v>328.86</v>
      </c>
      <c r="AE7" s="23">
        <v>82.22</v>
      </c>
      <c r="AF7" s="22">
        <v>16443</v>
      </c>
      <c r="AG7" s="22">
        <f t="shared" si="0"/>
        <v>1151</v>
      </c>
      <c r="AH7" s="21">
        <f t="shared" si="1"/>
        <v>2877.5200000000004</v>
      </c>
      <c r="AI7" s="25"/>
      <c r="AJ7" s="25"/>
      <c r="AK7" s="25"/>
      <c r="AL7" s="21">
        <f t="shared" si="2"/>
        <v>20286.03</v>
      </c>
      <c r="AM7" s="22">
        <v>16443</v>
      </c>
      <c r="AN7" s="22">
        <v>16443</v>
      </c>
      <c r="AO7" s="22">
        <f t="shared" si="3"/>
        <v>2630.88</v>
      </c>
      <c r="AP7" s="22">
        <v>1479.88</v>
      </c>
      <c r="AQ7" s="22">
        <f t="shared" si="4"/>
        <v>82.22</v>
      </c>
      <c r="AR7" s="22">
        <f t="shared" si="5"/>
        <v>42.09</v>
      </c>
      <c r="AS7" s="22"/>
      <c r="AT7" s="22">
        <f t="shared" si="6"/>
        <v>1151</v>
      </c>
      <c r="AU7" s="22">
        <f t="shared" si="7"/>
        <v>246.65</v>
      </c>
      <c r="AV7" s="21">
        <f t="shared" si="8"/>
        <v>5632.72</v>
      </c>
      <c r="AW7" s="21">
        <v>448</v>
      </c>
      <c r="AX7" s="21">
        <f t="shared" si="15"/>
        <v>29244.27</v>
      </c>
      <c r="AY7" s="21"/>
      <c r="AZ7" s="32"/>
      <c r="BA7" s="33"/>
      <c r="BB7" s="21">
        <v>255</v>
      </c>
      <c r="BC7" s="34">
        <f t="shared" si="14"/>
        <v>29499.27</v>
      </c>
      <c r="BD7" s="21">
        <f t="shared" si="9"/>
        <v>1769.96</v>
      </c>
      <c r="BE7" s="21">
        <f t="shared" si="10"/>
        <v>31269.23</v>
      </c>
      <c r="BF7" s="35"/>
    </row>
    <row r="8" spans="1:58" s="3" customFormat="1" ht="15" customHeight="1" x14ac:dyDescent="0.25">
      <c r="A8" s="10">
        <f t="shared" si="11"/>
        <v>6</v>
      </c>
      <c r="B8" s="11">
        <v>2412</v>
      </c>
      <c r="C8" s="11" t="s">
        <v>110</v>
      </c>
      <c r="D8" s="10" t="s">
        <v>111</v>
      </c>
      <c r="E8" s="12" t="s">
        <v>112</v>
      </c>
      <c r="F8" s="13">
        <v>45444</v>
      </c>
      <c r="G8" s="13">
        <v>45808</v>
      </c>
      <c r="H8" s="10"/>
      <c r="I8" s="17" t="s">
        <v>97</v>
      </c>
      <c r="J8" s="18">
        <v>1030</v>
      </c>
      <c r="K8" s="18">
        <v>3151.2</v>
      </c>
      <c r="L8" s="18">
        <v>10252</v>
      </c>
      <c r="M8" s="18">
        <v>1862.16</v>
      </c>
      <c r="N8" s="18"/>
      <c r="O8" s="18"/>
      <c r="P8" s="18">
        <v>0</v>
      </c>
      <c r="Q8" s="18"/>
      <c r="R8" s="18"/>
      <c r="S8" s="18">
        <v>630</v>
      </c>
      <c r="T8" s="18"/>
      <c r="U8" s="18"/>
      <c r="V8" s="18"/>
      <c r="W8" s="18"/>
      <c r="X8" s="18">
        <v>150</v>
      </c>
      <c r="Y8" s="18">
        <v>0</v>
      </c>
      <c r="Z8" s="18"/>
      <c r="AA8" s="21">
        <f t="shared" si="12"/>
        <v>17075.36</v>
      </c>
      <c r="AB8" s="22">
        <v>8261</v>
      </c>
      <c r="AC8" s="23">
        <v>660.88</v>
      </c>
      <c r="AD8" s="23">
        <v>165.22</v>
      </c>
      <c r="AE8" s="23">
        <v>41.31</v>
      </c>
      <c r="AF8" s="22">
        <v>8261</v>
      </c>
      <c r="AG8" s="22">
        <f t="shared" si="0"/>
        <v>578</v>
      </c>
      <c r="AH8" s="21">
        <f t="shared" si="1"/>
        <v>1445.41</v>
      </c>
      <c r="AI8" s="25"/>
      <c r="AJ8" s="25"/>
      <c r="AK8" s="25"/>
      <c r="AL8" s="21">
        <f t="shared" si="2"/>
        <v>15629.95</v>
      </c>
      <c r="AM8" s="22">
        <v>8261</v>
      </c>
      <c r="AN8" s="22">
        <v>8261</v>
      </c>
      <c r="AO8" s="22">
        <f t="shared" si="3"/>
        <v>1321.76</v>
      </c>
      <c r="AP8" s="22">
        <v>743.5</v>
      </c>
      <c r="AQ8" s="22">
        <f t="shared" si="4"/>
        <v>41.31</v>
      </c>
      <c r="AR8" s="22">
        <f t="shared" si="5"/>
        <v>21.15</v>
      </c>
      <c r="AS8" s="22"/>
      <c r="AT8" s="22">
        <f t="shared" si="6"/>
        <v>578</v>
      </c>
      <c r="AU8" s="22">
        <f t="shared" si="7"/>
        <v>123.92</v>
      </c>
      <c r="AV8" s="21">
        <f t="shared" si="8"/>
        <v>2829.6400000000003</v>
      </c>
      <c r="AW8" s="21">
        <v>326</v>
      </c>
      <c r="AX8" s="21">
        <f t="shared" si="15"/>
        <v>20231</v>
      </c>
      <c r="AY8" s="21"/>
      <c r="AZ8" s="32"/>
      <c r="BA8" s="33"/>
      <c r="BB8" s="21">
        <v>255</v>
      </c>
      <c r="BC8" s="34">
        <f t="shared" si="14"/>
        <v>20486</v>
      </c>
      <c r="BD8" s="21">
        <f t="shared" si="9"/>
        <v>1229.1600000000001</v>
      </c>
      <c r="BE8" s="21">
        <f t="shared" si="10"/>
        <v>21715.16</v>
      </c>
      <c r="BF8" s="35"/>
    </row>
    <row r="9" spans="1:58" s="3" customFormat="1" ht="15" customHeight="1" x14ac:dyDescent="0.25">
      <c r="A9" s="10">
        <f t="shared" si="11"/>
        <v>7</v>
      </c>
      <c r="B9" s="11">
        <v>2412</v>
      </c>
      <c r="C9" s="11" t="s">
        <v>113</v>
      </c>
      <c r="D9" s="10" t="s">
        <v>114</v>
      </c>
      <c r="E9" s="12" t="s">
        <v>115</v>
      </c>
      <c r="F9" s="13">
        <v>45444</v>
      </c>
      <c r="G9" s="13">
        <v>45808</v>
      </c>
      <c r="H9" s="10"/>
      <c r="I9" s="17" t="s">
        <v>97</v>
      </c>
      <c r="J9" s="18">
        <v>1030</v>
      </c>
      <c r="K9" s="18">
        <v>1428</v>
      </c>
      <c r="L9" s="18">
        <v>3901</v>
      </c>
      <c r="M9" s="18">
        <v>541.74</v>
      </c>
      <c r="N9" s="18"/>
      <c r="O9" s="18"/>
      <c r="P9" s="18">
        <v>0</v>
      </c>
      <c r="Q9" s="18"/>
      <c r="R9" s="18"/>
      <c r="S9" s="18">
        <v>630</v>
      </c>
      <c r="T9" s="18"/>
      <c r="U9" s="18"/>
      <c r="V9" s="18"/>
      <c r="W9" s="18"/>
      <c r="X9" s="18">
        <v>150</v>
      </c>
      <c r="Y9" s="18">
        <v>0</v>
      </c>
      <c r="Z9" s="18"/>
      <c r="AA9" s="21">
        <f t="shared" si="12"/>
        <v>7680.74</v>
      </c>
      <c r="AB9" s="22">
        <v>7384</v>
      </c>
      <c r="AC9" s="23">
        <v>590.72</v>
      </c>
      <c r="AD9" s="23">
        <v>147.68</v>
      </c>
      <c r="AE9" s="23">
        <v>36.92</v>
      </c>
      <c r="AF9" s="22">
        <v>4686</v>
      </c>
      <c r="AG9" s="22">
        <f t="shared" si="0"/>
        <v>328</v>
      </c>
      <c r="AH9" s="21">
        <f t="shared" si="1"/>
        <v>1103.3200000000002</v>
      </c>
      <c r="AI9" s="25"/>
      <c r="AJ9" s="25"/>
      <c r="AK9" s="25"/>
      <c r="AL9" s="21">
        <f t="shared" si="2"/>
        <v>6577.42</v>
      </c>
      <c r="AM9" s="22">
        <v>7384</v>
      </c>
      <c r="AN9" s="22">
        <v>4686</v>
      </c>
      <c r="AO9" s="22">
        <f t="shared" si="3"/>
        <v>1181.44</v>
      </c>
      <c r="AP9" s="22">
        <f t="shared" si="13"/>
        <v>664.56</v>
      </c>
      <c r="AQ9" s="22">
        <f t="shared" si="4"/>
        <v>36.92</v>
      </c>
      <c r="AR9" s="22">
        <f t="shared" si="5"/>
        <v>18.899999999999999</v>
      </c>
      <c r="AS9" s="22"/>
      <c r="AT9" s="22">
        <f t="shared" si="6"/>
        <v>328</v>
      </c>
      <c r="AU9" s="22">
        <f t="shared" si="7"/>
        <v>110.76</v>
      </c>
      <c r="AV9" s="21">
        <f t="shared" si="8"/>
        <v>2340.5800000000004</v>
      </c>
      <c r="AW9" s="21">
        <v>138</v>
      </c>
      <c r="AX9" s="21">
        <f t="shared" si="15"/>
        <v>10159.32</v>
      </c>
      <c r="AY9" s="21"/>
      <c r="AZ9" s="32"/>
      <c r="BA9" s="36"/>
      <c r="BB9" s="21">
        <v>255</v>
      </c>
      <c r="BC9" s="34">
        <f t="shared" si="14"/>
        <v>10414.32</v>
      </c>
      <c r="BD9" s="21">
        <f t="shared" si="9"/>
        <v>624.86</v>
      </c>
      <c r="BE9" s="21">
        <f t="shared" si="10"/>
        <v>11039.18</v>
      </c>
      <c r="BF9" s="35"/>
    </row>
    <row r="10" spans="1:58" s="3" customFormat="1" ht="15" customHeight="1" x14ac:dyDescent="0.25">
      <c r="A10" s="10">
        <f t="shared" si="11"/>
        <v>8</v>
      </c>
      <c r="B10" s="11">
        <v>2412</v>
      </c>
      <c r="C10" s="11" t="s">
        <v>116</v>
      </c>
      <c r="D10" s="10" t="s">
        <v>117</v>
      </c>
      <c r="E10" s="12" t="s">
        <v>118</v>
      </c>
      <c r="F10" s="13">
        <v>45444</v>
      </c>
      <c r="G10" s="13">
        <v>45808</v>
      </c>
      <c r="H10" s="10"/>
      <c r="I10" s="17" t="s">
        <v>97</v>
      </c>
      <c r="J10" s="18">
        <v>1300</v>
      </c>
      <c r="K10" s="18">
        <v>2834.48</v>
      </c>
      <c r="L10" s="18">
        <v>0</v>
      </c>
      <c r="M10" s="18">
        <v>204.9</v>
      </c>
      <c r="N10" s="18"/>
      <c r="O10" s="18"/>
      <c r="P10" s="18">
        <v>0</v>
      </c>
      <c r="Q10" s="18"/>
      <c r="R10" s="18"/>
      <c r="S10" s="18">
        <v>630</v>
      </c>
      <c r="T10" s="18"/>
      <c r="U10" s="18"/>
      <c r="V10" s="18"/>
      <c r="W10" s="18"/>
      <c r="X10" s="18">
        <v>150</v>
      </c>
      <c r="Y10" s="18">
        <v>0.14000000000000001</v>
      </c>
      <c r="Z10" s="18"/>
      <c r="AA10" s="21">
        <f t="shared" si="12"/>
        <v>5119.5199999999995</v>
      </c>
      <c r="AB10" s="22">
        <v>9424</v>
      </c>
      <c r="AC10" s="23">
        <v>753.92</v>
      </c>
      <c r="AD10" s="23">
        <v>188.48</v>
      </c>
      <c r="AE10" s="23">
        <v>47.12</v>
      </c>
      <c r="AF10" s="22">
        <v>9424</v>
      </c>
      <c r="AG10" s="22">
        <f t="shared" si="0"/>
        <v>660</v>
      </c>
      <c r="AH10" s="21">
        <f t="shared" si="1"/>
        <v>1649.52</v>
      </c>
      <c r="AI10" s="25"/>
      <c r="AJ10" s="25"/>
      <c r="AK10" s="25"/>
      <c r="AL10" s="21">
        <f t="shared" si="2"/>
        <v>3469.9999999999995</v>
      </c>
      <c r="AM10" s="22">
        <v>9424</v>
      </c>
      <c r="AN10" s="22">
        <v>9424</v>
      </c>
      <c r="AO10" s="22">
        <f t="shared" si="3"/>
        <v>1507.84</v>
      </c>
      <c r="AP10" s="22">
        <f t="shared" si="13"/>
        <v>848.16</v>
      </c>
      <c r="AQ10" s="22">
        <f t="shared" si="4"/>
        <v>47.12</v>
      </c>
      <c r="AR10" s="22">
        <f t="shared" si="5"/>
        <v>24.13</v>
      </c>
      <c r="AS10" s="22"/>
      <c r="AT10" s="22">
        <f t="shared" si="6"/>
        <v>660</v>
      </c>
      <c r="AU10" s="22">
        <f t="shared" si="7"/>
        <v>141.36000000000001</v>
      </c>
      <c r="AV10" s="21">
        <f t="shared" si="8"/>
        <v>3228.61</v>
      </c>
      <c r="AW10" s="21">
        <v>87</v>
      </c>
      <c r="AX10" s="21">
        <f t="shared" si="15"/>
        <v>8435.1299999999992</v>
      </c>
      <c r="AY10" s="21"/>
      <c r="AZ10" s="32"/>
      <c r="BA10" s="36"/>
      <c r="BB10" s="21">
        <v>255</v>
      </c>
      <c r="BC10" s="34">
        <f t="shared" si="14"/>
        <v>8690.1299999999992</v>
      </c>
      <c r="BD10" s="21">
        <f t="shared" si="9"/>
        <v>521.41</v>
      </c>
      <c r="BE10" s="21">
        <f t="shared" si="10"/>
        <v>9211.5400000000009</v>
      </c>
      <c r="BF10" s="35"/>
    </row>
    <row r="11" spans="1:58" s="3" customFormat="1" ht="15" customHeight="1" x14ac:dyDescent="0.25">
      <c r="A11" s="10">
        <f t="shared" si="11"/>
        <v>9</v>
      </c>
      <c r="B11" s="11">
        <v>2412</v>
      </c>
      <c r="C11" s="11" t="s">
        <v>119</v>
      </c>
      <c r="D11" s="10" t="s">
        <v>120</v>
      </c>
      <c r="E11" s="12" t="s">
        <v>121</v>
      </c>
      <c r="F11" s="13">
        <v>45444</v>
      </c>
      <c r="G11" s="13">
        <v>45808</v>
      </c>
      <c r="H11" s="10"/>
      <c r="I11" s="17" t="s">
        <v>97</v>
      </c>
      <c r="J11" s="18">
        <v>1300</v>
      </c>
      <c r="K11" s="18">
        <v>4956</v>
      </c>
      <c r="L11" s="18">
        <v>12055</v>
      </c>
      <c r="M11" s="18">
        <v>698.88</v>
      </c>
      <c r="N11" s="18"/>
      <c r="O11" s="18"/>
      <c r="P11" s="18">
        <v>0</v>
      </c>
      <c r="Q11" s="18"/>
      <c r="R11" s="18"/>
      <c r="S11" s="18">
        <v>630</v>
      </c>
      <c r="T11" s="18"/>
      <c r="U11" s="18"/>
      <c r="V11" s="18"/>
      <c r="W11" s="18"/>
      <c r="X11" s="18">
        <v>150</v>
      </c>
      <c r="Y11" s="18">
        <v>0</v>
      </c>
      <c r="Z11" s="18"/>
      <c r="AA11" s="21">
        <f t="shared" si="12"/>
        <v>19789.88</v>
      </c>
      <c r="AB11" s="22">
        <v>10475</v>
      </c>
      <c r="AC11" s="23">
        <v>838</v>
      </c>
      <c r="AD11" s="23">
        <v>209.5</v>
      </c>
      <c r="AE11" s="23">
        <v>52.38</v>
      </c>
      <c r="AF11" s="22">
        <v>10475</v>
      </c>
      <c r="AG11" s="22">
        <f t="shared" si="0"/>
        <v>733</v>
      </c>
      <c r="AH11" s="21">
        <f t="shared" si="1"/>
        <v>1832.88</v>
      </c>
      <c r="AI11" s="25"/>
      <c r="AJ11" s="25"/>
      <c r="AK11" s="25"/>
      <c r="AL11" s="21">
        <f t="shared" si="2"/>
        <v>17957</v>
      </c>
      <c r="AM11" s="22">
        <v>10475</v>
      </c>
      <c r="AN11" s="22">
        <v>10475</v>
      </c>
      <c r="AO11" s="22">
        <f t="shared" si="3"/>
        <v>1676</v>
      </c>
      <c r="AP11" s="22">
        <v>942.76</v>
      </c>
      <c r="AQ11" s="22">
        <f t="shared" si="4"/>
        <v>52.38</v>
      </c>
      <c r="AR11" s="22">
        <f t="shared" si="5"/>
        <v>26.82</v>
      </c>
      <c r="AS11" s="22"/>
      <c r="AT11" s="22">
        <f t="shared" si="6"/>
        <v>733</v>
      </c>
      <c r="AU11" s="22">
        <f t="shared" si="7"/>
        <v>157.13</v>
      </c>
      <c r="AV11" s="21">
        <f t="shared" si="8"/>
        <v>3588.0900000000006</v>
      </c>
      <c r="AW11" s="21">
        <v>380</v>
      </c>
      <c r="AX11" s="21">
        <f t="shared" si="15"/>
        <v>23757.97</v>
      </c>
      <c r="AY11" s="21"/>
      <c r="AZ11" s="32"/>
      <c r="BA11" s="36"/>
      <c r="BB11" s="21">
        <v>255</v>
      </c>
      <c r="BC11" s="34">
        <f t="shared" si="14"/>
        <v>24012.97</v>
      </c>
      <c r="BD11" s="21">
        <f t="shared" si="9"/>
        <v>1440.78</v>
      </c>
      <c r="BE11" s="21">
        <f t="shared" si="10"/>
        <v>25453.75</v>
      </c>
      <c r="BF11" s="35"/>
    </row>
    <row r="12" spans="1:58" s="3" customFormat="1" ht="15" customHeight="1" x14ac:dyDescent="0.25">
      <c r="A12" s="10">
        <f t="shared" si="11"/>
        <v>10</v>
      </c>
      <c r="B12" s="11">
        <v>2412</v>
      </c>
      <c r="C12" s="11" t="s">
        <v>122</v>
      </c>
      <c r="D12" s="10" t="s">
        <v>123</v>
      </c>
      <c r="E12" s="12" t="s">
        <v>124</v>
      </c>
      <c r="F12" s="13">
        <v>45444</v>
      </c>
      <c r="G12" s="13">
        <v>45808</v>
      </c>
      <c r="H12" s="10"/>
      <c r="I12" s="17" t="s">
        <v>97</v>
      </c>
      <c r="J12" s="18">
        <v>1030</v>
      </c>
      <c r="K12" s="18">
        <v>2130</v>
      </c>
      <c r="L12" s="18">
        <v>9480</v>
      </c>
      <c r="M12" s="18">
        <v>2105.9699999999998</v>
      </c>
      <c r="N12" s="18"/>
      <c r="O12" s="18"/>
      <c r="P12" s="18">
        <v>0</v>
      </c>
      <c r="Q12" s="18"/>
      <c r="R12" s="18"/>
      <c r="S12" s="18">
        <v>630</v>
      </c>
      <c r="T12" s="18"/>
      <c r="U12" s="18"/>
      <c r="V12" s="18"/>
      <c r="W12" s="18"/>
      <c r="X12" s="18">
        <v>150</v>
      </c>
      <c r="Y12" s="18">
        <v>0</v>
      </c>
      <c r="Z12" s="18"/>
      <c r="AA12" s="21">
        <f t="shared" si="12"/>
        <v>15525.97</v>
      </c>
      <c r="AB12" s="22">
        <v>8472</v>
      </c>
      <c r="AC12" s="23">
        <v>677.76</v>
      </c>
      <c r="AD12" s="23">
        <v>169.44</v>
      </c>
      <c r="AE12" s="23">
        <v>42.36</v>
      </c>
      <c r="AF12" s="22">
        <v>8472</v>
      </c>
      <c r="AG12" s="22">
        <f t="shared" si="0"/>
        <v>593</v>
      </c>
      <c r="AH12" s="21">
        <f t="shared" si="1"/>
        <v>1482.56</v>
      </c>
      <c r="AI12" s="25"/>
      <c r="AJ12" s="25"/>
      <c r="AK12" s="25"/>
      <c r="AL12" s="21">
        <f t="shared" si="2"/>
        <v>14043.41</v>
      </c>
      <c r="AM12" s="22">
        <v>8472</v>
      </c>
      <c r="AN12" s="22">
        <v>8472</v>
      </c>
      <c r="AO12" s="22">
        <f t="shared" si="3"/>
        <v>1355.52</v>
      </c>
      <c r="AP12" s="22">
        <f t="shared" si="13"/>
        <v>762.48</v>
      </c>
      <c r="AQ12" s="22">
        <f t="shared" si="4"/>
        <v>42.36</v>
      </c>
      <c r="AR12" s="22">
        <f t="shared" si="5"/>
        <v>21.69</v>
      </c>
      <c r="AS12" s="22"/>
      <c r="AT12" s="22">
        <f t="shared" si="6"/>
        <v>593</v>
      </c>
      <c r="AU12" s="22">
        <f t="shared" si="7"/>
        <v>127.08</v>
      </c>
      <c r="AV12" s="21">
        <f t="shared" si="8"/>
        <v>2902.13</v>
      </c>
      <c r="AW12" s="21">
        <v>295</v>
      </c>
      <c r="AX12" s="21">
        <f t="shared" si="15"/>
        <v>18723.099999999999</v>
      </c>
      <c r="AY12" s="21"/>
      <c r="AZ12" s="32"/>
      <c r="BA12" s="36"/>
      <c r="BB12" s="21">
        <v>255</v>
      </c>
      <c r="BC12" s="34">
        <f t="shared" si="14"/>
        <v>18978.099999999999</v>
      </c>
      <c r="BD12" s="21">
        <f t="shared" si="9"/>
        <v>1138.69</v>
      </c>
      <c r="BE12" s="21">
        <f t="shared" si="10"/>
        <v>20116.79</v>
      </c>
      <c r="BF12" s="35"/>
    </row>
    <row r="13" spans="1:58" s="3" customFormat="1" ht="15" customHeight="1" x14ac:dyDescent="0.25">
      <c r="A13" s="10">
        <f t="shared" si="11"/>
        <v>11</v>
      </c>
      <c r="B13" s="11">
        <v>2412</v>
      </c>
      <c r="C13" s="11" t="s">
        <v>125</v>
      </c>
      <c r="D13" s="10" t="s">
        <v>126</v>
      </c>
      <c r="E13" s="12" t="s">
        <v>127</v>
      </c>
      <c r="F13" s="13">
        <v>45444</v>
      </c>
      <c r="G13" s="13">
        <v>45808</v>
      </c>
      <c r="H13" s="10"/>
      <c r="I13" s="17" t="s">
        <v>97</v>
      </c>
      <c r="J13" s="18">
        <v>1300</v>
      </c>
      <c r="K13" s="18">
        <v>4057.2</v>
      </c>
      <c r="L13" s="18">
        <v>10030</v>
      </c>
      <c r="M13" s="18">
        <v>1590.54</v>
      </c>
      <c r="N13" s="18"/>
      <c r="O13" s="18"/>
      <c r="P13" s="18">
        <v>0</v>
      </c>
      <c r="Q13" s="18"/>
      <c r="R13" s="18"/>
      <c r="S13" s="18">
        <v>630</v>
      </c>
      <c r="T13" s="18"/>
      <c r="U13" s="18"/>
      <c r="V13" s="18"/>
      <c r="W13" s="18"/>
      <c r="X13" s="18">
        <v>150</v>
      </c>
      <c r="Y13" s="18">
        <v>0</v>
      </c>
      <c r="Z13" s="18"/>
      <c r="AA13" s="21">
        <f t="shared" si="12"/>
        <v>17757.740000000002</v>
      </c>
      <c r="AB13" s="22">
        <v>9241</v>
      </c>
      <c r="AC13" s="23">
        <v>739.28</v>
      </c>
      <c r="AD13" s="23">
        <v>184.82</v>
      </c>
      <c r="AE13" s="23">
        <v>46.21</v>
      </c>
      <c r="AF13" s="22">
        <v>9241</v>
      </c>
      <c r="AG13" s="22">
        <f t="shared" si="0"/>
        <v>647</v>
      </c>
      <c r="AH13" s="21">
        <f t="shared" si="1"/>
        <v>1617.31</v>
      </c>
      <c r="AI13" s="25"/>
      <c r="AJ13" s="25"/>
      <c r="AK13" s="25"/>
      <c r="AL13" s="21">
        <f t="shared" si="2"/>
        <v>16140.430000000002</v>
      </c>
      <c r="AM13" s="22">
        <v>9241</v>
      </c>
      <c r="AN13" s="22">
        <v>9241</v>
      </c>
      <c r="AO13" s="22">
        <f t="shared" si="3"/>
        <v>1478.56</v>
      </c>
      <c r="AP13" s="22">
        <v>831.7</v>
      </c>
      <c r="AQ13" s="22">
        <f t="shared" si="4"/>
        <v>46.21</v>
      </c>
      <c r="AR13" s="22">
        <f t="shared" si="5"/>
        <v>23.66</v>
      </c>
      <c r="AS13" s="22"/>
      <c r="AT13" s="22">
        <f t="shared" si="6"/>
        <v>647</v>
      </c>
      <c r="AU13" s="22">
        <f t="shared" si="7"/>
        <v>138.62</v>
      </c>
      <c r="AV13" s="21">
        <f t="shared" si="8"/>
        <v>3165.75</v>
      </c>
      <c r="AW13" s="21">
        <v>340</v>
      </c>
      <c r="AX13" s="21">
        <f t="shared" si="15"/>
        <v>21263.49</v>
      </c>
      <c r="AY13" s="21"/>
      <c r="AZ13" s="32"/>
      <c r="BA13" s="36"/>
      <c r="BB13" s="21">
        <v>255</v>
      </c>
      <c r="BC13" s="34">
        <f t="shared" si="14"/>
        <v>21518.49</v>
      </c>
      <c r="BD13" s="21">
        <f t="shared" si="9"/>
        <v>1291.1099999999999</v>
      </c>
      <c r="BE13" s="21">
        <f t="shared" si="10"/>
        <v>22809.599999999999</v>
      </c>
      <c r="BF13" s="35"/>
    </row>
    <row r="14" spans="1:58" s="3" customFormat="1" ht="15" customHeight="1" x14ac:dyDescent="0.25">
      <c r="A14" s="10">
        <f t="shared" si="11"/>
        <v>12</v>
      </c>
      <c r="B14" s="11">
        <v>2412</v>
      </c>
      <c r="C14" s="11" t="s">
        <v>128</v>
      </c>
      <c r="D14" s="10" t="s">
        <v>129</v>
      </c>
      <c r="E14" s="12" t="s">
        <v>130</v>
      </c>
      <c r="F14" s="13">
        <v>45444</v>
      </c>
      <c r="G14" s="13">
        <v>45808</v>
      </c>
      <c r="H14" s="10"/>
      <c r="I14" s="17" t="s">
        <v>97</v>
      </c>
      <c r="J14" s="18">
        <v>1030</v>
      </c>
      <c r="K14" s="18">
        <v>1680</v>
      </c>
      <c r="L14" s="18">
        <v>2505</v>
      </c>
      <c r="M14" s="18">
        <v>1253.82</v>
      </c>
      <c r="N14" s="18"/>
      <c r="O14" s="18"/>
      <c r="P14" s="18">
        <v>0</v>
      </c>
      <c r="Q14" s="18"/>
      <c r="R14" s="18"/>
      <c r="S14" s="18">
        <v>630</v>
      </c>
      <c r="T14" s="18"/>
      <c r="U14" s="18"/>
      <c r="V14" s="18"/>
      <c r="W14" s="18"/>
      <c r="X14" s="18">
        <v>150</v>
      </c>
      <c r="Y14" s="18">
        <v>0</v>
      </c>
      <c r="Z14" s="18"/>
      <c r="AA14" s="21">
        <f t="shared" si="12"/>
        <v>7248.82</v>
      </c>
      <c r="AB14" s="22">
        <v>7384</v>
      </c>
      <c r="AC14" s="23">
        <v>590.72</v>
      </c>
      <c r="AD14" s="23">
        <v>147.68</v>
      </c>
      <c r="AE14" s="23">
        <v>36.92</v>
      </c>
      <c r="AF14" s="22">
        <v>6830</v>
      </c>
      <c r="AG14" s="22">
        <f t="shared" si="0"/>
        <v>478</v>
      </c>
      <c r="AH14" s="21">
        <f t="shared" si="1"/>
        <v>1253.3200000000002</v>
      </c>
      <c r="AI14" s="25"/>
      <c r="AJ14" s="25"/>
      <c r="AK14" s="25"/>
      <c r="AL14" s="21">
        <f t="shared" si="2"/>
        <v>5995.5</v>
      </c>
      <c r="AM14" s="22">
        <v>7384</v>
      </c>
      <c r="AN14" s="22">
        <v>6830</v>
      </c>
      <c r="AO14" s="22">
        <f t="shared" si="3"/>
        <v>1181.44</v>
      </c>
      <c r="AP14" s="22">
        <f t="shared" si="13"/>
        <v>664.56</v>
      </c>
      <c r="AQ14" s="22">
        <f t="shared" si="4"/>
        <v>36.92</v>
      </c>
      <c r="AR14" s="22">
        <f t="shared" si="5"/>
        <v>18.899999999999999</v>
      </c>
      <c r="AS14" s="22"/>
      <c r="AT14" s="22">
        <f t="shared" si="6"/>
        <v>478</v>
      </c>
      <c r="AU14" s="22">
        <f t="shared" si="7"/>
        <v>110.76</v>
      </c>
      <c r="AV14" s="21">
        <f t="shared" si="8"/>
        <v>2490.5800000000004</v>
      </c>
      <c r="AW14" s="21">
        <v>129</v>
      </c>
      <c r="AX14" s="21">
        <f t="shared" si="15"/>
        <v>9868.4</v>
      </c>
      <c r="AY14" s="21"/>
      <c r="AZ14" s="32"/>
      <c r="BA14" s="36"/>
      <c r="BB14" s="21">
        <v>255</v>
      </c>
      <c r="BC14" s="34">
        <f t="shared" si="14"/>
        <v>10123.4</v>
      </c>
      <c r="BD14" s="21">
        <f t="shared" si="9"/>
        <v>607.4</v>
      </c>
      <c r="BE14" s="21">
        <f t="shared" si="10"/>
        <v>10730.8</v>
      </c>
      <c r="BF14" s="35"/>
    </row>
    <row r="15" spans="1:58" s="3" customFormat="1" ht="15" customHeight="1" x14ac:dyDescent="0.25">
      <c r="A15" s="10">
        <f t="shared" si="11"/>
        <v>13</v>
      </c>
      <c r="B15" s="11">
        <v>2412</v>
      </c>
      <c r="C15" s="11" t="s">
        <v>131</v>
      </c>
      <c r="D15" s="10" t="s">
        <v>132</v>
      </c>
      <c r="E15" s="12" t="s">
        <v>133</v>
      </c>
      <c r="F15" s="13">
        <v>45444</v>
      </c>
      <c r="G15" s="13">
        <v>45808</v>
      </c>
      <c r="H15" s="10"/>
      <c r="I15" s="17" t="s">
        <v>97</v>
      </c>
      <c r="J15" s="18">
        <v>1300</v>
      </c>
      <c r="K15" s="18">
        <v>4293.24</v>
      </c>
      <c r="L15" s="18">
        <v>0</v>
      </c>
      <c r="M15" s="18">
        <v>253.35</v>
      </c>
      <c r="N15" s="18"/>
      <c r="O15" s="18"/>
      <c r="P15" s="18">
        <v>0</v>
      </c>
      <c r="Q15" s="18"/>
      <c r="R15" s="18"/>
      <c r="S15" s="18">
        <v>630</v>
      </c>
      <c r="T15" s="18"/>
      <c r="U15" s="18"/>
      <c r="V15" s="18"/>
      <c r="W15" s="18"/>
      <c r="X15" s="18">
        <v>150</v>
      </c>
      <c r="Y15" s="18">
        <v>0.61</v>
      </c>
      <c r="Z15" s="18"/>
      <c r="AA15" s="21">
        <f t="shared" si="12"/>
        <v>6627.2</v>
      </c>
      <c r="AB15" s="22">
        <v>18040</v>
      </c>
      <c r="AC15" s="23">
        <v>1443.2</v>
      </c>
      <c r="AD15" s="23">
        <v>360.8</v>
      </c>
      <c r="AE15" s="23">
        <v>90.2</v>
      </c>
      <c r="AF15" s="22">
        <v>18040</v>
      </c>
      <c r="AG15" s="22">
        <f t="shared" si="0"/>
        <v>1263</v>
      </c>
      <c r="AH15" s="21">
        <f t="shared" si="1"/>
        <v>3157.2</v>
      </c>
      <c r="AI15" s="25"/>
      <c r="AJ15" s="25"/>
      <c r="AK15" s="25"/>
      <c r="AL15" s="21">
        <f t="shared" si="2"/>
        <v>3470</v>
      </c>
      <c r="AM15" s="22">
        <v>18040</v>
      </c>
      <c r="AN15" s="22">
        <v>18040</v>
      </c>
      <c r="AO15" s="22">
        <f t="shared" si="3"/>
        <v>2886.4</v>
      </c>
      <c r="AP15" s="22">
        <f t="shared" si="13"/>
        <v>1623.6</v>
      </c>
      <c r="AQ15" s="22">
        <f t="shared" si="4"/>
        <v>90.2</v>
      </c>
      <c r="AR15" s="22">
        <f t="shared" si="5"/>
        <v>46.18</v>
      </c>
      <c r="AS15" s="22"/>
      <c r="AT15" s="22">
        <f t="shared" si="6"/>
        <v>1263</v>
      </c>
      <c r="AU15" s="22">
        <f t="shared" si="7"/>
        <v>270.60000000000002</v>
      </c>
      <c r="AV15" s="21">
        <f t="shared" si="8"/>
        <v>6179.9800000000005</v>
      </c>
      <c r="AW15" s="21">
        <v>117</v>
      </c>
      <c r="AX15" s="21">
        <f t="shared" si="15"/>
        <v>12924.18</v>
      </c>
      <c r="AY15" s="21"/>
      <c r="AZ15" s="32"/>
      <c r="BA15" s="36"/>
      <c r="BB15" s="21">
        <v>255</v>
      </c>
      <c r="BC15" s="34">
        <f t="shared" si="14"/>
        <v>13179.18</v>
      </c>
      <c r="BD15" s="21">
        <f t="shared" si="9"/>
        <v>790.75</v>
      </c>
      <c r="BE15" s="21">
        <f t="shared" si="10"/>
        <v>13969.93</v>
      </c>
      <c r="BF15" s="35"/>
    </row>
    <row r="16" spans="1:58" s="3" customFormat="1" ht="15" customHeight="1" x14ac:dyDescent="0.25">
      <c r="A16" s="10">
        <f t="shared" si="11"/>
        <v>14</v>
      </c>
      <c r="B16" s="11">
        <v>2412</v>
      </c>
      <c r="C16" s="11" t="s">
        <v>134</v>
      </c>
      <c r="D16" s="10" t="s">
        <v>135</v>
      </c>
      <c r="E16" s="12" t="s">
        <v>136</v>
      </c>
      <c r="F16" s="13">
        <v>45444</v>
      </c>
      <c r="G16" s="13">
        <v>45808</v>
      </c>
      <c r="H16" s="10"/>
      <c r="I16" s="17" t="s">
        <v>97</v>
      </c>
      <c r="J16" s="18">
        <v>1030</v>
      </c>
      <c r="K16" s="18">
        <v>2124</v>
      </c>
      <c r="L16" s="18">
        <v>5100.54</v>
      </c>
      <c r="M16" s="18">
        <v>916.5</v>
      </c>
      <c r="N16" s="18"/>
      <c r="O16" s="18"/>
      <c r="P16" s="18">
        <v>0</v>
      </c>
      <c r="Q16" s="18"/>
      <c r="R16" s="18"/>
      <c r="S16" s="18">
        <v>630</v>
      </c>
      <c r="T16" s="18"/>
      <c r="U16" s="18"/>
      <c r="V16" s="18"/>
      <c r="W16" s="18"/>
      <c r="X16" s="18">
        <v>150</v>
      </c>
      <c r="Y16" s="18">
        <v>0</v>
      </c>
      <c r="Z16" s="18"/>
      <c r="AA16" s="21">
        <f t="shared" si="12"/>
        <v>9951.0400000000009</v>
      </c>
      <c r="AB16" s="22">
        <v>7474</v>
      </c>
      <c r="AC16" s="23">
        <v>597.91999999999996</v>
      </c>
      <c r="AD16" s="23">
        <v>149.47999999999999</v>
      </c>
      <c r="AE16" s="23">
        <v>37.369999999999997</v>
      </c>
      <c r="AF16" s="22">
        <v>7474</v>
      </c>
      <c r="AG16" s="22">
        <f t="shared" si="0"/>
        <v>523</v>
      </c>
      <c r="AH16" s="21">
        <f t="shared" si="1"/>
        <v>1307.77</v>
      </c>
      <c r="AI16" s="25"/>
      <c r="AJ16" s="25"/>
      <c r="AK16" s="25"/>
      <c r="AL16" s="21">
        <f t="shared" si="2"/>
        <v>8643.27</v>
      </c>
      <c r="AM16" s="22">
        <v>7474</v>
      </c>
      <c r="AN16" s="22">
        <v>7474</v>
      </c>
      <c r="AO16" s="22">
        <f t="shared" si="3"/>
        <v>1195.8399999999999</v>
      </c>
      <c r="AP16" s="22">
        <f t="shared" si="13"/>
        <v>672.66</v>
      </c>
      <c r="AQ16" s="22">
        <f t="shared" si="4"/>
        <v>37.369999999999997</v>
      </c>
      <c r="AR16" s="22">
        <f t="shared" si="5"/>
        <v>19.13</v>
      </c>
      <c r="AS16" s="22"/>
      <c r="AT16" s="22">
        <f t="shared" si="6"/>
        <v>523</v>
      </c>
      <c r="AU16" s="22">
        <f t="shared" si="7"/>
        <v>112.11</v>
      </c>
      <c r="AV16" s="21">
        <f t="shared" si="8"/>
        <v>2560.11</v>
      </c>
      <c r="AW16" s="21">
        <v>183</v>
      </c>
      <c r="AX16" s="21">
        <f t="shared" si="15"/>
        <v>12694.150000000001</v>
      </c>
      <c r="AY16" s="21"/>
      <c r="AZ16" s="32"/>
      <c r="BA16" s="36"/>
      <c r="BB16" s="21">
        <v>255</v>
      </c>
      <c r="BC16" s="34">
        <f t="shared" si="14"/>
        <v>12949.15</v>
      </c>
      <c r="BD16" s="21">
        <f t="shared" si="9"/>
        <v>776.95</v>
      </c>
      <c r="BE16" s="21">
        <f t="shared" si="10"/>
        <v>13726.1</v>
      </c>
      <c r="BF16" s="35"/>
    </row>
    <row r="17" spans="1:58" s="3" customFormat="1" ht="15" customHeight="1" x14ac:dyDescent="0.25">
      <c r="A17" s="10">
        <f t="shared" si="11"/>
        <v>15</v>
      </c>
      <c r="B17" s="11">
        <v>2412</v>
      </c>
      <c r="C17" s="11" t="s">
        <v>137</v>
      </c>
      <c r="D17" s="10" t="s">
        <v>138</v>
      </c>
      <c r="E17" s="12" t="s">
        <v>139</v>
      </c>
      <c r="F17" s="13">
        <v>45444</v>
      </c>
      <c r="G17" s="13">
        <v>45808</v>
      </c>
      <c r="H17" s="10"/>
      <c r="I17" s="17" t="s">
        <v>97</v>
      </c>
      <c r="J17" s="18">
        <v>1300</v>
      </c>
      <c r="K17" s="18">
        <v>2736</v>
      </c>
      <c r="L17" s="18">
        <v>14743.4</v>
      </c>
      <c r="M17" s="18">
        <v>2121.0300000000002</v>
      </c>
      <c r="N17" s="18"/>
      <c r="O17" s="18"/>
      <c r="P17" s="18">
        <v>0</v>
      </c>
      <c r="Q17" s="18"/>
      <c r="R17" s="18"/>
      <c r="S17" s="18">
        <v>630</v>
      </c>
      <c r="T17" s="18"/>
      <c r="U17" s="18"/>
      <c r="V17" s="18"/>
      <c r="W17" s="18"/>
      <c r="X17" s="18">
        <v>150</v>
      </c>
      <c r="Y17" s="18">
        <v>0</v>
      </c>
      <c r="Z17" s="18"/>
      <c r="AA17" s="21">
        <f t="shared" si="12"/>
        <v>21680.43</v>
      </c>
      <c r="AB17" s="22">
        <v>11152</v>
      </c>
      <c r="AC17" s="23">
        <v>892.16</v>
      </c>
      <c r="AD17" s="23">
        <v>223.04</v>
      </c>
      <c r="AE17" s="23">
        <v>55.76</v>
      </c>
      <c r="AF17" s="22">
        <v>11152</v>
      </c>
      <c r="AG17" s="22">
        <f t="shared" si="0"/>
        <v>781</v>
      </c>
      <c r="AH17" s="21">
        <f t="shared" si="1"/>
        <v>1951.96</v>
      </c>
      <c r="AI17" s="25"/>
      <c r="AJ17" s="25"/>
      <c r="AK17" s="25"/>
      <c r="AL17" s="21">
        <f t="shared" si="2"/>
        <v>19728.47</v>
      </c>
      <c r="AM17" s="22">
        <v>11152</v>
      </c>
      <c r="AN17" s="22">
        <v>11152</v>
      </c>
      <c r="AO17" s="22">
        <f t="shared" si="3"/>
        <v>1784.32</v>
      </c>
      <c r="AP17" s="22">
        <f t="shared" si="13"/>
        <v>1003.68</v>
      </c>
      <c r="AQ17" s="22">
        <f t="shared" si="4"/>
        <v>55.76</v>
      </c>
      <c r="AR17" s="22">
        <f t="shared" si="5"/>
        <v>28.55</v>
      </c>
      <c r="AS17" s="22"/>
      <c r="AT17" s="22">
        <f t="shared" si="6"/>
        <v>781</v>
      </c>
      <c r="AU17" s="22">
        <f t="shared" si="7"/>
        <v>167.28</v>
      </c>
      <c r="AV17" s="21">
        <f t="shared" si="8"/>
        <v>3820.5900000000006</v>
      </c>
      <c r="AW17" s="21">
        <v>418</v>
      </c>
      <c r="AX17" s="21">
        <f t="shared" si="15"/>
        <v>25919.02</v>
      </c>
      <c r="AY17" s="21"/>
      <c r="AZ17" s="32"/>
      <c r="BA17" s="36"/>
      <c r="BB17" s="21">
        <v>255</v>
      </c>
      <c r="BC17" s="34">
        <f t="shared" si="14"/>
        <v>26174.02</v>
      </c>
      <c r="BD17" s="21">
        <f t="shared" si="9"/>
        <v>1570.44</v>
      </c>
      <c r="BE17" s="21">
        <f t="shared" si="10"/>
        <v>27744.46</v>
      </c>
      <c r="BF17" s="35"/>
    </row>
    <row r="18" spans="1:58" s="3" customFormat="1" ht="15" customHeight="1" x14ac:dyDescent="0.25">
      <c r="A18" s="10">
        <f t="shared" si="11"/>
        <v>16</v>
      </c>
      <c r="B18" s="11">
        <v>2412</v>
      </c>
      <c r="C18" s="11" t="s">
        <v>140</v>
      </c>
      <c r="D18" s="10" t="s">
        <v>141</v>
      </c>
      <c r="E18" s="12" t="s">
        <v>142</v>
      </c>
      <c r="F18" s="13">
        <v>45444</v>
      </c>
      <c r="G18" s="13">
        <v>45808</v>
      </c>
      <c r="H18" s="10"/>
      <c r="I18" s="17" t="s">
        <v>97</v>
      </c>
      <c r="J18" s="18">
        <v>1030</v>
      </c>
      <c r="K18" s="18">
        <v>3416.4</v>
      </c>
      <c r="L18" s="18">
        <v>14873.27</v>
      </c>
      <c r="M18" s="18">
        <v>2376.7199999999998</v>
      </c>
      <c r="N18" s="18"/>
      <c r="O18" s="18"/>
      <c r="P18" s="18">
        <v>0</v>
      </c>
      <c r="Q18" s="18"/>
      <c r="R18" s="18"/>
      <c r="S18" s="18">
        <v>630</v>
      </c>
      <c r="T18" s="18"/>
      <c r="U18" s="18"/>
      <c r="V18" s="18"/>
      <c r="W18" s="18"/>
      <c r="X18" s="18">
        <v>150</v>
      </c>
      <c r="Y18" s="18">
        <v>0</v>
      </c>
      <c r="Z18" s="18"/>
      <c r="AA18" s="21">
        <f t="shared" si="12"/>
        <v>22476.39</v>
      </c>
      <c r="AB18" s="22">
        <v>10443</v>
      </c>
      <c r="AC18" s="23">
        <v>835.44</v>
      </c>
      <c r="AD18" s="23">
        <v>208.86</v>
      </c>
      <c r="AE18" s="23">
        <v>52.22</v>
      </c>
      <c r="AF18" s="22">
        <v>10443</v>
      </c>
      <c r="AG18" s="22">
        <f t="shared" si="0"/>
        <v>731</v>
      </c>
      <c r="AH18" s="21">
        <f t="shared" si="1"/>
        <v>1827.5200000000002</v>
      </c>
      <c r="AI18" s="25"/>
      <c r="AJ18" s="25"/>
      <c r="AK18" s="25"/>
      <c r="AL18" s="21">
        <f t="shared" si="2"/>
        <v>20648.87</v>
      </c>
      <c r="AM18" s="22">
        <v>10443</v>
      </c>
      <c r="AN18" s="22">
        <v>10443</v>
      </c>
      <c r="AO18" s="22">
        <f t="shared" si="3"/>
        <v>1670.88</v>
      </c>
      <c r="AP18" s="22">
        <v>939.88</v>
      </c>
      <c r="AQ18" s="22">
        <f t="shared" si="4"/>
        <v>52.22</v>
      </c>
      <c r="AR18" s="22">
        <f t="shared" si="5"/>
        <v>26.73</v>
      </c>
      <c r="AS18" s="22"/>
      <c r="AT18" s="22">
        <f t="shared" si="6"/>
        <v>731</v>
      </c>
      <c r="AU18" s="22">
        <f t="shared" si="7"/>
        <v>156.65</v>
      </c>
      <c r="AV18" s="21">
        <f t="shared" si="8"/>
        <v>3577.36</v>
      </c>
      <c r="AW18" s="21">
        <v>434</v>
      </c>
      <c r="AX18" s="21">
        <f t="shared" si="15"/>
        <v>26487.75</v>
      </c>
      <c r="AY18" s="21"/>
      <c r="AZ18" s="32"/>
      <c r="BA18" s="36"/>
      <c r="BB18" s="21">
        <v>255</v>
      </c>
      <c r="BC18" s="34">
        <f t="shared" si="14"/>
        <v>26742.75</v>
      </c>
      <c r="BD18" s="21">
        <f t="shared" si="9"/>
        <v>1604.57</v>
      </c>
      <c r="BE18" s="21">
        <f t="shared" si="10"/>
        <v>28347.32</v>
      </c>
      <c r="BF18" s="35"/>
    </row>
    <row r="19" spans="1:58" s="3" customFormat="1" ht="15" customHeight="1" x14ac:dyDescent="0.25">
      <c r="A19" s="10">
        <f t="shared" si="11"/>
        <v>17</v>
      </c>
      <c r="B19" s="11">
        <v>2412</v>
      </c>
      <c r="C19" s="11" t="s">
        <v>143</v>
      </c>
      <c r="D19" s="10" t="s">
        <v>144</v>
      </c>
      <c r="E19" s="12" t="s">
        <v>145</v>
      </c>
      <c r="F19" s="13">
        <v>45444</v>
      </c>
      <c r="G19" s="13">
        <v>45808</v>
      </c>
      <c r="H19" s="10"/>
      <c r="I19" s="17" t="s">
        <v>97</v>
      </c>
      <c r="J19" s="18">
        <v>1030</v>
      </c>
      <c r="K19" s="18">
        <v>4751.04</v>
      </c>
      <c r="L19" s="18">
        <v>11609.11</v>
      </c>
      <c r="M19" s="18">
        <v>836.4</v>
      </c>
      <c r="N19" s="18"/>
      <c r="O19" s="18"/>
      <c r="P19" s="18">
        <v>0</v>
      </c>
      <c r="Q19" s="18"/>
      <c r="R19" s="18"/>
      <c r="S19" s="18">
        <v>630</v>
      </c>
      <c r="T19" s="18"/>
      <c r="U19" s="18"/>
      <c r="V19" s="18"/>
      <c r="W19" s="18"/>
      <c r="X19" s="18">
        <v>150</v>
      </c>
      <c r="Y19" s="18">
        <v>0</v>
      </c>
      <c r="Z19" s="18"/>
      <c r="AA19" s="21">
        <f t="shared" si="12"/>
        <v>19006.550000000003</v>
      </c>
      <c r="AB19" s="22">
        <v>8102</v>
      </c>
      <c r="AC19" s="23">
        <v>648.16</v>
      </c>
      <c r="AD19" s="23">
        <v>162.04</v>
      </c>
      <c r="AE19" s="23">
        <v>40.51</v>
      </c>
      <c r="AF19" s="22">
        <v>8102</v>
      </c>
      <c r="AG19" s="22">
        <f t="shared" si="0"/>
        <v>567</v>
      </c>
      <c r="AH19" s="21">
        <f t="shared" si="1"/>
        <v>1417.71</v>
      </c>
      <c r="AI19" s="25"/>
      <c r="AJ19" s="25"/>
      <c r="AK19" s="25"/>
      <c r="AL19" s="21">
        <f t="shared" si="2"/>
        <v>17588.840000000004</v>
      </c>
      <c r="AM19" s="22">
        <v>8102</v>
      </c>
      <c r="AN19" s="22">
        <v>8102</v>
      </c>
      <c r="AO19" s="22">
        <f t="shared" si="3"/>
        <v>1296.32</v>
      </c>
      <c r="AP19" s="22">
        <f t="shared" si="13"/>
        <v>729.18</v>
      </c>
      <c r="AQ19" s="22">
        <f t="shared" si="4"/>
        <v>40.51</v>
      </c>
      <c r="AR19" s="22">
        <f t="shared" si="5"/>
        <v>20.74</v>
      </c>
      <c r="AS19" s="22"/>
      <c r="AT19" s="22">
        <f t="shared" si="6"/>
        <v>567</v>
      </c>
      <c r="AU19" s="22">
        <f t="shared" si="7"/>
        <v>121.53</v>
      </c>
      <c r="AV19" s="21">
        <f t="shared" si="8"/>
        <v>2775.28</v>
      </c>
      <c r="AW19" s="21">
        <v>365</v>
      </c>
      <c r="AX19" s="21">
        <f t="shared" si="15"/>
        <v>22146.83</v>
      </c>
      <c r="AY19" s="21"/>
      <c r="AZ19" s="32"/>
      <c r="BA19" s="36"/>
      <c r="BB19" s="21">
        <v>255</v>
      </c>
      <c r="BC19" s="34">
        <f t="shared" si="14"/>
        <v>22401.83</v>
      </c>
      <c r="BD19" s="21">
        <f t="shared" si="9"/>
        <v>1344.11</v>
      </c>
      <c r="BE19" s="21">
        <f t="shared" si="10"/>
        <v>23745.94</v>
      </c>
      <c r="BF19" s="35"/>
    </row>
    <row r="20" spans="1:58" s="3" customFormat="1" ht="15" customHeight="1" x14ac:dyDescent="0.25">
      <c r="A20" s="10">
        <f t="shared" si="11"/>
        <v>18</v>
      </c>
      <c r="B20" s="11">
        <v>2412</v>
      </c>
      <c r="C20" s="11" t="s">
        <v>146</v>
      </c>
      <c r="D20" s="14" t="s">
        <v>147</v>
      </c>
      <c r="E20" s="12" t="s">
        <v>148</v>
      </c>
      <c r="F20" s="13">
        <v>45444</v>
      </c>
      <c r="G20" s="13">
        <v>45808</v>
      </c>
      <c r="H20" s="10"/>
      <c r="I20" s="17" t="s">
        <v>97</v>
      </c>
      <c r="J20" s="18">
        <v>800</v>
      </c>
      <c r="K20" s="18">
        <v>1620</v>
      </c>
      <c r="L20" s="18">
        <v>0</v>
      </c>
      <c r="M20" s="18">
        <v>1196.1600000000001</v>
      </c>
      <c r="N20" s="18"/>
      <c r="O20" s="18"/>
      <c r="P20" s="18">
        <v>0</v>
      </c>
      <c r="Q20" s="18"/>
      <c r="R20" s="18"/>
      <c r="S20" s="18">
        <v>630</v>
      </c>
      <c r="T20" s="18"/>
      <c r="U20" s="18"/>
      <c r="V20" s="18"/>
      <c r="W20" s="18"/>
      <c r="X20" s="18">
        <v>150</v>
      </c>
      <c r="Y20" s="18">
        <v>192.16</v>
      </c>
      <c r="Z20" s="18"/>
      <c r="AA20" s="21">
        <f t="shared" si="12"/>
        <v>4588.32</v>
      </c>
      <c r="AB20" s="22">
        <v>7384</v>
      </c>
      <c r="AC20" s="23">
        <v>590.72</v>
      </c>
      <c r="AD20" s="23">
        <v>147.68</v>
      </c>
      <c r="AE20" s="23">
        <v>36.92</v>
      </c>
      <c r="AF20" s="22">
        <v>4906</v>
      </c>
      <c r="AG20" s="22">
        <f t="shared" si="0"/>
        <v>343</v>
      </c>
      <c r="AH20" s="21">
        <f t="shared" si="1"/>
        <v>1118.3200000000002</v>
      </c>
      <c r="AI20" s="25"/>
      <c r="AJ20" s="25"/>
      <c r="AK20" s="25"/>
      <c r="AL20" s="21">
        <f t="shared" si="2"/>
        <v>3469.9999999999995</v>
      </c>
      <c r="AM20" s="22">
        <v>7384</v>
      </c>
      <c r="AN20" s="22">
        <v>4906</v>
      </c>
      <c r="AO20" s="22">
        <f t="shared" si="3"/>
        <v>1181.44</v>
      </c>
      <c r="AP20" s="22">
        <f t="shared" si="13"/>
        <v>664.56</v>
      </c>
      <c r="AQ20" s="22">
        <f t="shared" si="4"/>
        <v>36.92</v>
      </c>
      <c r="AR20" s="22">
        <f t="shared" si="5"/>
        <v>18.899999999999999</v>
      </c>
      <c r="AS20" s="22"/>
      <c r="AT20" s="22">
        <f t="shared" si="6"/>
        <v>343</v>
      </c>
      <c r="AU20" s="22">
        <f t="shared" si="7"/>
        <v>110.76</v>
      </c>
      <c r="AV20" s="21">
        <f t="shared" si="8"/>
        <v>2355.5800000000004</v>
      </c>
      <c r="AW20" s="21">
        <v>76</v>
      </c>
      <c r="AX20" s="21">
        <f t="shared" si="15"/>
        <v>7019.9</v>
      </c>
      <c r="AY20" s="21"/>
      <c r="AZ20" s="32"/>
      <c r="BA20" s="36"/>
      <c r="BB20" s="21">
        <v>255</v>
      </c>
      <c r="BC20" s="34">
        <f t="shared" si="14"/>
        <v>7274.9</v>
      </c>
      <c r="BD20" s="21">
        <f t="shared" si="9"/>
        <v>436.49</v>
      </c>
      <c r="BE20" s="21">
        <f t="shared" si="10"/>
        <v>7711.39</v>
      </c>
      <c r="BF20" s="35"/>
    </row>
    <row r="21" spans="1:58" s="3" customFormat="1" ht="15" customHeight="1" x14ac:dyDescent="0.25">
      <c r="A21" s="10">
        <f t="shared" si="11"/>
        <v>19</v>
      </c>
      <c r="B21" s="11">
        <v>2412</v>
      </c>
      <c r="C21" s="11" t="s">
        <v>149</v>
      </c>
      <c r="D21" s="14" t="s">
        <v>150</v>
      </c>
      <c r="E21" s="12" t="s">
        <v>151</v>
      </c>
      <c r="F21" s="13">
        <v>45444</v>
      </c>
      <c r="G21" s="13">
        <v>45808</v>
      </c>
      <c r="H21" s="10"/>
      <c r="I21" s="17" t="s">
        <v>97</v>
      </c>
      <c r="J21" s="18">
        <v>1030</v>
      </c>
      <c r="K21" s="18">
        <v>2136</v>
      </c>
      <c r="L21" s="18">
        <v>9820</v>
      </c>
      <c r="M21" s="18">
        <v>654.24</v>
      </c>
      <c r="N21" s="18"/>
      <c r="O21" s="18"/>
      <c r="P21" s="18">
        <v>700</v>
      </c>
      <c r="Q21" s="18"/>
      <c r="R21" s="18"/>
      <c r="S21" s="18">
        <v>630</v>
      </c>
      <c r="T21" s="18"/>
      <c r="U21" s="18"/>
      <c r="V21" s="18"/>
      <c r="W21" s="18"/>
      <c r="X21" s="18">
        <v>150</v>
      </c>
      <c r="Y21" s="18">
        <v>0</v>
      </c>
      <c r="Z21" s="18"/>
      <c r="AA21" s="21">
        <f t="shared" si="12"/>
        <v>15120.24</v>
      </c>
      <c r="AB21" s="22">
        <v>7759</v>
      </c>
      <c r="AC21" s="23">
        <v>620.72</v>
      </c>
      <c r="AD21" s="23">
        <v>155.18</v>
      </c>
      <c r="AE21" s="23">
        <v>38.799999999999997</v>
      </c>
      <c r="AF21" s="22">
        <v>7759</v>
      </c>
      <c r="AG21" s="22">
        <f t="shared" ref="AG21:AG29" si="16">ROUND(AF21*7%,0)</f>
        <v>543</v>
      </c>
      <c r="AH21" s="21">
        <f t="shared" si="1"/>
        <v>1357.7</v>
      </c>
      <c r="AI21" s="25"/>
      <c r="AJ21" s="25"/>
      <c r="AK21" s="25"/>
      <c r="AL21" s="21">
        <f t="shared" si="2"/>
        <v>13762.539999999999</v>
      </c>
      <c r="AM21" s="22">
        <v>7759</v>
      </c>
      <c r="AN21" s="22">
        <v>7759</v>
      </c>
      <c r="AO21" s="22">
        <f t="shared" ref="AO21:AO26" si="17">ROUND(AM21*16%,2)</f>
        <v>1241.44</v>
      </c>
      <c r="AP21" s="22">
        <v>698.32</v>
      </c>
      <c r="AQ21" s="22">
        <f t="shared" si="4"/>
        <v>38.799999999999997</v>
      </c>
      <c r="AR21" s="22">
        <f t="shared" si="5"/>
        <v>19.86</v>
      </c>
      <c r="AS21" s="22"/>
      <c r="AT21" s="22">
        <f t="shared" si="6"/>
        <v>543</v>
      </c>
      <c r="AU21" s="22">
        <f t="shared" si="7"/>
        <v>116.39</v>
      </c>
      <c r="AV21" s="21">
        <f t="shared" si="8"/>
        <v>2657.81</v>
      </c>
      <c r="AW21" s="21">
        <v>287</v>
      </c>
      <c r="AX21" s="21">
        <f t="shared" si="15"/>
        <v>18065.05</v>
      </c>
      <c r="AY21" s="21"/>
      <c r="AZ21" s="32"/>
      <c r="BA21" s="36"/>
      <c r="BB21" s="21">
        <v>255</v>
      </c>
      <c r="BC21" s="34">
        <f t="shared" si="14"/>
        <v>18320.05</v>
      </c>
      <c r="BD21" s="21">
        <f t="shared" si="9"/>
        <v>1099.2</v>
      </c>
      <c r="BE21" s="21">
        <f t="shared" si="10"/>
        <v>19419.25</v>
      </c>
      <c r="BF21" s="35"/>
    </row>
    <row r="22" spans="1:58" s="3" customFormat="1" ht="15" customHeight="1" x14ac:dyDescent="0.25">
      <c r="A22" s="10">
        <f t="shared" si="11"/>
        <v>20</v>
      </c>
      <c r="B22" s="11">
        <v>2412</v>
      </c>
      <c r="C22" s="11" t="s">
        <v>152</v>
      </c>
      <c r="D22" s="14" t="s">
        <v>153</v>
      </c>
      <c r="E22" s="12" t="s">
        <v>154</v>
      </c>
      <c r="F22" s="13">
        <v>45444</v>
      </c>
      <c r="G22" s="13">
        <v>45808</v>
      </c>
      <c r="H22" s="10"/>
      <c r="I22" s="17" t="s">
        <v>97</v>
      </c>
      <c r="J22" s="18">
        <v>1030</v>
      </c>
      <c r="K22" s="18">
        <v>2769</v>
      </c>
      <c r="L22" s="18">
        <v>12150</v>
      </c>
      <c r="M22" s="18">
        <v>2009.16</v>
      </c>
      <c r="N22" s="18"/>
      <c r="O22" s="18"/>
      <c r="P22" s="18">
        <v>0</v>
      </c>
      <c r="Q22" s="18"/>
      <c r="R22" s="18"/>
      <c r="S22" s="18">
        <v>630</v>
      </c>
      <c r="T22" s="18"/>
      <c r="U22" s="18"/>
      <c r="V22" s="18"/>
      <c r="W22" s="18"/>
      <c r="X22" s="18">
        <v>150</v>
      </c>
      <c r="Y22" s="18">
        <v>0</v>
      </c>
      <c r="Z22" s="18"/>
      <c r="AA22" s="21">
        <f t="shared" si="12"/>
        <v>18738.16</v>
      </c>
      <c r="AB22" s="22">
        <v>10043</v>
      </c>
      <c r="AC22" s="23">
        <v>803.44</v>
      </c>
      <c r="AD22" s="23">
        <v>200.86</v>
      </c>
      <c r="AE22" s="23">
        <v>50.22</v>
      </c>
      <c r="AF22" s="22">
        <v>10043</v>
      </c>
      <c r="AG22" s="22">
        <f t="shared" si="16"/>
        <v>703</v>
      </c>
      <c r="AH22" s="21">
        <f t="shared" si="1"/>
        <v>1757.52</v>
      </c>
      <c r="AI22" s="25"/>
      <c r="AJ22" s="25"/>
      <c r="AK22" s="25"/>
      <c r="AL22" s="21">
        <f t="shared" si="2"/>
        <v>16980.64</v>
      </c>
      <c r="AM22" s="22">
        <v>10043</v>
      </c>
      <c r="AN22" s="22">
        <v>10043</v>
      </c>
      <c r="AO22" s="22">
        <f t="shared" si="17"/>
        <v>1606.88</v>
      </c>
      <c r="AP22" s="22">
        <v>903.88</v>
      </c>
      <c r="AQ22" s="22">
        <f t="shared" si="4"/>
        <v>50.22</v>
      </c>
      <c r="AR22" s="22">
        <f t="shared" si="5"/>
        <v>25.71</v>
      </c>
      <c r="AS22" s="22"/>
      <c r="AT22" s="22">
        <f t="shared" si="6"/>
        <v>703</v>
      </c>
      <c r="AU22" s="22">
        <f t="shared" si="7"/>
        <v>150.65</v>
      </c>
      <c r="AV22" s="21">
        <f t="shared" si="8"/>
        <v>3440.34</v>
      </c>
      <c r="AW22" s="21">
        <v>359</v>
      </c>
      <c r="AX22" s="21">
        <f t="shared" si="15"/>
        <v>22537.5</v>
      </c>
      <c r="AY22" s="21"/>
      <c r="AZ22" s="32"/>
      <c r="BA22" s="36"/>
      <c r="BB22" s="21">
        <v>255</v>
      </c>
      <c r="BC22" s="34">
        <f t="shared" si="14"/>
        <v>22792.5</v>
      </c>
      <c r="BD22" s="21">
        <f t="shared" si="9"/>
        <v>1367.55</v>
      </c>
      <c r="BE22" s="21">
        <f t="shared" si="10"/>
        <v>24160.05</v>
      </c>
      <c r="BF22" s="35"/>
    </row>
    <row r="23" spans="1:58" s="3" customFormat="1" ht="15" customHeight="1" x14ac:dyDescent="0.25">
      <c r="A23" s="10">
        <f t="shared" si="11"/>
        <v>21</v>
      </c>
      <c r="B23" s="11">
        <v>2412</v>
      </c>
      <c r="C23" s="11" t="s">
        <v>155</v>
      </c>
      <c r="D23" s="14" t="s">
        <v>156</v>
      </c>
      <c r="E23" s="12" t="s">
        <v>157</v>
      </c>
      <c r="F23" s="13">
        <v>45444</v>
      </c>
      <c r="G23" s="13">
        <v>45808</v>
      </c>
      <c r="H23" s="10"/>
      <c r="I23" s="17" t="s">
        <v>97</v>
      </c>
      <c r="J23" s="18">
        <v>1300</v>
      </c>
      <c r="K23" s="18">
        <v>5396</v>
      </c>
      <c r="L23" s="18">
        <v>15000</v>
      </c>
      <c r="M23" s="18">
        <v>615.51</v>
      </c>
      <c r="N23" s="18"/>
      <c r="O23" s="18"/>
      <c r="P23" s="18">
        <v>0</v>
      </c>
      <c r="Q23" s="18"/>
      <c r="R23" s="18"/>
      <c r="S23" s="18">
        <v>630</v>
      </c>
      <c r="T23" s="18"/>
      <c r="U23" s="18"/>
      <c r="V23" s="18"/>
      <c r="W23" s="18"/>
      <c r="X23" s="18">
        <v>150</v>
      </c>
      <c r="Y23" s="18">
        <v>0</v>
      </c>
      <c r="Z23" s="18"/>
      <c r="AA23" s="21">
        <f t="shared" si="12"/>
        <v>23091.51</v>
      </c>
      <c r="AB23" s="22">
        <v>12136</v>
      </c>
      <c r="AC23" s="23">
        <v>970.88</v>
      </c>
      <c r="AD23" s="23">
        <v>242.72</v>
      </c>
      <c r="AE23" s="23">
        <v>60.68</v>
      </c>
      <c r="AF23" s="22">
        <v>12136</v>
      </c>
      <c r="AG23" s="22">
        <f t="shared" si="16"/>
        <v>850</v>
      </c>
      <c r="AH23" s="21">
        <f t="shared" si="1"/>
        <v>2124.2799999999997</v>
      </c>
      <c r="AI23" s="25"/>
      <c r="AJ23" s="25"/>
      <c r="AK23" s="25"/>
      <c r="AL23" s="21">
        <f t="shared" si="2"/>
        <v>20967.23</v>
      </c>
      <c r="AM23" s="22">
        <v>12136</v>
      </c>
      <c r="AN23" s="22">
        <v>12136</v>
      </c>
      <c r="AO23" s="22">
        <f t="shared" si="17"/>
        <v>1941.76</v>
      </c>
      <c r="AP23" s="22">
        <f t="shared" si="13"/>
        <v>1092.24</v>
      </c>
      <c r="AQ23" s="22">
        <f t="shared" si="4"/>
        <v>60.68</v>
      </c>
      <c r="AR23" s="22">
        <f t="shared" si="5"/>
        <v>31.07</v>
      </c>
      <c r="AS23" s="22"/>
      <c r="AT23" s="22">
        <f t="shared" si="6"/>
        <v>850</v>
      </c>
      <c r="AU23" s="22">
        <f t="shared" si="7"/>
        <v>182.04</v>
      </c>
      <c r="AV23" s="21">
        <f t="shared" si="8"/>
        <v>4157.79</v>
      </c>
      <c r="AW23" s="21">
        <v>446</v>
      </c>
      <c r="AX23" s="21">
        <f t="shared" si="15"/>
        <v>27695.3</v>
      </c>
      <c r="AY23" s="21"/>
      <c r="AZ23" s="32"/>
      <c r="BA23" s="36"/>
      <c r="BB23" s="21">
        <v>255</v>
      </c>
      <c r="BC23" s="34">
        <f t="shared" si="14"/>
        <v>27950.3</v>
      </c>
      <c r="BD23" s="21">
        <f t="shared" si="9"/>
        <v>1677.02</v>
      </c>
      <c r="BE23" s="21">
        <f t="shared" si="10"/>
        <v>29627.32</v>
      </c>
      <c r="BF23" s="35"/>
    </row>
    <row r="24" spans="1:58" s="3" customFormat="1" ht="15" customHeight="1" x14ac:dyDescent="0.25">
      <c r="A24" s="10">
        <f t="shared" si="11"/>
        <v>22</v>
      </c>
      <c r="B24" s="11">
        <v>2412</v>
      </c>
      <c r="C24" s="11" t="s">
        <v>158</v>
      </c>
      <c r="D24" s="14" t="s">
        <v>159</v>
      </c>
      <c r="E24" s="12" t="s">
        <v>160</v>
      </c>
      <c r="F24" s="13">
        <v>45444</v>
      </c>
      <c r="G24" s="13">
        <v>45808</v>
      </c>
      <c r="H24" s="10"/>
      <c r="I24" s="17" t="s">
        <v>97</v>
      </c>
      <c r="J24" s="18">
        <v>1200</v>
      </c>
      <c r="K24" s="18">
        <v>3777.2</v>
      </c>
      <c r="L24" s="18">
        <v>11290</v>
      </c>
      <c r="M24" s="18">
        <v>1036.6199999999999</v>
      </c>
      <c r="N24" s="18"/>
      <c r="O24" s="18"/>
      <c r="P24" s="18">
        <v>0</v>
      </c>
      <c r="Q24" s="18"/>
      <c r="R24" s="18"/>
      <c r="S24" s="18">
        <v>630</v>
      </c>
      <c r="T24" s="18"/>
      <c r="U24" s="18"/>
      <c r="V24" s="18"/>
      <c r="W24" s="18"/>
      <c r="X24" s="18">
        <v>150</v>
      </c>
      <c r="Y24" s="18">
        <v>0</v>
      </c>
      <c r="Z24" s="18"/>
      <c r="AA24" s="21">
        <f t="shared" si="12"/>
        <v>18083.82</v>
      </c>
      <c r="AB24" s="22">
        <v>9608</v>
      </c>
      <c r="AC24" s="23">
        <v>768.64</v>
      </c>
      <c r="AD24" s="23">
        <v>192.16</v>
      </c>
      <c r="AE24" s="23">
        <v>48.04</v>
      </c>
      <c r="AF24" s="22">
        <v>9608</v>
      </c>
      <c r="AG24" s="22">
        <f t="shared" si="16"/>
        <v>673</v>
      </c>
      <c r="AH24" s="21">
        <f t="shared" si="1"/>
        <v>1681.84</v>
      </c>
      <c r="AI24" s="25"/>
      <c r="AJ24" s="25"/>
      <c r="AK24" s="25"/>
      <c r="AL24" s="21">
        <f t="shared" si="2"/>
        <v>16401.98</v>
      </c>
      <c r="AM24" s="22">
        <v>9608</v>
      </c>
      <c r="AN24" s="22">
        <v>9608</v>
      </c>
      <c r="AO24" s="22">
        <f t="shared" si="17"/>
        <v>1537.28</v>
      </c>
      <c r="AP24" s="22">
        <f t="shared" si="13"/>
        <v>864.72</v>
      </c>
      <c r="AQ24" s="22">
        <f t="shared" si="4"/>
        <v>48.04</v>
      </c>
      <c r="AR24" s="22">
        <f t="shared" si="5"/>
        <v>24.6</v>
      </c>
      <c r="AS24" s="22"/>
      <c r="AT24" s="22">
        <f t="shared" si="6"/>
        <v>673</v>
      </c>
      <c r="AU24" s="22">
        <f t="shared" si="7"/>
        <v>144.12</v>
      </c>
      <c r="AV24" s="21">
        <f t="shared" si="8"/>
        <v>3291.7599999999998</v>
      </c>
      <c r="AW24" s="21">
        <v>346</v>
      </c>
      <c r="AX24" s="21">
        <f t="shared" si="15"/>
        <v>21721.579999999998</v>
      </c>
      <c r="AY24" s="21"/>
      <c r="AZ24" s="32"/>
      <c r="BA24" s="36"/>
      <c r="BB24" s="21">
        <v>255</v>
      </c>
      <c r="BC24" s="34">
        <f t="shared" si="14"/>
        <v>21976.58</v>
      </c>
      <c r="BD24" s="21">
        <f t="shared" si="9"/>
        <v>1318.59</v>
      </c>
      <c r="BE24" s="21">
        <f t="shared" si="10"/>
        <v>23295.17</v>
      </c>
      <c r="BF24" s="35"/>
    </row>
    <row r="25" spans="1:58" s="3" customFormat="1" ht="15" customHeight="1" x14ac:dyDescent="0.25">
      <c r="A25" s="10">
        <f t="shared" si="11"/>
        <v>23</v>
      </c>
      <c r="B25" s="11">
        <v>2412</v>
      </c>
      <c r="C25" s="11" t="s">
        <v>161</v>
      </c>
      <c r="D25" s="14" t="s">
        <v>162</v>
      </c>
      <c r="E25" s="12" t="s">
        <v>163</v>
      </c>
      <c r="F25" s="13">
        <v>45444</v>
      </c>
      <c r="G25" s="13">
        <v>45808</v>
      </c>
      <c r="H25" s="10"/>
      <c r="I25" s="17" t="s">
        <v>97</v>
      </c>
      <c r="J25" s="18">
        <v>1030</v>
      </c>
      <c r="K25" s="18">
        <v>2040</v>
      </c>
      <c r="L25" s="18">
        <v>7846</v>
      </c>
      <c r="M25" s="18">
        <v>858.78</v>
      </c>
      <c r="N25" s="18"/>
      <c r="O25" s="18"/>
      <c r="P25" s="18">
        <v>500</v>
      </c>
      <c r="Q25" s="18"/>
      <c r="R25" s="18"/>
      <c r="S25" s="18">
        <v>630</v>
      </c>
      <c r="T25" s="18"/>
      <c r="U25" s="18"/>
      <c r="V25" s="18"/>
      <c r="W25" s="18"/>
      <c r="X25" s="18">
        <v>150</v>
      </c>
      <c r="Y25" s="18">
        <v>0</v>
      </c>
      <c r="Z25" s="18"/>
      <c r="AA25" s="21">
        <f t="shared" si="12"/>
        <v>13054.78</v>
      </c>
      <c r="AB25" s="22">
        <v>7974</v>
      </c>
      <c r="AC25" s="23">
        <v>637.91999999999996</v>
      </c>
      <c r="AD25" s="23">
        <v>159.47999999999999</v>
      </c>
      <c r="AE25" s="23">
        <v>39.869999999999997</v>
      </c>
      <c r="AF25" s="22">
        <v>7974</v>
      </c>
      <c r="AG25" s="22">
        <f t="shared" si="16"/>
        <v>558</v>
      </c>
      <c r="AH25" s="21">
        <f t="shared" si="1"/>
        <v>1395.27</v>
      </c>
      <c r="AI25" s="25"/>
      <c r="AJ25" s="25"/>
      <c r="AK25" s="25"/>
      <c r="AL25" s="21">
        <f t="shared" si="2"/>
        <v>11659.51</v>
      </c>
      <c r="AM25" s="22">
        <v>7974</v>
      </c>
      <c r="AN25" s="22">
        <v>7974</v>
      </c>
      <c r="AO25" s="22">
        <f t="shared" si="17"/>
        <v>1275.8399999999999</v>
      </c>
      <c r="AP25" s="22">
        <f t="shared" si="13"/>
        <v>717.66</v>
      </c>
      <c r="AQ25" s="22">
        <f t="shared" si="4"/>
        <v>39.869999999999997</v>
      </c>
      <c r="AR25" s="22">
        <f t="shared" si="5"/>
        <v>20.41</v>
      </c>
      <c r="AS25" s="22"/>
      <c r="AT25" s="22">
        <f t="shared" si="6"/>
        <v>558</v>
      </c>
      <c r="AU25" s="22">
        <f t="shared" si="7"/>
        <v>119.61</v>
      </c>
      <c r="AV25" s="21">
        <f t="shared" si="8"/>
        <v>2731.39</v>
      </c>
      <c r="AW25" s="21">
        <v>245</v>
      </c>
      <c r="AX25" s="21">
        <f t="shared" si="15"/>
        <v>16031.17</v>
      </c>
      <c r="AY25" s="21"/>
      <c r="AZ25" s="32"/>
      <c r="BA25" s="36"/>
      <c r="BB25" s="21">
        <v>255</v>
      </c>
      <c r="BC25" s="34">
        <f t="shared" si="14"/>
        <v>16286.17</v>
      </c>
      <c r="BD25" s="21">
        <f t="shared" si="9"/>
        <v>977.17</v>
      </c>
      <c r="BE25" s="21">
        <f t="shared" si="10"/>
        <v>17263.34</v>
      </c>
      <c r="BF25" s="35"/>
    </row>
    <row r="26" spans="1:58" s="3" customFormat="1" ht="15" customHeight="1" x14ac:dyDescent="0.25">
      <c r="A26" s="10">
        <f t="shared" si="11"/>
        <v>24</v>
      </c>
      <c r="B26" s="11">
        <v>2412</v>
      </c>
      <c r="C26" s="11" t="s">
        <v>164</v>
      </c>
      <c r="D26" s="14" t="s">
        <v>165</v>
      </c>
      <c r="E26" s="12" t="s">
        <v>166</v>
      </c>
      <c r="F26" s="13">
        <v>45444</v>
      </c>
      <c r="G26" s="13">
        <v>45808</v>
      </c>
      <c r="H26" s="10"/>
      <c r="I26" s="17" t="s">
        <v>97</v>
      </c>
      <c r="J26" s="18">
        <v>1030</v>
      </c>
      <c r="K26" s="18">
        <v>2652</v>
      </c>
      <c r="L26" s="18">
        <v>8807</v>
      </c>
      <c r="M26" s="18">
        <v>907.08</v>
      </c>
      <c r="N26" s="18"/>
      <c r="O26" s="18"/>
      <c r="P26" s="18">
        <v>500</v>
      </c>
      <c r="Q26" s="18"/>
      <c r="R26" s="18"/>
      <c r="S26" s="18">
        <v>630</v>
      </c>
      <c r="T26" s="18"/>
      <c r="U26" s="18"/>
      <c r="V26" s="18"/>
      <c r="W26" s="18"/>
      <c r="X26" s="18">
        <v>150</v>
      </c>
      <c r="Y26" s="18">
        <v>0</v>
      </c>
      <c r="Z26" s="18"/>
      <c r="AA26" s="21">
        <f t="shared" si="12"/>
        <v>14676.08</v>
      </c>
      <c r="AB26" s="22">
        <v>7384</v>
      </c>
      <c r="AC26" s="23">
        <v>590.72</v>
      </c>
      <c r="AD26" s="23">
        <v>147.68</v>
      </c>
      <c r="AE26" s="23">
        <v>36.92</v>
      </c>
      <c r="AF26" s="22">
        <v>7139</v>
      </c>
      <c r="AG26" s="22">
        <f t="shared" si="16"/>
        <v>500</v>
      </c>
      <c r="AH26" s="21">
        <f t="shared" si="1"/>
        <v>1275.3200000000002</v>
      </c>
      <c r="AI26" s="25"/>
      <c r="AJ26" s="25"/>
      <c r="AK26" s="25"/>
      <c r="AL26" s="21">
        <f t="shared" si="2"/>
        <v>13400.76</v>
      </c>
      <c r="AM26" s="22">
        <v>7384</v>
      </c>
      <c r="AN26" s="22">
        <v>7139</v>
      </c>
      <c r="AO26" s="22">
        <f t="shared" si="17"/>
        <v>1181.44</v>
      </c>
      <c r="AP26" s="22">
        <f t="shared" si="13"/>
        <v>664.56</v>
      </c>
      <c r="AQ26" s="22">
        <f t="shared" si="4"/>
        <v>36.92</v>
      </c>
      <c r="AR26" s="22">
        <f t="shared" si="5"/>
        <v>18.899999999999999</v>
      </c>
      <c r="AS26" s="22"/>
      <c r="AT26" s="22">
        <f t="shared" si="6"/>
        <v>500</v>
      </c>
      <c r="AU26" s="22">
        <f t="shared" si="7"/>
        <v>110.76</v>
      </c>
      <c r="AV26" s="21">
        <f t="shared" si="8"/>
        <v>2512.5800000000004</v>
      </c>
      <c r="AW26" s="21">
        <v>278</v>
      </c>
      <c r="AX26" s="21">
        <f t="shared" si="15"/>
        <v>17466.66</v>
      </c>
      <c r="AY26" s="21"/>
      <c r="AZ26" s="32"/>
      <c r="BA26" s="36"/>
      <c r="BB26" s="21">
        <v>255</v>
      </c>
      <c r="BC26" s="34">
        <f t="shared" si="14"/>
        <v>17721.66</v>
      </c>
      <c r="BD26" s="21">
        <f t="shared" si="9"/>
        <v>1063.3</v>
      </c>
      <c r="BE26" s="21">
        <f t="shared" si="10"/>
        <v>18784.96</v>
      </c>
      <c r="BF26" s="35"/>
    </row>
    <row r="27" spans="1:58" s="3" customFormat="1" ht="15" customHeight="1" x14ac:dyDescent="0.25">
      <c r="A27" s="10">
        <f t="shared" si="11"/>
        <v>25</v>
      </c>
      <c r="B27" s="11">
        <v>2412</v>
      </c>
      <c r="C27" s="11" t="s">
        <v>167</v>
      </c>
      <c r="D27" s="41" t="s">
        <v>168</v>
      </c>
      <c r="E27" s="12" t="s">
        <v>169</v>
      </c>
      <c r="F27" s="13">
        <v>45444</v>
      </c>
      <c r="G27" s="13">
        <v>45808</v>
      </c>
      <c r="H27" s="10"/>
      <c r="I27" s="17" t="s">
        <v>97</v>
      </c>
      <c r="J27" s="18">
        <v>1030</v>
      </c>
      <c r="K27" s="18">
        <v>1344</v>
      </c>
      <c r="L27" s="18">
        <v>5417</v>
      </c>
      <c r="M27" s="18">
        <v>723.84</v>
      </c>
      <c r="N27" s="18"/>
      <c r="O27" s="18"/>
      <c r="P27" s="18">
        <v>0</v>
      </c>
      <c r="Q27" s="18"/>
      <c r="R27" s="18"/>
      <c r="S27" s="18">
        <v>630</v>
      </c>
      <c r="T27" s="18"/>
      <c r="U27" s="18"/>
      <c r="V27" s="18"/>
      <c r="W27" s="18"/>
      <c r="X27" s="18">
        <v>150</v>
      </c>
      <c r="Y27" s="18">
        <v>0</v>
      </c>
      <c r="Z27" s="18"/>
      <c r="AA27" s="21">
        <f t="shared" si="12"/>
        <v>9294.84</v>
      </c>
      <c r="AB27" s="22">
        <v>11909</v>
      </c>
      <c r="AC27" s="23">
        <v>952.72</v>
      </c>
      <c r="AD27" s="23">
        <v>238.18</v>
      </c>
      <c r="AE27" s="23">
        <v>59.55</v>
      </c>
      <c r="AF27" s="22">
        <v>11909</v>
      </c>
      <c r="AG27" s="22">
        <f t="shared" si="16"/>
        <v>834</v>
      </c>
      <c r="AH27" s="21">
        <f t="shared" si="1"/>
        <v>2084.4499999999998</v>
      </c>
      <c r="AI27" s="25"/>
      <c r="AJ27" s="25"/>
      <c r="AK27" s="25"/>
      <c r="AL27" s="21">
        <f t="shared" si="2"/>
        <v>7210.39</v>
      </c>
      <c r="AM27" s="22">
        <v>11909</v>
      </c>
      <c r="AN27" s="22">
        <v>11909</v>
      </c>
      <c r="AO27" s="22">
        <f t="shared" ref="AO27:AO29" si="18">ROUND(AM27*16%,2)</f>
        <v>1905.44</v>
      </c>
      <c r="AP27" s="22">
        <v>1071.82</v>
      </c>
      <c r="AQ27" s="22">
        <f t="shared" si="4"/>
        <v>59.55</v>
      </c>
      <c r="AR27" s="22">
        <f t="shared" si="5"/>
        <v>30.49</v>
      </c>
      <c r="AS27" s="22"/>
      <c r="AT27" s="22">
        <f t="shared" si="6"/>
        <v>834</v>
      </c>
      <c r="AU27" s="22">
        <f t="shared" si="7"/>
        <v>178.64</v>
      </c>
      <c r="AV27" s="21">
        <f t="shared" si="8"/>
        <v>4079.94</v>
      </c>
      <c r="AW27" s="21">
        <v>170</v>
      </c>
      <c r="AX27" s="21">
        <f t="shared" si="15"/>
        <v>13544.78</v>
      </c>
      <c r="AY27" s="21"/>
      <c r="AZ27" s="32"/>
      <c r="BA27" s="36"/>
      <c r="BB27" s="21">
        <v>255</v>
      </c>
      <c r="BC27" s="34">
        <f t="shared" si="14"/>
        <v>13799.78</v>
      </c>
      <c r="BD27" s="21">
        <f t="shared" si="9"/>
        <v>827.99</v>
      </c>
      <c r="BE27" s="21">
        <f t="shared" si="10"/>
        <v>14627.77</v>
      </c>
      <c r="BF27" s="35"/>
    </row>
    <row r="28" spans="1:58" s="3" customFormat="1" ht="15" customHeight="1" x14ac:dyDescent="0.25">
      <c r="A28" s="10">
        <f t="shared" si="11"/>
        <v>26</v>
      </c>
      <c r="B28" s="11">
        <v>2412</v>
      </c>
      <c r="C28" s="11" t="s">
        <v>170</v>
      </c>
      <c r="D28" s="14" t="s">
        <v>171</v>
      </c>
      <c r="E28" s="12" t="s">
        <v>172</v>
      </c>
      <c r="F28" s="13">
        <v>45444</v>
      </c>
      <c r="G28" s="13">
        <v>45808</v>
      </c>
      <c r="H28" s="10"/>
      <c r="I28" s="17" t="s">
        <v>97</v>
      </c>
      <c r="J28" s="18">
        <v>1200</v>
      </c>
      <c r="K28" s="18">
        <v>2548</v>
      </c>
      <c r="L28" s="18">
        <v>7945</v>
      </c>
      <c r="M28" s="18">
        <v>643.79999999999995</v>
      </c>
      <c r="N28" s="18"/>
      <c r="O28" s="18"/>
      <c r="P28" s="18">
        <v>0</v>
      </c>
      <c r="Q28" s="18"/>
      <c r="R28" s="18"/>
      <c r="S28" s="18">
        <v>630</v>
      </c>
      <c r="T28" s="18"/>
      <c r="U28" s="18"/>
      <c r="V28" s="18"/>
      <c r="W28" s="18"/>
      <c r="X28" s="18">
        <v>150</v>
      </c>
      <c r="Y28" s="18">
        <v>0</v>
      </c>
      <c r="Z28" s="18"/>
      <c r="AA28" s="21">
        <f t="shared" si="12"/>
        <v>13116.8</v>
      </c>
      <c r="AB28" s="22">
        <v>14537</v>
      </c>
      <c r="AC28" s="23">
        <v>1162.96</v>
      </c>
      <c r="AD28" s="23">
        <v>290.74</v>
      </c>
      <c r="AE28" s="23">
        <v>72.69</v>
      </c>
      <c r="AF28" s="22">
        <v>14537</v>
      </c>
      <c r="AG28" s="22">
        <f t="shared" si="16"/>
        <v>1018</v>
      </c>
      <c r="AH28" s="21">
        <f t="shared" si="1"/>
        <v>2544.3900000000003</v>
      </c>
      <c r="AI28" s="25"/>
      <c r="AJ28" s="25"/>
      <c r="AK28" s="25"/>
      <c r="AL28" s="21">
        <f t="shared" si="2"/>
        <v>10572.41</v>
      </c>
      <c r="AM28" s="22">
        <v>14537</v>
      </c>
      <c r="AN28" s="22">
        <v>14537</v>
      </c>
      <c r="AO28" s="22">
        <f t="shared" si="18"/>
        <v>2325.92</v>
      </c>
      <c r="AP28" s="22">
        <v>1308.3399999999999</v>
      </c>
      <c r="AQ28" s="22">
        <f t="shared" si="4"/>
        <v>72.69</v>
      </c>
      <c r="AR28" s="22">
        <f t="shared" si="5"/>
        <v>37.21</v>
      </c>
      <c r="AS28" s="22"/>
      <c r="AT28" s="22">
        <f t="shared" si="6"/>
        <v>1018</v>
      </c>
      <c r="AU28" s="22">
        <f t="shared" si="7"/>
        <v>218.06</v>
      </c>
      <c r="AV28" s="21">
        <f t="shared" si="8"/>
        <v>4980.22</v>
      </c>
      <c r="AW28" s="21">
        <v>247</v>
      </c>
      <c r="AX28" s="21">
        <f t="shared" si="15"/>
        <v>18344.02</v>
      </c>
      <c r="AY28" s="21"/>
      <c r="AZ28" s="32"/>
      <c r="BA28" s="36"/>
      <c r="BB28" s="21">
        <v>255</v>
      </c>
      <c r="BC28" s="34">
        <f t="shared" si="14"/>
        <v>18599.02</v>
      </c>
      <c r="BD28" s="21">
        <f t="shared" si="9"/>
        <v>1115.94</v>
      </c>
      <c r="BE28" s="21">
        <f t="shared" si="10"/>
        <v>19714.96</v>
      </c>
      <c r="BF28" s="35"/>
    </row>
    <row r="29" spans="1:58" s="3" customFormat="1" ht="15" customHeight="1" x14ac:dyDescent="0.25">
      <c r="A29" s="10">
        <f t="shared" si="11"/>
        <v>27</v>
      </c>
      <c r="B29" s="11">
        <v>2412</v>
      </c>
      <c r="C29" s="11" t="s">
        <v>173</v>
      </c>
      <c r="D29" s="14" t="s">
        <v>174</v>
      </c>
      <c r="E29" s="12" t="s">
        <v>175</v>
      </c>
      <c r="F29" s="13">
        <v>45444</v>
      </c>
      <c r="G29" s="13">
        <v>45808</v>
      </c>
      <c r="H29" s="10"/>
      <c r="I29" s="17" t="s">
        <v>97</v>
      </c>
      <c r="J29" s="18">
        <v>800</v>
      </c>
      <c r="K29" s="18">
        <v>1929.9</v>
      </c>
      <c r="L29" s="18">
        <v>9695.65</v>
      </c>
      <c r="M29" s="18">
        <v>1886.64</v>
      </c>
      <c r="N29" s="18"/>
      <c r="O29" s="18"/>
      <c r="P29" s="18">
        <v>0</v>
      </c>
      <c r="Q29" s="18"/>
      <c r="R29" s="18"/>
      <c r="S29" s="18">
        <v>630</v>
      </c>
      <c r="T29" s="18"/>
      <c r="U29" s="18"/>
      <c r="V29" s="18"/>
      <c r="W29" s="18"/>
      <c r="X29" s="18">
        <v>150</v>
      </c>
      <c r="Y29" s="18">
        <v>0</v>
      </c>
      <c r="Z29" s="18"/>
      <c r="AA29" s="21">
        <f t="shared" si="12"/>
        <v>15092.189999999999</v>
      </c>
      <c r="AB29" s="22">
        <v>7384</v>
      </c>
      <c r="AC29" s="23">
        <v>590.72</v>
      </c>
      <c r="AD29" s="23">
        <v>147.68</v>
      </c>
      <c r="AE29" s="23">
        <v>36.92</v>
      </c>
      <c r="AF29" s="22">
        <v>5239</v>
      </c>
      <c r="AG29" s="22">
        <f t="shared" si="16"/>
        <v>367</v>
      </c>
      <c r="AH29" s="21">
        <f t="shared" si="1"/>
        <v>1142.3200000000002</v>
      </c>
      <c r="AI29" s="25"/>
      <c r="AJ29" s="25"/>
      <c r="AK29" s="25"/>
      <c r="AL29" s="21">
        <f t="shared" si="2"/>
        <v>13949.869999999999</v>
      </c>
      <c r="AM29" s="22">
        <v>7384</v>
      </c>
      <c r="AN29" s="22">
        <v>5239</v>
      </c>
      <c r="AO29" s="22">
        <f t="shared" si="18"/>
        <v>1181.44</v>
      </c>
      <c r="AP29" s="22">
        <f t="shared" si="13"/>
        <v>664.56</v>
      </c>
      <c r="AQ29" s="22">
        <f t="shared" si="4"/>
        <v>36.92</v>
      </c>
      <c r="AR29" s="22">
        <f t="shared" si="5"/>
        <v>18.899999999999999</v>
      </c>
      <c r="AS29" s="22"/>
      <c r="AT29" s="22">
        <f t="shared" si="6"/>
        <v>367</v>
      </c>
      <c r="AU29" s="22">
        <f t="shared" si="7"/>
        <v>110.76</v>
      </c>
      <c r="AV29" s="21">
        <f t="shared" si="8"/>
        <v>2379.5800000000004</v>
      </c>
      <c r="AW29" s="21">
        <v>286</v>
      </c>
      <c r="AX29" s="21">
        <f t="shared" si="15"/>
        <v>17757.77</v>
      </c>
      <c r="AY29" s="21"/>
      <c r="AZ29" s="32"/>
      <c r="BA29" s="36"/>
      <c r="BB29" s="21">
        <v>255</v>
      </c>
      <c r="BC29" s="34">
        <f t="shared" si="14"/>
        <v>18012.77</v>
      </c>
      <c r="BD29" s="21">
        <f t="shared" si="9"/>
        <v>1080.77</v>
      </c>
      <c r="BE29" s="21">
        <f t="shared" si="10"/>
        <v>19093.54</v>
      </c>
      <c r="BF29" s="35"/>
    </row>
    <row r="30" spans="1:58" x14ac:dyDescent="0.25">
      <c r="A30" s="4" t="s">
        <v>176</v>
      </c>
      <c r="AA30" s="24">
        <f>SUBTOTAL(9,AA3:AA29)</f>
        <v>380922.43000000005</v>
      </c>
      <c r="AC30" s="38"/>
      <c r="AD30" s="38"/>
      <c r="AE30" s="38"/>
      <c r="AF30" s="37"/>
      <c r="AG30" s="38"/>
      <c r="AH30" s="24">
        <f>SUBTOTAL(9,AH3:AH29)</f>
        <v>46020.419999999991</v>
      </c>
      <c r="AL30" s="24">
        <f>SUBTOTAL(9,AL3:AL29)</f>
        <v>334902.01</v>
      </c>
      <c r="AV30" s="24">
        <f>SUBTOTAL(9,AV3:AV29)</f>
        <v>90627.22</v>
      </c>
      <c r="AW30" s="42">
        <f>SUM(AW3:AW29)</f>
        <v>7197</v>
      </c>
      <c r="AX30" s="24">
        <f>SUBTOTAL(9,AX3:AX29)</f>
        <v>478746.65</v>
      </c>
      <c r="AY30" s="24"/>
      <c r="AZ30" s="24">
        <f>SUBTOTAL(9,AZ3:AZ29)</f>
        <v>0</v>
      </c>
      <c r="BB30" s="24">
        <f>SUBTOTAL(9,BB3:BB29)</f>
        <v>6885</v>
      </c>
      <c r="BC30" s="40">
        <f>SUBTOTAL(9,BC3:BC29)</f>
        <v>485631.65</v>
      </c>
      <c r="BD30" s="24">
        <f>SUBTOTAL(9,BD3:BD29)</f>
        <v>29137.920000000002</v>
      </c>
      <c r="BE30" s="24">
        <f>SUBTOTAL(9,BE3:BE29)</f>
        <v>514769.57000000007</v>
      </c>
    </row>
    <row r="31" spans="1:58" x14ac:dyDescent="0.25">
      <c r="AW31" s="4">
        <v>22743</v>
      </c>
    </row>
    <row r="32" spans="1:58" x14ac:dyDescent="0.25">
      <c r="BC32" s="39"/>
    </row>
    <row r="33" spans="6:48" x14ac:dyDescent="0.25">
      <c r="F33" s="4" t="s">
        <v>177</v>
      </c>
      <c r="AH33" s="39"/>
    </row>
    <row r="34" spans="6:48" x14ac:dyDescent="0.25">
      <c r="AV34" s="39"/>
    </row>
  </sheetData>
  <autoFilter ref="A1:BF29" xr:uid="{00000000-0009-0000-0000-000000000000}"/>
  <mergeCells count="1">
    <mergeCell ref="N1:Z1"/>
  </mergeCells>
  <phoneticPr fontId="12" type="noConversion"/>
  <conditionalFormatting sqref="C1">
    <cfRule type="duplicateValues" dxfId="20" priority="77"/>
    <cfRule type="duplicateValues" dxfId="19" priority="78"/>
    <cfRule type="duplicateValues" dxfId="18" priority="79"/>
    <cfRule type="duplicateValues" dxfId="17" priority="80"/>
    <cfRule type="duplicateValues" dxfId="16" priority="81"/>
    <cfRule type="duplicateValues" dxfId="15" priority="82"/>
  </conditionalFormatting>
  <conditionalFormatting sqref="D1">
    <cfRule type="duplicateValues" dxfId="14" priority="104"/>
    <cfRule type="duplicateValues" dxfId="13" priority="105"/>
    <cfRule type="duplicateValues" dxfId="12" priority="106"/>
    <cfRule type="duplicateValues" dxfId="11" priority="107"/>
    <cfRule type="duplicateValues" dxfId="10" priority="108"/>
    <cfRule type="duplicateValues" dxfId="9" priority="109"/>
  </conditionalFormatting>
  <conditionalFormatting sqref="C2">
    <cfRule type="duplicateValues" dxfId="8" priority="74"/>
    <cfRule type="duplicateValues" dxfId="7" priority="75"/>
    <cfRule type="duplicateValues" dxfId="6" priority="76"/>
  </conditionalFormatting>
  <conditionalFormatting sqref="D2">
    <cfRule type="duplicateValues" dxfId="5" priority="101"/>
    <cfRule type="duplicateValues" dxfId="4" priority="102"/>
    <cfRule type="duplicateValues" dxfId="3" priority="103"/>
  </conditionalFormatting>
  <conditionalFormatting sqref="AB3:AB29">
    <cfRule type="cellIs" dxfId="2" priority="4" operator="lessThan">
      <formula>7384</formula>
    </cfRule>
  </conditionalFormatting>
  <conditionalFormatting sqref="AM3:AM29">
    <cfRule type="cellIs" dxfId="1" priority="2" operator="lessThan">
      <formula>7384</formula>
    </cfRule>
    <cfRule type="cellIs" dxfId="0" priority="3" operator="lessThan">
      <formula>7384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21C44-D2C2-4284-92BB-2A5D58460127}">
  <dimension ref="A1:I27"/>
  <sheetViews>
    <sheetView tabSelected="1" workbookViewId="0">
      <selection activeCell="F22" sqref="F22"/>
    </sheetView>
  </sheetViews>
  <sheetFormatPr defaultRowHeight="13.8" x14ac:dyDescent="0.25"/>
  <cols>
    <col min="1" max="1" width="35" customWidth="1"/>
    <col min="2" max="2" width="17.88671875" customWidth="1"/>
    <col min="3" max="3" width="20.33203125" customWidth="1"/>
    <col min="4" max="4" width="16.88671875" customWidth="1"/>
    <col min="5" max="5" width="30.88671875" customWidth="1"/>
    <col min="6" max="6" width="23.6640625" customWidth="1"/>
    <col min="7" max="7" width="19.77734375" customWidth="1"/>
    <col min="8" max="8" width="19.33203125" customWidth="1"/>
    <col min="9" max="9" width="12.6640625" customWidth="1"/>
  </cols>
  <sheetData>
    <row r="1" spans="1:9" x14ac:dyDescent="0.25">
      <c r="A1" s="46" t="s">
        <v>181</v>
      </c>
      <c r="B1" s="47" t="s">
        <v>182</v>
      </c>
      <c r="C1" s="47" t="s">
        <v>183</v>
      </c>
      <c r="D1" s="47">
        <v>155</v>
      </c>
      <c r="E1" s="47" t="s">
        <v>184</v>
      </c>
      <c r="F1" s="47" t="s">
        <v>185</v>
      </c>
      <c r="G1" s="47" t="s">
        <v>186</v>
      </c>
      <c r="H1" s="47" t="s">
        <v>176</v>
      </c>
      <c r="I1" s="48" t="s">
        <v>187</v>
      </c>
    </row>
    <row r="2" spans="1:9" x14ac:dyDescent="0.25">
      <c r="A2" s="46" t="s">
        <v>188</v>
      </c>
      <c r="B2" s="47">
        <f>'202412'!BD30+B10*0.06</f>
        <v>30502.5</v>
      </c>
      <c r="C2" s="47">
        <f>系统!E43</f>
        <v>31146.850000000009</v>
      </c>
      <c r="D2" s="47"/>
      <c r="E2" s="47"/>
      <c r="F2" s="47"/>
      <c r="G2" s="47"/>
      <c r="H2" s="47">
        <f>SUM(C2:G2)</f>
        <v>31146.850000000009</v>
      </c>
      <c r="I2" s="49">
        <f t="shared" ref="I2:I10" si="0">B2-C2</f>
        <v>-644.35000000000946</v>
      </c>
    </row>
    <row r="3" spans="1:9" x14ac:dyDescent="0.25">
      <c r="A3" s="46" t="s">
        <v>189</v>
      </c>
      <c r="B3" s="47">
        <f>'202412'!BB30</f>
        <v>6885</v>
      </c>
      <c r="C3" s="47">
        <v>0</v>
      </c>
      <c r="D3" s="47">
        <f>27*155</f>
        <v>4185</v>
      </c>
      <c r="E3" s="47"/>
      <c r="F3" s="47"/>
      <c r="G3" s="47"/>
      <c r="H3" s="47">
        <f>SUM(C3:G3)</f>
        <v>4185</v>
      </c>
      <c r="I3" s="49">
        <f t="shared" si="0"/>
        <v>6885</v>
      </c>
    </row>
    <row r="4" spans="1:9" x14ac:dyDescent="0.25">
      <c r="A4" s="46" t="s">
        <v>190</v>
      </c>
      <c r="B4" s="47">
        <f>'202412'!AH30</f>
        <v>46020.419999999991</v>
      </c>
      <c r="C4" s="47">
        <f>系统!V43</f>
        <v>46020.419999999991</v>
      </c>
      <c r="D4" s="47"/>
      <c r="E4" s="47"/>
      <c r="F4" s="47"/>
      <c r="G4" s="47"/>
      <c r="H4" s="47">
        <f>SUM(C4:G4)</f>
        <v>46020.419999999991</v>
      </c>
      <c r="I4" s="49">
        <f t="shared" si="0"/>
        <v>0</v>
      </c>
    </row>
    <row r="5" spans="1:9" x14ac:dyDescent="0.25">
      <c r="A5" s="46" t="s">
        <v>191</v>
      </c>
      <c r="B5" s="47">
        <f>'202412'!AV30</f>
        <v>90627.22</v>
      </c>
      <c r="C5" s="47">
        <f>系统!O43</f>
        <v>90627.220000000016</v>
      </c>
      <c r="D5" s="47"/>
      <c r="E5" s="50"/>
      <c r="F5" s="47"/>
      <c r="G5" s="47"/>
      <c r="H5" s="47">
        <f>SUM(C5:E5)</f>
        <v>90627.220000000016</v>
      </c>
      <c r="I5" s="49">
        <f t="shared" si="0"/>
        <v>0</v>
      </c>
    </row>
    <row r="6" spans="1:9" x14ac:dyDescent="0.25">
      <c r="A6" s="46" t="s">
        <v>33</v>
      </c>
      <c r="B6" s="47"/>
      <c r="C6" s="47"/>
      <c r="D6" s="47"/>
      <c r="E6" s="47"/>
      <c r="F6" s="47"/>
      <c r="G6" s="47"/>
      <c r="H6" s="47">
        <f t="shared" ref="H6:H10" si="1">SUM(C6:G6)</f>
        <v>0</v>
      </c>
      <c r="I6" s="49">
        <f t="shared" si="0"/>
        <v>0</v>
      </c>
    </row>
    <row r="7" spans="1:9" x14ac:dyDescent="0.25">
      <c r="A7" s="46" t="s">
        <v>192</v>
      </c>
      <c r="B7" s="47">
        <f>'202412'!AA30-'202412'!AH30</f>
        <v>334902.01000000007</v>
      </c>
      <c r="C7" s="47">
        <f>系统!W43</f>
        <v>334767.00999999989</v>
      </c>
      <c r="D7" s="47">
        <f>5*27+0.05</f>
        <v>135.05000000000001</v>
      </c>
      <c r="E7" s="47"/>
      <c r="F7" s="47"/>
      <c r="G7" s="47"/>
      <c r="H7" s="47">
        <f t="shared" si="1"/>
        <v>334902.05999999988</v>
      </c>
      <c r="I7" s="49">
        <f t="shared" si="0"/>
        <v>135.00000000017462</v>
      </c>
    </row>
    <row r="8" spans="1:9" x14ac:dyDescent="0.25">
      <c r="A8" s="46" t="s">
        <v>193</v>
      </c>
      <c r="B8" s="47"/>
      <c r="C8" s="47"/>
      <c r="D8" s="47"/>
      <c r="E8" s="51"/>
      <c r="F8" s="51"/>
      <c r="G8" s="52"/>
      <c r="H8" s="47">
        <f t="shared" si="1"/>
        <v>0</v>
      </c>
      <c r="I8" s="49">
        <f t="shared" si="0"/>
        <v>0</v>
      </c>
    </row>
    <row r="9" spans="1:9" x14ac:dyDescent="0.25">
      <c r="A9" s="46" t="s">
        <v>186</v>
      </c>
      <c r="B9" s="47">
        <f>'202412'!AW30</f>
        <v>7197</v>
      </c>
      <c r="C9" s="47"/>
      <c r="D9" s="47"/>
      <c r="E9" s="47"/>
      <c r="F9" s="47">
        <f>B10</f>
        <v>22743</v>
      </c>
      <c r="G9" s="52">
        <f>B9</f>
        <v>7197</v>
      </c>
      <c r="H9" s="47">
        <f t="shared" si="1"/>
        <v>29940</v>
      </c>
      <c r="I9" s="49">
        <f t="shared" si="0"/>
        <v>7197</v>
      </c>
    </row>
    <row r="10" spans="1:9" x14ac:dyDescent="0.25">
      <c r="A10" s="46" t="s">
        <v>185</v>
      </c>
      <c r="B10" s="47">
        <f>22743</f>
        <v>22743</v>
      </c>
      <c r="C10" s="47"/>
      <c r="D10" s="47"/>
      <c r="E10" s="47"/>
      <c r="F10" s="47"/>
      <c r="G10" s="47"/>
      <c r="H10" s="47">
        <f t="shared" si="1"/>
        <v>0</v>
      </c>
      <c r="I10" s="49">
        <f t="shared" si="0"/>
        <v>22743</v>
      </c>
    </row>
    <row r="11" spans="1:9" x14ac:dyDescent="0.25">
      <c r="A11" s="53" t="s">
        <v>194</v>
      </c>
      <c r="B11" s="54">
        <f t="shared" ref="B11" si="2">SUM(B2:B10)</f>
        <v>538877.15</v>
      </c>
      <c r="C11" s="54">
        <f>SUM(C2:C10)</f>
        <v>502561.49999999988</v>
      </c>
      <c r="D11" s="54">
        <f>SUM(D2:D10)</f>
        <v>4320.05</v>
      </c>
      <c r="E11" s="54"/>
      <c r="F11" s="54">
        <f>F9</f>
        <v>22743</v>
      </c>
      <c r="G11" s="54">
        <f>G9</f>
        <v>7197</v>
      </c>
      <c r="H11" s="54">
        <f>SUM(C11:G11)</f>
        <v>536821.54999999981</v>
      </c>
    </row>
    <row r="12" spans="1:9" x14ac:dyDescent="0.25">
      <c r="A12" s="46" t="s">
        <v>195</v>
      </c>
      <c r="B12" s="47"/>
      <c r="C12" s="47"/>
      <c r="D12" s="47"/>
      <c r="E12" s="47"/>
      <c r="F12" s="47"/>
      <c r="G12" s="47"/>
      <c r="H12" s="47"/>
    </row>
    <row r="13" spans="1:9" x14ac:dyDescent="0.25">
      <c r="A13" s="46" t="s">
        <v>41</v>
      </c>
      <c r="B13" s="47"/>
      <c r="C13" s="47"/>
      <c r="D13" s="47">
        <f>ROUND((D11+D12)*6%,2)</f>
        <v>259.2</v>
      </c>
      <c r="E13" s="47"/>
      <c r="F13" s="47">
        <f>ROUND((F11+F12)*6%,2)</f>
        <v>1364.58</v>
      </c>
      <c r="G13" s="47">
        <f>ROUND((G11+G12)*6%,2)</f>
        <v>431.82</v>
      </c>
      <c r="H13" s="47">
        <f>SUM(C13:G13)</f>
        <v>2055.6</v>
      </c>
    </row>
    <row r="14" spans="1:9" x14ac:dyDescent="0.25">
      <c r="A14" s="55" t="s">
        <v>42</v>
      </c>
      <c r="B14" s="56">
        <f>SUM(B11:B13)</f>
        <v>538877.15</v>
      </c>
      <c r="C14" s="56">
        <f t="shared" ref="C14" si="3">SUM(C11:C13)</f>
        <v>502561.49999999988</v>
      </c>
      <c r="D14" s="56">
        <f>SUM(D11:D13)</f>
        <v>4579.25</v>
      </c>
      <c r="E14" s="56"/>
      <c r="F14" s="56">
        <f>SUM(F11:F13)</f>
        <v>24107.58</v>
      </c>
      <c r="G14" s="56">
        <f>SUM(G11:G13)</f>
        <v>7628.82</v>
      </c>
      <c r="H14" s="56">
        <f>SUM(C14:G14)</f>
        <v>538877.14999999979</v>
      </c>
    </row>
    <row r="15" spans="1:9" x14ac:dyDescent="0.25">
      <c r="A15" s="55" t="s">
        <v>196</v>
      </c>
      <c r="B15" s="56"/>
      <c r="C15" s="56"/>
      <c r="D15" s="56"/>
      <c r="E15" s="56"/>
      <c r="F15" s="56"/>
      <c r="G15" s="56"/>
      <c r="H15" s="56">
        <f>B14</f>
        <v>538877.15</v>
      </c>
    </row>
    <row r="16" spans="1:9" x14ac:dyDescent="0.25">
      <c r="A16" s="46" t="s">
        <v>197</v>
      </c>
      <c r="B16" s="47"/>
      <c r="C16" s="47"/>
      <c r="D16" s="47"/>
      <c r="E16" s="47"/>
      <c r="F16" s="47"/>
      <c r="G16" s="47"/>
      <c r="H16" s="47">
        <f>H15-H14</f>
        <v>0</v>
      </c>
    </row>
    <row r="17" spans="1:8" x14ac:dyDescent="0.25">
      <c r="A17" s="46" t="s">
        <v>198</v>
      </c>
      <c r="B17" s="47"/>
      <c r="C17" s="47"/>
      <c r="D17" s="47"/>
      <c r="E17" s="47"/>
      <c r="F17" s="47"/>
      <c r="G17" s="47"/>
      <c r="H17" s="47">
        <f>ROUND(H16/1.06,2)</f>
        <v>0</v>
      </c>
    </row>
    <row r="19" spans="1:8" x14ac:dyDescent="0.25">
      <c r="C19" s="49"/>
      <c r="D19" s="49"/>
    </row>
    <row r="27" spans="1:8" x14ac:dyDescent="0.25">
      <c r="D27" s="47"/>
    </row>
  </sheetData>
  <phoneticPr fontId="17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42F2-682F-415E-AEE9-4B6CC0669531}">
  <dimension ref="A1:AE91"/>
  <sheetViews>
    <sheetView topLeftCell="A17" workbookViewId="0">
      <selection activeCell="F15" sqref="F15"/>
    </sheetView>
  </sheetViews>
  <sheetFormatPr defaultRowHeight="13.8" x14ac:dyDescent="0.25"/>
  <cols>
    <col min="1" max="4" width="8.88671875" style="58"/>
    <col min="5" max="24" width="8.88671875" style="59"/>
    <col min="25" max="25" width="10.21875" style="59" bestFit="1" customWidth="1"/>
    <col min="26" max="27" width="8.88671875" style="58"/>
    <col min="28" max="28" width="15.77734375" style="58" customWidth="1"/>
    <col min="29" max="29" width="8.88671875" style="59"/>
    <col min="30" max="30" width="8.88671875" style="58"/>
    <col min="31" max="31" width="8.88671875" style="59"/>
    <col min="32" max="16384" width="8.88671875" style="58"/>
  </cols>
  <sheetData>
    <row r="1" spans="1:31" x14ac:dyDescent="0.25">
      <c r="A1" s="57" t="s">
        <v>199</v>
      </c>
    </row>
    <row r="2" spans="1:31" x14ac:dyDescent="0.25">
      <c r="A2" s="57" t="s">
        <v>200</v>
      </c>
    </row>
    <row r="3" spans="1:31" x14ac:dyDescent="0.25">
      <c r="B3" s="57" t="s">
        <v>201</v>
      </c>
    </row>
    <row r="6" spans="1:31" ht="20.399999999999999" x14ac:dyDescent="0.25">
      <c r="D6" s="60" t="s">
        <v>202</v>
      </c>
    </row>
    <row r="7" spans="1:31" ht="20.399999999999999" x14ac:dyDescent="0.25">
      <c r="C7" s="60" t="s">
        <v>203</v>
      </c>
    </row>
    <row r="9" spans="1:31" ht="20.399999999999999" x14ac:dyDescent="0.25">
      <c r="E9" s="61" t="s">
        <v>204</v>
      </c>
    </row>
    <row r="10" spans="1:31" ht="20.399999999999999" x14ac:dyDescent="0.25">
      <c r="E10" s="61" t="s">
        <v>205</v>
      </c>
    </row>
    <row r="11" spans="1:31" ht="15.6" x14ac:dyDescent="0.25">
      <c r="E11" s="62" t="s">
        <v>206</v>
      </c>
    </row>
    <row r="13" spans="1:31" s="64" customFormat="1" ht="13.2" x14ac:dyDescent="0.25">
      <c r="A13" s="63" t="s">
        <v>207</v>
      </c>
      <c r="E13" s="65"/>
      <c r="F13" s="65"/>
      <c r="G13" s="65"/>
      <c r="H13" s="65"/>
      <c r="I13" s="65"/>
      <c r="J13" s="66" t="s">
        <v>208</v>
      </c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AC13" s="65"/>
      <c r="AE13" s="65"/>
    </row>
    <row r="14" spans="1:31" s="67" customFormat="1" ht="60" customHeight="1" x14ac:dyDescent="0.15">
      <c r="A14" s="67" t="s">
        <v>0</v>
      </c>
      <c r="B14" s="67" t="s">
        <v>3</v>
      </c>
      <c r="C14" s="67" t="s">
        <v>209</v>
      </c>
      <c r="D14" s="67" t="s">
        <v>210</v>
      </c>
      <c r="E14" s="68" t="s">
        <v>188</v>
      </c>
      <c r="F14" s="68" t="s">
        <v>211</v>
      </c>
      <c r="G14" s="68" t="s">
        <v>212</v>
      </c>
      <c r="H14" s="69" t="s">
        <v>213</v>
      </c>
      <c r="I14" s="70"/>
      <c r="J14" s="70"/>
      <c r="K14" s="70"/>
      <c r="L14" s="70"/>
      <c r="M14" s="71"/>
      <c r="N14" s="72" t="s">
        <v>214</v>
      </c>
      <c r="O14" s="68" t="s">
        <v>215</v>
      </c>
      <c r="P14" s="69" t="s">
        <v>216</v>
      </c>
      <c r="Q14" s="70"/>
      <c r="R14" s="70"/>
      <c r="S14" s="70"/>
      <c r="T14" s="71"/>
      <c r="U14" s="72" t="s">
        <v>217</v>
      </c>
      <c r="V14" s="68" t="s">
        <v>218</v>
      </c>
      <c r="W14" s="68" t="s">
        <v>219</v>
      </c>
      <c r="X14" s="68" t="s">
        <v>220</v>
      </c>
      <c r="Y14" s="73" t="s">
        <v>42</v>
      </c>
      <c r="Z14" s="67" t="s">
        <v>221</v>
      </c>
      <c r="AA14" s="67" t="s">
        <v>222</v>
      </c>
      <c r="AB14" s="67" t="s">
        <v>223</v>
      </c>
      <c r="AC14" s="68" t="s">
        <v>224</v>
      </c>
      <c r="AD14" s="67" t="s">
        <v>225</v>
      </c>
      <c r="AE14" s="68" t="s">
        <v>41</v>
      </c>
    </row>
    <row r="15" spans="1:31" s="74" customFormat="1" ht="60" customHeight="1" x14ac:dyDescent="0.25">
      <c r="A15" s="74" t="s">
        <v>226</v>
      </c>
      <c r="B15" s="74" t="s">
        <v>46</v>
      </c>
      <c r="C15" s="74" t="s">
        <v>227</v>
      </c>
      <c r="D15" s="74" t="s">
        <v>228</v>
      </c>
      <c r="E15" s="75" t="s">
        <v>229</v>
      </c>
      <c r="F15" s="75" t="s">
        <v>230</v>
      </c>
      <c r="G15" s="75" t="s">
        <v>231</v>
      </c>
      <c r="H15" s="76" t="s">
        <v>232</v>
      </c>
      <c r="I15" s="76" t="s">
        <v>233</v>
      </c>
      <c r="J15" s="76" t="s">
        <v>234</v>
      </c>
      <c r="K15" s="76" t="s">
        <v>235</v>
      </c>
      <c r="L15" s="76" t="s">
        <v>236</v>
      </c>
      <c r="M15" s="76" t="s">
        <v>237</v>
      </c>
      <c r="N15" s="76" t="s">
        <v>238</v>
      </c>
      <c r="O15" s="75" t="s">
        <v>239</v>
      </c>
      <c r="P15" s="76" t="s">
        <v>232</v>
      </c>
      <c r="Q15" s="76" t="s">
        <v>233</v>
      </c>
      <c r="R15" s="76" t="s">
        <v>234</v>
      </c>
      <c r="S15" s="76" t="s">
        <v>235</v>
      </c>
      <c r="T15" s="76" t="s">
        <v>236</v>
      </c>
      <c r="U15" s="76" t="s">
        <v>238</v>
      </c>
      <c r="V15" s="75" t="s">
        <v>240</v>
      </c>
      <c r="W15" s="75" t="s">
        <v>241</v>
      </c>
      <c r="X15" s="75" t="s">
        <v>242</v>
      </c>
      <c r="Y15" s="77" t="s">
        <v>91</v>
      </c>
      <c r="Z15" s="74" t="s">
        <v>243</v>
      </c>
      <c r="AA15" s="74" t="s">
        <v>244</v>
      </c>
      <c r="AB15" s="74" t="s">
        <v>245</v>
      </c>
      <c r="AC15" s="75" t="s">
        <v>246</v>
      </c>
      <c r="AD15" s="74" t="s">
        <v>247</v>
      </c>
      <c r="AE15" s="75" t="s">
        <v>92</v>
      </c>
    </row>
    <row r="16" spans="1:31" s="78" customFormat="1" ht="11.4" x14ac:dyDescent="0.25">
      <c r="A16" s="78">
        <v>1</v>
      </c>
      <c r="B16" s="78" t="s">
        <v>153</v>
      </c>
      <c r="C16" s="78" t="s">
        <v>248</v>
      </c>
      <c r="D16" s="78" t="s">
        <v>249</v>
      </c>
      <c r="E16" s="79">
        <v>1436.41</v>
      </c>
      <c r="F16" s="79">
        <v>10043</v>
      </c>
      <c r="G16" s="79">
        <v>10043</v>
      </c>
      <c r="H16" s="79">
        <v>1606.88</v>
      </c>
      <c r="I16" s="79">
        <v>903.88</v>
      </c>
      <c r="J16" s="79">
        <v>50.22</v>
      </c>
      <c r="K16" s="79">
        <v>25.71</v>
      </c>
      <c r="L16" s="79"/>
      <c r="M16" s="79">
        <v>150.65</v>
      </c>
      <c r="N16" s="79">
        <v>703</v>
      </c>
      <c r="O16" s="79">
        <f t="shared" ref="O16:O42" si="0">SUM(H16:N16)</f>
        <v>3440.34</v>
      </c>
      <c r="P16" s="79">
        <v>803.44</v>
      </c>
      <c r="Q16" s="79">
        <v>200.86</v>
      </c>
      <c r="R16" s="79">
        <v>50.22</v>
      </c>
      <c r="S16" s="79"/>
      <c r="T16" s="79"/>
      <c r="U16" s="79">
        <v>703</v>
      </c>
      <c r="V16" s="79">
        <f t="shared" ref="V16:V42" si="1">SUM(P16:U16)</f>
        <v>1757.52</v>
      </c>
      <c r="W16" s="79">
        <v>16975.64</v>
      </c>
      <c r="X16" s="79"/>
      <c r="Y16" s="80">
        <f t="shared" ref="Y16:Y41" si="2">SUM(E16,O16,V16:X16)</f>
        <v>23609.91</v>
      </c>
      <c r="AA16" s="78" t="s">
        <v>250</v>
      </c>
      <c r="AB16" s="78" t="s">
        <v>154</v>
      </c>
      <c r="AC16" s="81">
        <v>22273.51</v>
      </c>
      <c r="AD16" s="78" t="s">
        <v>251</v>
      </c>
      <c r="AE16" s="81">
        <v>1336.4</v>
      </c>
    </row>
    <row r="17" spans="1:31" s="78" customFormat="1" ht="11.4" x14ac:dyDescent="0.25">
      <c r="A17" s="78">
        <v>2</v>
      </c>
      <c r="B17" s="78" t="s">
        <v>159</v>
      </c>
      <c r="C17" s="78" t="s">
        <v>248</v>
      </c>
      <c r="D17" s="78" t="s">
        <v>249</v>
      </c>
      <c r="E17" s="79">
        <v>1388.24</v>
      </c>
      <c r="F17" s="79">
        <v>9608</v>
      </c>
      <c r="G17" s="79">
        <v>9608</v>
      </c>
      <c r="H17" s="79">
        <v>1537.28</v>
      </c>
      <c r="I17" s="79">
        <v>864.72</v>
      </c>
      <c r="J17" s="79">
        <v>48.04</v>
      </c>
      <c r="K17" s="79">
        <v>24.6</v>
      </c>
      <c r="L17" s="79"/>
      <c r="M17" s="79">
        <v>144.12</v>
      </c>
      <c r="N17" s="79">
        <v>673</v>
      </c>
      <c r="O17" s="79">
        <f t="shared" si="0"/>
        <v>3291.7599999999998</v>
      </c>
      <c r="P17" s="79">
        <v>768.64</v>
      </c>
      <c r="Q17" s="79">
        <v>192.16</v>
      </c>
      <c r="R17" s="79">
        <v>48.04</v>
      </c>
      <c r="S17" s="79"/>
      <c r="T17" s="79"/>
      <c r="U17" s="79">
        <v>673</v>
      </c>
      <c r="V17" s="79">
        <f t="shared" si="1"/>
        <v>1681.84</v>
      </c>
      <c r="W17" s="79">
        <v>16396.98</v>
      </c>
      <c r="X17" s="79"/>
      <c r="Y17" s="80">
        <f t="shared" si="2"/>
        <v>22758.82</v>
      </c>
      <c r="AA17" s="78" t="s">
        <v>252</v>
      </c>
      <c r="AB17" s="78" t="s">
        <v>160</v>
      </c>
      <c r="AC17" s="81">
        <v>21470.58</v>
      </c>
      <c r="AD17" s="78" t="s">
        <v>251</v>
      </c>
      <c r="AE17" s="81">
        <v>1288.24</v>
      </c>
    </row>
    <row r="18" spans="1:31" s="78" customFormat="1" ht="11.4" x14ac:dyDescent="0.25">
      <c r="A18" s="78">
        <v>3</v>
      </c>
      <c r="B18" s="78" t="s">
        <v>117</v>
      </c>
      <c r="C18" s="78" t="s">
        <v>248</v>
      </c>
      <c r="D18" s="78" t="s">
        <v>249</v>
      </c>
      <c r="E18" s="79">
        <v>606.59</v>
      </c>
      <c r="F18" s="79">
        <v>9424</v>
      </c>
      <c r="G18" s="79">
        <v>9424</v>
      </c>
      <c r="H18" s="79">
        <v>1507.84</v>
      </c>
      <c r="I18" s="79">
        <v>848.16</v>
      </c>
      <c r="J18" s="79">
        <v>47.12</v>
      </c>
      <c r="K18" s="79">
        <v>24.13</v>
      </c>
      <c r="L18" s="79"/>
      <c r="M18" s="79">
        <v>141.36000000000001</v>
      </c>
      <c r="N18" s="79">
        <v>660</v>
      </c>
      <c r="O18" s="79">
        <f t="shared" si="0"/>
        <v>3228.61</v>
      </c>
      <c r="P18" s="79">
        <v>753.92</v>
      </c>
      <c r="Q18" s="79">
        <v>188.48</v>
      </c>
      <c r="R18" s="79">
        <v>47.12</v>
      </c>
      <c r="S18" s="79"/>
      <c r="T18" s="79"/>
      <c r="U18" s="79">
        <v>660</v>
      </c>
      <c r="V18" s="79">
        <f t="shared" si="1"/>
        <v>1649.52</v>
      </c>
      <c r="W18" s="79">
        <v>3465</v>
      </c>
      <c r="X18" s="79"/>
      <c r="Y18" s="80">
        <f t="shared" si="2"/>
        <v>8949.7200000000012</v>
      </c>
      <c r="AA18" s="78" t="s">
        <v>253</v>
      </c>
      <c r="AB18" s="78" t="s">
        <v>118</v>
      </c>
      <c r="AC18" s="81">
        <v>8443.1200000000008</v>
      </c>
      <c r="AD18" s="78" t="s">
        <v>251</v>
      </c>
      <c r="AE18" s="81">
        <v>506.6</v>
      </c>
    </row>
    <row r="19" spans="1:31" s="78" customFormat="1" ht="11.4" x14ac:dyDescent="0.25">
      <c r="A19" s="78">
        <v>4</v>
      </c>
      <c r="B19" s="78" t="s">
        <v>141</v>
      </c>
      <c r="C19" s="78" t="s">
        <v>248</v>
      </c>
      <c r="D19" s="78" t="s">
        <v>249</v>
      </c>
      <c r="E19" s="79">
        <v>1668.92</v>
      </c>
      <c r="F19" s="79">
        <v>10443</v>
      </c>
      <c r="G19" s="79">
        <v>10443</v>
      </c>
      <c r="H19" s="79">
        <v>1670.88</v>
      </c>
      <c r="I19" s="79">
        <v>939.88</v>
      </c>
      <c r="J19" s="79">
        <v>52.22</v>
      </c>
      <c r="K19" s="79">
        <v>26.73</v>
      </c>
      <c r="L19" s="79"/>
      <c r="M19" s="79">
        <v>156.65</v>
      </c>
      <c r="N19" s="79">
        <v>731</v>
      </c>
      <c r="O19" s="79">
        <f t="shared" si="0"/>
        <v>3577.36</v>
      </c>
      <c r="P19" s="79">
        <v>835.44</v>
      </c>
      <c r="Q19" s="79">
        <v>208.86</v>
      </c>
      <c r="R19" s="79">
        <v>52.22</v>
      </c>
      <c r="S19" s="79"/>
      <c r="T19" s="79"/>
      <c r="U19" s="79">
        <v>731</v>
      </c>
      <c r="V19" s="79">
        <f t="shared" si="1"/>
        <v>1827.5200000000002</v>
      </c>
      <c r="W19" s="79">
        <v>20643.87</v>
      </c>
      <c r="X19" s="79"/>
      <c r="Y19" s="80">
        <f t="shared" si="2"/>
        <v>27717.67</v>
      </c>
      <c r="AA19" s="78" t="s">
        <v>254</v>
      </c>
      <c r="AB19" s="78" t="s">
        <v>142</v>
      </c>
      <c r="AC19" s="81">
        <v>26148.76</v>
      </c>
      <c r="AD19" s="78" t="s">
        <v>251</v>
      </c>
      <c r="AE19" s="81">
        <v>1568.91</v>
      </c>
    </row>
    <row r="20" spans="1:31" s="78" customFormat="1" ht="11.4" x14ac:dyDescent="0.25">
      <c r="A20" s="78">
        <v>5</v>
      </c>
      <c r="B20" s="78" t="s">
        <v>156</v>
      </c>
      <c r="C20" s="78" t="s">
        <v>248</v>
      </c>
      <c r="D20" s="78" t="s">
        <v>249</v>
      </c>
      <c r="E20" s="79">
        <v>1740.65</v>
      </c>
      <c r="F20" s="79">
        <v>12136</v>
      </c>
      <c r="G20" s="79">
        <v>12136</v>
      </c>
      <c r="H20" s="79">
        <v>1941.76</v>
      </c>
      <c r="I20" s="79">
        <v>1092.24</v>
      </c>
      <c r="J20" s="79">
        <v>60.68</v>
      </c>
      <c r="K20" s="79">
        <v>31.07</v>
      </c>
      <c r="L20" s="79"/>
      <c r="M20" s="79">
        <v>182.04</v>
      </c>
      <c r="N20" s="79">
        <v>850</v>
      </c>
      <c r="O20" s="79">
        <f t="shared" si="0"/>
        <v>4157.79</v>
      </c>
      <c r="P20" s="79">
        <v>970.88</v>
      </c>
      <c r="Q20" s="79">
        <v>242.72</v>
      </c>
      <c r="R20" s="79">
        <v>60.68</v>
      </c>
      <c r="S20" s="79"/>
      <c r="T20" s="79"/>
      <c r="U20" s="79">
        <v>850</v>
      </c>
      <c r="V20" s="79">
        <f t="shared" si="1"/>
        <v>2124.2799999999997</v>
      </c>
      <c r="W20" s="79">
        <v>20962.23</v>
      </c>
      <c r="X20" s="79"/>
      <c r="Y20" s="80">
        <f t="shared" si="2"/>
        <v>28984.95</v>
      </c>
      <c r="AA20" s="78" t="s">
        <v>255</v>
      </c>
      <c r="AB20" s="78" t="s">
        <v>157</v>
      </c>
      <c r="AC20" s="81">
        <v>27344.31</v>
      </c>
      <c r="AD20" s="78" t="s">
        <v>251</v>
      </c>
      <c r="AE20" s="81">
        <v>1640.64</v>
      </c>
    </row>
    <row r="21" spans="1:31" s="78" customFormat="1" ht="11.4" x14ac:dyDescent="0.25">
      <c r="A21" s="78">
        <v>6</v>
      </c>
      <c r="B21" s="78" t="s">
        <v>102</v>
      </c>
      <c r="C21" s="78" t="s">
        <v>248</v>
      </c>
      <c r="D21" s="78" t="s">
        <v>249</v>
      </c>
      <c r="E21" s="79">
        <v>963.5</v>
      </c>
      <c r="F21" s="79">
        <v>9226</v>
      </c>
      <c r="G21" s="79">
        <v>9226</v>
      </c>
      <c r="H21" s="79">
        <v>1476.16</v>
      </c>
      <c r="I21" s="79">
        <v>830.34</v>
      </c>
      <c r="J21" s="79">
        <v>46.13</v>
      </c>
      <c r="K21" s="79">
        <v>23.62</v>
      </c>
      <c r="L21" s="79"/>
      <c r="M21" s="79">
        <v>138.38999999999999</v>
      </c>
      <c r="N21" s="79">
        <v>646</v>
      </c>
      <c r="O21" s="79">
        <f t="shared" si="0"/>
        <v>3160.64</v>
      </c>
      <c r="P21" s="79">
        <v>738.08</v>
      </c>
      <c r="Q21" s="79">
        <v>184.52</v>
      </c>
      <c r="R21" s="79">
        <v>46.13</v>
      </c>
      <c r="S21" s="79"/>
      <c r="T21" s="79"/>
      <c r="U21" s="79">
        <v>646</v>
      </c>
      <c r="V21" s="79">
        <f t="shared" si="1"/>
        <v>1614.73</v>
      </c>
      <c r="W21" s="79">
        <v>9516.2900000000009</v>
      </c>
      <c r="X21" s="79"/>
      <c r="Y21" s="80">
        <f t="shared" si="2"/>
        <v>15255.16</v>
      </c>
      <c r="AA21" s="78" t="s">
        <v>256</v>
      </c>
      <c r="AB21" s="78" t="s">
        <v>103</v>
      </c>
      <c r="AC21" s="81">
        <v>14391.66</v>
      </c>
      <c r="AD21" s="78" t="s">
        <v>251</v>
      </c>
      <c r="AE21" s="81">
        <v>863.5</v>
      </c>
    </row>
    <row r="22" spans="1:31" s="78" customFormat="1" ht="11.4" x14ac:dyDescent="0.25">
      <c r="A22" s="78">
        <v>7</v>
      </c>
      <c r="B22" s="78" t="s">
        <v>147</v>
      </c>
      <c r="C22" s="78" t="s">
        <v>248</v>
      </c>
      <c r="D22" s="78" t="s">
        <v>249</v>
      </c>
      <c r="E22" s="79">
        <v>522.32999999999993</v>
      </c>
      <c r="F22" s="79">
        <v>7384</v>
      </c>
      <c r="G22" s="79">
        <v>4906</v>
      </c>
      <c r="H22" s="79">
        <v>1181.44</v>
      </c>
      <c r="I22" s="79">
        <v>664.56</v>
      </c>
      <c r="J22" s="79">
        <v>36.92</v>
      </c>
      <c r="K22" s="79">
        <v>18.899999999999999</v>
      </c>
      <c r="L22" s="79"/>
      <c r="M22" s="79">
        <v>110.76</v>
      </c>
      <c r="N22" s="79">
        <v>343</v>
      </c>
      <c r="O22" s="79">
        <f t="shared" si="0"/>
        <v>2355.58</v>
      </c>
      <c r="P22" s="79">
        <v>590.72</v>
      </c>
      <c r="Q22" s="79">
        <v>147.68</v>
      </c>
      <c r="R22" s="79">
        <v>36.92</v>
      </c>
      <c r="S22" s="79"/>
      <c r="T22" s="79"/>
      <c r="U22" s="79">
        <v>343</v>
      </c>
      <c r="V22" s="79">
        <f t="shared" si="1"/>
        <v>1118.3200000000002</v>
      </c>
      <c r="W22" s="79">
        <v>3465</v>
      </c>
      <c r="X22" s="79"/>
      <c r="Y22" s="80">
        <f t="shared" si="2"/>
        <v>7461.23</v>
      </c>
      <c r="AA22" s="78" t="s">
        <v>257</v>
      </c>
      <c r="AB22" s="78" t="s">
        <v>148</v>
      </c>
      <c r="AC22" s="81">
        <v>7038.89</v>
      </c>
      <c r="AD22" s="78" t="s">
        <v>251</v>
      </c>
      <c r="AE22" s="81">
        <v>422.34</v>
      </c>
    </row>
    <row r="23" spans="1:31" s="78" customFormat="1" ht="11.4" x14ac:dyDescent="0.25">
      <c r="A23" s="78">
        <v>8</v>
      </c>
      <c r="B23" s="78" t="s">
        <v>120</v>
      </c>
      <c r="C23" s="78" t="s">
        <v>248</v>
      </c>
      <c r="D23" s="78" t="s">
        <v>249</v>
      </c>
      <c r="E23" s="79">
        <v>1508.38</v>
      </c>
      <c r="F23" s="79">
        <v>10475</v>
      </c>
      <c r="G23" s="79">
        <v>10475</v>
      </c>
      <c r="H23" s="79">
        <v>1676</v>
      </c>
      <c r="I23" s="79">
        <v>942.76</v>
      </c>
      <c r="J23" s="79">
        <v>52.38</v>
      </c>
      <c r="K23" s="79">
        <v>26.82</v>
      </c>
      <c r="L23" s="79"/>
      <c r="M23" s="79">
        <v>157.13</v>
      </c>
      <c r="N23" s="79">
        <v>733</v>
      </c>
      <c r="O23" s="79">
        <f t="shared" si="0"/>
        <v>3588.0900000000006</v>
      </c>
      <c r="P23" s="79">
        <v>838</v>
      </c>
      <c r="Q23" s="79">
        <v>209.5</v>
      </c>
      <c r="R23" s="79">
        <v>52.38</v>
      </c>
      <c r="S23" s="79"/>
      <c r="T23" s="79"/>
      <c r="U23" s="79">
        <v>733</v>
      </c>
      <c r="V23" s="79">
        <f t="shared" si="1"/>
        <v>1832.88</v>
      </c>
      <c r="W23" s="79">
        <v>17952</v>
      </c>
      <c r="X23" s="79"/>
      <c r="Y23" s="80">
        <f t="shared" si="2"/>
        <v>24881.350000000002</v>
      </c>
      <c r="AA23" s="78" t="s">
        <v>258</v>
      </c>
      <c r="AB23" s="78" t="s">
        <v>121</v>
      </c>
      <c r="AC23" s="81">
        <v>23472.97</v>
      </c>
      <c r="AD23" s="78" t="s">
        <v>251</v>
      </c>
      <c r="AE23" s="81">
        <v>1408.38</v>
      </c>
    </row>
    <row r="24" spans="1:31" s="78" customFormat="1" ht="11.4" x14ac:dyDescent="0.25">
      <c r="A24" s="78">
        <v>9</v>
      </c>
      <c r="B24" s="78" t="s">
        <v>165</v>
      </c>
      <c r="C24" s="78" t="s">
        <v>248</v>
      </c>
      <c r="D24" s="78" t="s">
        <v>249</v>
      </c>
      <c r="E24" s="79">
        <v>1137.02</v>
      </c>
      <c r="F24" s="79">
        <v>7384</v>
      </c>
      <c r="G24" s="79">
        <v>7139</v>
      </c>
      <c r="H24" s="79">
        <v>1181.44</v>
      </c>
      <c r="I24" s="79">
        <v>664.56</v>
      </c>
      <c r="J24" s="79">
        <v>36.92</v>
      </c>
      <c r="K24" s="79">
        <v>18.899999999999999</v>
      </c>
      <c r="L24" s="79"/>
      <c r="M24" s="79">
        <v>110.76</v>
      </c>
      <c r="N24" s="79">
        <v>500</v>
      </c>
      <c r="O24" s="79">
        <f t="shared" si="0"/>
        <v>2512.58</v>
      </c>
      <c r="P24" s="79">
        <v>590.72</v>
      </c>
      <c r="Q24" s="79">
        <v>147.68</v>
      </c>
      <c r="R24" s="79">
        <v>36.92</v>
      </c>
      <c r="S24" s="79"/>
      <c r="T24" s="79"/>
      <c r="U24" s="79">
        <v>500</v>
      </c>
      <c r="V24" s="79">
        <f t="shared" si="1"/>
        <v>1275.3200000000002</v>
      </c>
      <c r="W24" s="79">
        <v>13395.76</v>
      </c>
      <c r="X24" s="79"/>
      <c r="Y24" s="80">
        <f t="shared" si="2"/>
        <v>18320.68</v>
      </c>
      <c r="AA24" s="78" t="s">
        <v>259</v>
      </c>
      <c r="AB24" s="78" t="s">
        <v>166</v>
      </c>
      <c r="AC24" s="81">
        <v>17283.650000000001</v>
      </c>
      <c r="AD24" s="78" t="s">
        <v>251</v>
      </c>
      <c r="AE24" s="81">
        <v>1037.03</v>
      </c>
    </row>
    <row r="25" spans="1:31" s="78" customFormat="1" ht="11.4" x14ac:dyDescent="0.25">
      <c r="A25" s="78">
        <v>10</v>
      </c>
      <c r="B25" s="78" t="s">
        <v>171</v>
      </c>
      <c r="C25" s="78" t="s">
        <v>248</v>
      </c>
      <c r="D25" s="78" t="s">
        <v>249</v>
      </c>
      <c r="E25" s="79">
        <v>1191.52</v>
      </c>
      <c r="F25" s="79">
        <v>14537</v>
      </c>
      <c r="G25" s="79">
        <v>14537</v>
      </c>
      <c r="H25" s="79">
        <v>2325.92</v>
      </c>
      <c r="I25" s="79">
        <v>1308.3399999999999</v>
      </c>
      <c r="J25" s="79">
        <v>72.69</v>
      </c>
      <c r="K25" s="79">
        <v>37.21</v>
      </c>
      <c r="L25" s="79"/>
      <c r="M25" s="79">
        <v>218.06</v>
      </c>
      <c r="N25" s="79">
        <v>1018</v>
      </c>
      <c r="O25" s="79">
        <f t="shared" si="0"/>
        <v>4980.22</v>
      </c>
      <c r="P25" s="79">
        <v>1162.96</v>
      </c>
      <c r="Q25" s="79">
        <v>290.74</v>
      </c>
      <c r="R25" s="79">
        <v>72.69</v>
      </c>
      <c r="S25" s="79"/>
      <c r="T25" s="79"/>
      <c r="U25" s="79">
        <v>1018</v>
      </c>
      <c r="V25" s="79">
        <f t="shared" si="1"/>
        <v>2544.3900000000003</v>
      </c>
      <c r="W25" s="79">
        <v>10567.41</v>
      </c>
      <c r="X25" s="79"/>
      <c r="Y25" s="80">
        <f t="shared" si="2"/>
        <v>19283.54</v>
      </c>
      <c r="AA25" s="78" t="s">
        <v>260</v>
      </c>
      <c r="AB25" s="78" t="s">
        <v>172</v>
      </c>
      <c r="AC25" s="81">
        <v>18192.03</v>
      </c>
      <c r="AD25" s="78" t="s">
        <v>251</v>
      </c>
      <c r="AE25" s="81">
        <v>1091.51</v>
      </c>
    </row>
    <row r="26" spans="1:31" s="78" customFormat="1" ht="11.4" x14ac:dyDescent="0.25">
      <c r="A26" s="78">
        <v>11</v>
      </c>
      <c r="B26" s="78" t="s">
        <v>126</v>
      </c>
      <c r="C26" s="78" t="s">
        <v>248</v>
      </c>
      <c r="D26" s="78" t="s">
        <v>249</v>
      </c>
      <c r="E26" s="79">
        <v>1361.11</v>
      </c>
      <c r="F26" s="79">
        <v>9241</v>
      </c>
      <c r="G26" s="79">
        <v>9241</v>
      </c>
      <c r="H26" s="79">
        <v>1478.56</v>
      </c>
      <c r="I26" s="79">
        <v>831.7</v>
      </c>
      <c r="J26" s="79">
        <v>46.21</v>
      </c>
      <c r="K26" s="79">
        <v>23.66</v>
      </c>
      <c r="L26" s="79"/>
      <c r="M26" s="79">
        <v>138.62</v>
      </c>
      <c r="N26" s="79">
        <v>647</v>
      </c>
      <c r="O26" s="79">
        <f t="shared" si="0"/>
        <v>3165.75</v>
      </c>
      <c r="P26" s="79">
        <v>739.28</v>
      </c>
      <c r="Q26" s="79">
        <v>184.82</v>
      </c>
      <c r="R26" s="79">
        <v>46.21</v>
      </c>
      <c r="S26" s="79"/>
      <c r="T26" s="79"/>
      <c r="U26" s="79">
        <v>647</v>
      </c>
      <c r="V26" s="79">
        <f t="shared" si="1"/>
        <v>1617.31</v>
      </c>
      <c r="W26" s="79">
        <v>16135.43</v>
      </c>
      <c r="X26" s="79"/>
      <c r="Y26" s="80">
        <f t="shared" si="2"/>
        <v>22279.599999999999</v>
      </c>
      <c r="AA26" s="78" t="s">
        <v>261</v>
      </c>
      <c r="AB26" s="78" t="s">
        <v>127</v>
      </c>
      <c r="AC26" s="81">
        <v>21018.49</v>
      </c>
      <c r="AD26" s="78" t="s">
        <v>251</v>
      </c>
      <c r="AE26" s="81">
        <v>1261.1099999999999</v>
      </c>
    </row>
    <row r="27" spans="1:31" s="78" customFormat="1" ht="11.4" x14ac:dyDescent="0.25">
      <c r="A27" s="78">
        <v>12</v>
      </c>
      <c r="B27" s="78" t="s">
        <v>138</v>
      </c>
      <c r="C27" s="78" t="s">
        <v>248</v>
      </c>
      <c r="D27" s="78" t="s">
        <v>249</v>
      </c>
      <c r="E27" s="79">
        <v>1635.76</v>
      </c>
      <c r="F27" s="79">
        <v>11152</v>
      </c>
      <c r="G27" s="79">
        <v>11152</v>
      </c>
      <c r="H27" s="79">
        <v>1784.32</v>
      </c>
      <c r="I27" s="79">
        <v>1003.68</v>
      </c>
      <c r="J27" s="79">
        <v>55.76</v>
      </c>
      <c r="K27" s="79">
        <v>28.55</v>
      </c>
      <c r="L27" s="79"/>
      <c r="M27" s="79">
        <v>167.28</v>
      </c>
      <c r="N27" s="79">
        <v>781</v>
      </c>
      <c r="O27" s="79">
        <f t="shared" si="0"/>
        <v>3820.5900000000006</v>
      </c>
      <c r="P27" s="79">
        <v>892.16</v>
      </c>
      <c r="Q27" s="79">
        <v>223.04</v>
      </c>
      <c r="R27" s="79">
        <v>55.76</v>
      </c>
      <c r="S27" s="79"/>
      <c r="T27" s="79"/>
      <c r="U27" s="79">
        <v>781</v>
      </c>
      <c r="V27" s="79">
        <f t="shared" si="1"/>
        <v>1951.96</v>
      </c>
      <c r="W27" s="79">
        <v>19723.47</v>
      </c>
      <c r="X27" s="79"/>
      <c r="Y27" s="80">
        <f t="shared" si="2"/>
        <v>27131.780000000002</v>
      </c>
      <c r="AA27" s="78" t="s">
        <v>262</v>
      </c>
      <c r="AB27" s="78" t="s">
        <v>139</v>
      </c>
      <c r="AC27" s="81">
        <v>25596.01</v>
      </c>
      <c r="AD27" s="78" t="s">
        <v>251</v>
      </c>
      <c r="AE27" s="81">
        <v>1535.77</v>
      </c>
    </row>
    <row r="28" spans="1:31" s="78" customFormat="1" ht="11.4" x14ac:dyDescent="0.25">
      <c r="A28" s="78">
        <v>13</v>
      </c>
      <c r="B28" s="78" t="s">
        <v>135</v>
      </c>
      <c r="C28" s="78" t="s">
        <v>248</v>
      </c>
      <c r="D28" s="78" t="s">
        <v>249</v>
      </c>
      <c r="E28" s="79">
        <v>856.37</v>
      </c>
      <c r="F28" s="79">
        <v>7474</v>
      </c>
      <c r="G28" s="79">
        <v>7474</v>
      </c>
      <c r="H28" s="79">
        <v>1195.8399999999999</v>
      </c>
      <c r="I28" s="79">
        <v>672.66</v>
      </c>
      <c r="J28" s="79">
        <v>37.369999999999997</v>
      </c>
      <c r="K28" s="79">
        <v>19.13</v>
      </c>
      <c r="L28" s="79"/>
      <c r="M28" s="79">
        <v>112.11</v>
      </c>
      <c r="N28" s="79">
        <v>523</v>
      </c>
      <c r="O28" s="79">
        <f t="shared" si="0"/>
        <v>2560.1099999999997</v>
      </c>
      <c r="P28" s="79">
        <v>597.91999999999996</v>
      </c>
      <c r="Q28" s="79">
        <v>149.47999999999999</v>
      </c>
      <c r="R28" s="79">
        <v>37.369999999999997</v>
      </c>
      <c r="S28" s="79"/>
      <c r="T28" s="79"/>
      <c r="U28" s="79">
        <v>523</v>
      </c>
      <c r="V28" s="79">
        <f t="shared" si="1"/>
        <v>1307.77</v>
      </c>
      <c r="W28" s="79">
        <v>8638.27</v>
      </c>
      <c r="X28" s="79"/>
      <c r="Y28" s="80">
        <f t="shared" si="2"/>
        <v>13362.52</v>
      </c>
      <c r="AA28" s="78" t="s">
        <v>263</v>
      </c>
      <c r="AB28" s="78" t="s">
        <v>136</v>
      </c>
      <c r="AC28" s="81">
        <v>12606.14</v>
      </c>
      <c r="AD28" s="78" t="s">
        <v>251</v>
      </c>
      <c r="AE28" s="81">
        <v>756.38</v>
      </c>
    </row>
    <row r="29" spans="1:31" s="78" customFormat="1" ht="11.4" x14ac:dyDescent="0.25">
      <c r="A29" s="78">
        <v>14</v>
      </c>
      <c r="B29" s="78" t="s">
        <v>111</v>
      </c>
      <c r="C29" s="78" t="s">
        <v>248</v>
      </c>
      <c r="D29" s="78" t="s">
        <v>249</v>
      </c>
      <c r="E29" s="79">
        <v>1300</v>
      </c>
      <c r="F29" s="79">
        <v>8261</v>
      </c>
      <c r="G29" s="79">
        <v>8261</v>
      </c>
      <c r="H29" s="79">
        <v>1321.76</v>
      </c>
      <c r="I29" s="79">
        <v>743.5</v>
      </c>
      <c r="J29" s="79">
        <v>41.31</v>
      </c>
      <c r="K29" s="79">
        <v>21.15</v>
      </c>
      <c r="L29" s="79"/>
      <c r="M29" s="79">
        <v>123.92</v>
      </c>
      <c r="N29" s="79">
        <v>578</v>
      </c>
      <c r="O29" s="79">
        <f t="shared" si="0"/>
        <v>2829.6400000000003</v>
      </c>
      <c r="P29" s="79">
        <v>660.88</v>
      </c>
      <c r="Q29" s="79">
        <v>165.22</v>
      </c>
      <c r="R29" s="79">
        <v>41.31</v>
      </c>
      <c r="S29" s="79"/>
      <c r="T29" s="79"/>
      <c r="U29" s="79">
        <v>578</v>
      </c>
      <c r="V29" s="79">
        <f t="shared" si="1"/>
        <v>1445.41</v>
      </c>
      <c r="W29" s="79">
        <v>15624.95</v>
      </c>
      <c r="X29" s="79"/>
      <c r="Y29" s="80">
        <f t="shared" si="2"/>
        <v>21200</v>
      </c>
      <c r="AA29" s="78" t="s">
        <v>264</v>
      </c>
      <c r="AB29" s="78" t="s">
        <v>112</v>
      </c>
      <c r="AC29" s="81">
        <v>19999.990000000002</v>
      </c>
      <c r="AD29" s="78" t="s">
        <v>251</v>
      </c>
      <c r="AE29" s="81">
        <v>1200.01</v>
      </c>
    </row>
    <row r="30" spans="1:31" s="78" customFormat="1" ht="11.4" x14ac:dyDescent="0.25">
      <c r="A30" s="78">
        <v>15</v>
      </c>
      <c r="B30" s="78" t="s">
        <v>114</v>
      </c>
      <c r="C30" s="78" t="s">
        <v>248</v>
      </c>
      <c r="D30" s="78" t="s">
        <v>249</v>
      </c>
      <c r="E30" s="79">
        <v>706.98</v>
      </c>
      <c r="F30" s="79">
        <v>7384</v>
      </c>
      <c r="G30" s="79">
        <v>4686</v>
      </c>
      <c r="H30" s="79">
        <v>1181.44</v>
      </c>
      <c r="I30" s="79">
        <v>664.56</v>
      </c>
      <c r="J30" s="79">
        <v>36.92</v>
      </c>
      <c r="K30" s="79">
        <v>18.899999999999999</v>
      </c>
      <c r="L30" s="79"/>
      <c r="M30" s="79">
        <v>110.76</v>
      </c>
      <c r="N30" s="79">
        <v>328</v>
      </c>
      <c r="O30" s="79">
        <f t="shared" si="0"/>
        <v>2340.58</v>
      </c>
      <c r="P30" s="79">
        <v>590.72</v>
      </c>
      <c r="Q30" s="79">
        <v>147.68</v>
      </c>
      <c r="R30" s="79">
        <v>36.92</v>
      </c>
      <c r="S30" s="79"/>
      <c r="T30" s="79"/>
      <c r="U30" s="79">
        <v>328</v>
      </c>
      <c r="V30" s="79">
        <f t="shared" si="1"/>
        <v>1103.3200000000002</v>
      </c>
      <c r="W30" s="79">
        <v>6572.42</v>
      </c>
      <c r="X30" s="79"/>
      <c r="Y30" s="80">
        <f t="shared" si="2"/>
        <v>10723.3</v>
      </c>
      <c r="AA30" s="78" t="s">
        <v>265</v>
      </c>
      <c r="AB30" s="78" t="s">
        <v>115</v>
      </c>
      <c r="AC30" s="81">
        <v>10116.31</v>
      </c>
      <c r="AD30" s="78" t="s">
        <v>251</v>
      </c>
      <c r="AE30" s="81">
        <v>606.99</v>
      </c>
    </row>
    <row r="31" spans="1:31" s="78" customFormat="1" ht="11.4" x14ac:dyDescent="0.25">
      <c r="A31" s="78">
        <v>16</v>
      </c>
      <c r="B31" s="78" t="s">
        <v>108</v>
      </c>
      <c r="C31" s="78" t="s">
        <v>248</v>
      </c>
      <c r="D31" s="78" t="s">
        <v>249</v>
      </c>
      <c r="E31" s="79">
        <v>1833.47</v>
      </c>
      <c r="F31" s="79">
        <v>16443</v>
      </c>
      <c r="G31" s="79">
        <v>16443</v>
      </c>
      <c r="H31" s="79">
        <v>2630.88</v>
      </c>
      <c r="I31" s="79">
        <v>1479.88</v>
      </c>
      <c r="J31" s="79">
        <v>82.22</v>
      </c>
      <c r="K31" s="79">
        <v>42.09</v>
      </c>
      <c r="L31" s="79"/>
      <c r="M31" s="79">
        <v>246.65</v>
      </c>
      <c r="N31" s="79">
        <v>1151</v>
      </c>
      <c r="O31" s="79">
        <f t="shared" si="0"/>
        <v>5632.72</v>
      </c>
      <c r="P31" s="79">
        <v>1315.44</v>
      </c>
      <c r="Q31" s="79">
        <v>328.86</v>
      </c>
      <c r="R31" s="79">
        <v>82.22</v>
      </c>
      <c r="S31" s="79"/>
      <c r="T31" s="79"/>
      <c r="U31" s="79">
        <v>1151</v>
      </c>
      <c r="V31" s="79">
        <f t="shared" si="1"/>
        <v>2877.5200000000004</v>
      </c>
      <c r="W31" s="79">
        <v>20281.03</v>
      </c>
      <c r="X31" s="79"/>
      <c r="Y31" s="80">
        <f t="shared" si="2"/>
        <v>30624.739999999998</v>
      </c>
      <c r="AA31" s="78" t="s">
        <v>266</v>
      </c>
      <c r="AB31" s="78" t="s">
        <v>109</v>
      </c>
      <c r="AC31" s="81">
        <v>28891.27</v>
      </c>
      <c r="AD31" s="78" t="s">
        <v>251</v>
      </c>
      <c r="AE31" s="81">
        <v>1733.47</v>
      </c>
    </row>
    <row r="32" spans="1:31" s="78" customFormat="1" ht="11.4" x14ac:dyDescent="0.25">
      <c r="A32" s="78">
        <v>17</v>
      </c>
      <c r="B32" s="78" t="s">
        <v>95</v>
      </c>
      <c r="C32" s="78" t="s">
        <v>248</v>
      </c>
      <c r="D32" s="78" t="s">
        <v>249</v>
      </c>
      <c r="E32" s="79">
        <v>1088.06</v>
      </c>
      <c r="F32" s="79">
        <v>8707</v>
      </c>
      <c r="G32" s="79">
        <v>8707</v>
      </c>
      <c r="H32" s="79">
        <v>1393.12</v>
      </c>
      <c r="I32" s="79">
        <v>783.64</v>
      </c>
      <c r="J32" s="79">
        <v>43.54</v>
      </c>
      <c r="K32" s="79">
        <v>22.29</v>
      </c>
      <c r="L32" s="79"/>
      <c r="M32" s="79">
        <v>130.61000000000001</v>
      </c>
      <c r="N32" s="79">
        <v>609</v>
      </c>
      <c r="O32" s="79">
        <f t="shared" si="0"/>
        <v>2982.2</v>
      </c>
      <c r="P32" s="79">
        <v>696.56</v>
      </c>
      <c r="Q32" s="79">
        <v>174.14</v>
      </c>
      <c r="R32" s="79">
        <v>43.54</v>
      </c>
      <c r="S32" s="79"/>
      <c r="T32" s="79"/>
      <c r="U32" s="79">
        <v>609</v>
      </c>
      <c r="V32" s="79">
        <f t="shared" si="1"/>
        <v>1523.2399999999998</v>
      </c>
      <c r="W32" s="79">
        <v>11862.16</v>
      </c>
      <c r="X32" s="79"/>
      <c r="Y32" s="80">
        <f t="shared" si="2"/>
        <v>17455.66</v>
      </c>
      <c r="AA32" s="78" t="s">
        <v>267</v>
      </c>
      <c r="AB32" s="78" t="s">
        <v>96</v>
      </c>
      <c r="AC32" s="81">
        <v>16467.599999999999</v>
      </c>
      <c r="AD32" s="78" t="s">
        <v>251</v>
      </c>
      <c r="AE32" s="81">
        <v>988.06</v>
      </c>
    </row>
    <row r="33" spans="1:31" s="78" customFormat="1" ht="11.4" x14ac:dyDescent="0.25">
      <c r="A33" s="78">
        <v>18</v>
      </c>
      <c r="B33" s="78" t="s">
        <v>132</v>
      </c>
      <c r="C33" s="78" t="s">
        <v>248</v>
      </c>
      <c r="D33" s="78" t="s">
        <v>249</v>
      </c>
      <c r="E33" s="79">
        <v>874.13</v>
      </c>
      <c r="F33" s="79">
        <v>18040</v>
      </c>
      <c r="G33" s="79">
        <v>18040</v>
      </c>
      <c r="H33" s="79">
        <v>2886.4</v>
      </c>
      <c r="I33" s="79">
        <v>1623.6</v>
      </c>
      <c r="J33" s="79">
        <v>90.2</v>
      </c>
      <c r="K33" s="79">
        <v>46.18</v>
      </c>
      <c r="L33" s="79"/>
      <c r="M33" s="79">
        <v>270.60000000000002</v>
      </c>
      <c r="N33" s="79">
        <v>1263</v>
      </c>
      <c r="O33" s="79">
        <f t="shared" si="0"/>
        <v>6179.9800000000005</v>
      </c>
      <c r="P33" s="79">
        <v>1443.2</v>
      </c>
      <c r="Q33" s="79">
        <v>360.8</v>
      </c>
      <c r="R33" s="79">
        <v>90.2</v>
      </c>
      <c r="S33" s="79"/>
      <c r="T33" s="79"/>
      <c r="U33" s="79">
        <v>1263</v>
      </c>
      <c r="V33" s="79">
        <f t="shared" si="1"/>
        <v>3157.2</v>
      </c>
      <c r="W33" s="79">
        <v>3465</v>
      </c>
      <c r="X33" s="79"/>
      <c r="Y33" s="80">
        <f t="shared" si="2"/>
        <v>13676.310000000001</v>
      </c>
      <c r="AA33" s="78" t="s">
        <v>268</v>
      </c>
      <c r="AB33" s="78" t="s">
        <v>133</v>
      </c>
      <c r="AC33" s="81">
        <v>12902.18</v>
      </c>
      <c r="AD33" s="78" t="s">
        <v>251</v>
      </c>
      <c r="AE33" s="81">
        <v>774.13</v>
      </c>
    </row>
    <row r="34" spans="1:31" s="78" customFormat="1" ht="11.4" x14ac:dyDescent="0.25">
      <c r="A34" s="78">
        <v>19</v>
      </c>
      <c r="B34" s="78" t="s">
        <v>144</v>
      </c>
      <c r="C34" s="78" t="s">
        <v>248</v>
      </c>
      <c r="D34" s="78" t="s">
        <v>249</v>
      </c>
      <c r="E34" s="79">
        <v>1412.61</v>
      </c>
      <c r="F34" s="79">
        <v>8102</v>
      </c>
      <c r="G34" s="79">
        <v>8102</v>
      </c>
      <c r="H34" s="79">
        <v>1296.32</v>
      </c>
      <c r="I34" s="79">
        <v>729.18</v>
      </c>
      <c r="J34" s="79">
        <v>40.51</v>
      </c>
      <c r="K34" s="79">
        <v>20.74</v>
      </c>
      <c r="L34" s="79"/>
      <c r="M34" s="79">
        <v>121.53</v>
      </c>
      <c r="N34" s="79">
        <v>567</v>
      </c>
      <c r="O34" s="79">
        <f t="shared" si="0"/>
        <v>2775.28</v>
      </c>
      <c r="P34" s="79">
        <v>648.16</v>
      </c>
      <c r="Q34" s="79">
        <v>162.04</v>
      </c>
      <c r="R34" s="79">
        <v>40.51</v>
      </c>
      <c r="S34" s="79"/>
      <c r="T34" s="79"/>
      <c r="U34" s="79">
        <v>567</v>
      </c>
      <c r="V34" s="79">
        <f t="shared" si="1"/>
        <v>1417.71</v>
      </c>
      <c r="W34" s="79">
        <v>17583.84</v>
      </c>
      <c r="X34" s="79"/>
      <c r="Y34" s="80">
        <f t="shared" si="2"/>
        <v>23189.440000000002</v>
      </c>
      <c r="AA34" s="78" t="s">
        <v>269</v>
      </c>
      <c r="AB34" s="78" t="s">
        <v>145</v>
      </c>
      <c r="AC34" s="81">
        <v>21876.84</v>
      </c>
      <c r="AD34" s="78" t="s">
        <v>251</v>
      </c>
      <c r="AE34" s="81">
        <v>1312.6</v>
      </c>
    </row>
    <row r="35" spans="1:31" s="78" customFormat="1" ht="11.4" x14ac:dyDescent="0.25">
      <c r="A35" s="78">
        <v>20</v>
      </c>
      <c r="B35" s="78" t="s">
        <v>162</v>
      </c>
      <c r="C35" s="78" t="s">
        <v>248</v>
      </c>
      <c r="D35" s="78" t="s">
        <v>249</v>
      </c>
      <c r="E35" s="79">
        <v>1052.8699999999999</v>
      </c>
      <c r="F35" s="79">
        <v>7974</v>
      </c>
      <c r="G35" s="79">
        <v>7974</v>
      </c>
      <c r="H35" s="79">
        <v>1275.8399999999999</v>
      </c>
      <c r="I35" s="79">
        <v>717.66</v>
      </c>
      <c r="J35" s="79">
        <v>39.869999999999997</v>
      </c>
      <c r="K35" s="79">
        <v>20.41</v>
      </c>
      <c r="L35" s="79"/>
      <c r="M35" s="79">
        <v>119.61</v>
      </c>
      <c r="N35" s="79">
        <v>558</v>
      </c>
      <c r="O35" s="79">
        <f t="shared" si="0"/>
        <v>2731.39</v>
      </c>
      <c r="P35" s="79">
        <v>637.91999999999996</v>
      </c>
      <c r="Q35" s="79">
        <v>159.47999999999999</v>
      </c>
      <c r="R35" s="79">
        <v>39.869999999999997</v>
      </c>
      <c r="S35" s="79"/>
      <c r="T35" s="79"/>
      <c r="U35" s="79">
        <v>558</v>
      </c>
      <c r="V35" s="79">
        <f t="shared" si="1"/>
        <v>1395.27</v>
      </c>
      <c r="W35" s="79">
        <v>11654.51</v>
      </c>
      <c r="X35" s="79"/>
      <c r="Y35" s="80">
        <f t="shared" si="2"/>
        <v>16834.04</v>
      </c>
      <c r="AA35" s="78" t="s">
        <v>270</v>
      </c>
      <c r="AB35" s="78" t="s">
        <v>163</v>
      </c>
      <c r="AC35" s="81">
        <v>15881.17</v>
      </c>
      <c r="AD35" s="78" t="s">
        <v>251</v>
      </c>
      <c r="AE35" s="81">
        <v>952.87</v>
      </c>
    </row>
    <row r="36" spans="1:31" s="78" customFormat="1" ht="11.4" x14ac:dyDescent="0.25">
      <c r="A36" s="78">
        <v>21</v>
      </c>
      <c r="B36" s="78" t="s">
        <v>99</v>
      </c>
      <c r="C36" s="78" t="s">
        <v>248</v>
      </c>
      <c r="D36" s="78" t="s">
        <v>249</v>
      </c>
      <c r="E36" s="79">
        <v>589.89</v>
      </c>
      <c r="F36" s="79">
        <v>8888</v>
      </c>
      <c r="G36" s="79">
        <v>8888</v>
      </c>
      <c r="H36" s="79">
        <v>1422.08</v>
      </c>
      <c r="I36" s="79">
        <v>799.92</v>
      </c>
      <c r="J36" s="79">
        <v>44.44</v>
      </c>
      <c r="K36" s="79">
        <v>22.75</v>
      </c>
      <c r="L36" s="79"/>
      <c r="M36" s="79">
        <v>133.32</v>
      </c>
      <c r="N36" s="79">
        <v>622</v>
      </c>
      <c r="O36" s="79">
        <f t="shared" si="0"/>
        <v>3044.51</v>
      </c>
      <c r="P36" s="79">
        <v>711.04</v>
      </c>
      <c r="Q36" s="79">
        <v>177.76</v>
      </c>
      <c r="R36" s="79">
        <v>44.44</v>
      </c>
      <c r="S36" s="79"/>
      <c r="T36" s="79"/>
      <c r="U36" s="79">
        <v>622</v>
      </c>
      <c r="V36" s="79">
        <f t="shared" si="1"/>
        <v>1555.24</v>
      </c>
      <c r="W36" s="79">
        <v>3465</v>
      </c>
      <c r="X36" s="79"/>
      <c r="Y36" s="80">
        <f t="shared" si="2"/>
        <v>8654.64</v>
      </c>
      <c r="AA36" s="78" t="s">
        <v>271</v>
      </c>
      <c r="AB36" s="78" t="s">
        <v>100</v>
      </c>
      <c r="AC36" s="81">
        <v>8164.74</v>
      </c>
      <c r="AD36" s="78" t="s">
        <v>251</v>
      </c>
      <c r="AE36" s="81">
        <v>489.9</v>
      </c>
    </row>
    <row r="37" spans="1:31" s="78" customFormat="1" ht="11.4" x14ac:dyDescent="0.25">
      <c r="A37" s="78">
        <v>22</v>
      </c>
      <c r="B37" s="78" t="s">
        <v>123</v>
      </c>
      <c r="C37" s="78" t="s">
        <v>248</v>
      </c>
      <c r="D37" s="78" t="s">
        <v>249</v>
      </c>
      <c r="E37" s="79">
        <v>1211.3800000000001</v>
      </c>
      <c r="F37" s="79">
        <v>8472</v>
      </c>
      <c r="G37" s="79">
        <v>8472</v>
      </c>
      <c r="H37" s="79">
        <v>1355.52</v>
      </c>
      <c r="I37" s="79">
        <v>762.48</v>
      </c>
      <c r="J37" s="79">
        <v>42.36</v>
      </c>
      <c r="K37" s="79">
        <v>21.69</v>
      </c>
      <c r="L37" s="79"/>
      <c r="M37" s="79">
        <v>127.08</v>
      </c>
      <c r="N37" s="79">
        <v>593</v>
      </c>
      <c r="O37" s="79">
        <f t="shared" si="0"/>
        <v>2902.13</v>
      </c>
      <c r="P37" s="79">
        <v>677.76</v>
      </c>
      <c r="Q37" s="79">
        <v>169.44</v>
      </c>
      <c r="R37" s="79">
        <v>42.36</v>
      </c>
      <c r="S37" s="79"/>
      <c r="T37" s="79"/>
      <c r="U37" s="79">
        <v>593</v>
      </c>
      <c r="V37" s="79">
        <f t="shared" si="1"/>
        <v>1482.56</v>
      </c>
      <c r="W37" s="79">
        <v>14038.41</v>
      </c>
      <c r="X37" s="79"/>
      <c r="Y37" s="80">
        <f t="shared" si="2"/>
        <v>19634.48</v>
      </c>
      <c r="AA37" s="78" t="s">
        <v>272</v>
      </c>
      <c r="AB37" s="78" t="s">
        <v>124</v>
      </c>
      <c r="AC37" s="81">
        <v>18523.099999999999</v>
      </c>
      <c r="AD37" s="78" t="s">
        <v>251</v>
      </c>
      <c r="AE37" s="81">
        <v>1111.3800000000001</v>
      </c>
    </row>
    <row r="38" spans="1:31" s="78" customFormat="1" ht="11.4" x14ac:dyDescent="0.25">
      <c r="A38" s="78">
        <v>23</v>
      </c>
      <c r="B38" s="78" t="s">
        <v>150</v>
      </c>
      <c r="C38" s="78" t="s">
        <v>248</v>
      </c>
      <c r="D38" s="78" t="s">
        <v>249</v>
      </c>
      <c r="E38" s="79">
        <v>1172.3800000000001</v>
      </c>
      <c r="F38" s="79">
        <v>7759</v>
      </c>
      <c r="G38" s="79">
        <v>7759</v>
      </c>
      <c r="H38" s="79">
        <v>1241.44</v>
      </c>
      <c r="I38" s="79">
        <v>698.32</v>
      </c>
      <c r="J38" s="79">
        <v>38.799999999999997</v>
      </c>
      <c r="K38" s="79">
        <v>19.86</v>
      </c>
      <c r="L38" s="79"/>
      <c r="M38" s="79">
        <v>116.39</v>
      </c>
      <c r="N38" s="79">
        <v>543</v>
      </c>
      <c r="O38" s="79">
        <f t="shared" si="0"/>
        <v>2657.81</v>
      </c>
      <c r="P38" s="79">
        <v>620.72</v>
      </c>
      <c r="Q38" s="79">
        <v>155.18</v>
      </c>
      <c r="R38" s="79">
        <v>38.799999999999997</v>
      </c>
      <c r="S38" s="79"/>
      <c r="T38" s="79"/>
      <c r="U38" s="79">
        <v>543</v>
      </c>
      <c r="V38" s="79">
        <f t="shared" si="1"/>
        <v>1357.7</v>
      </c>
      <c r="W38" s="79">
        <v>13757.54</v>
      </c>
      <c r="X38" s="79"/>
      <c r="Y38" s="80">
        <f t="shared" si="2"/>
        <v>18945.43</v>
      </c>
      <c r="AA38" s="78" t="s">
        <v>273</v>
      </c>
      <c r="AB38" s="78" t="s">
        <v>151</v>
      </c>
      <c r="AC38" s="81">
        <v>17873.05</v>
      </c>
      <c r="AD38" s="78" t="s">
        <v>251</v>
      </c>
      <c r="AE38" s="81">
        <v>1072.3800000000001</v>
      </c>
    </row>
    <row r="39" spans="1:31" s="78" customFormat="1" ht="11.4" x14ac:dyDescent="0.25">
      <c r="A39" s="78">
        <v>24</v>
      </c>
      <c r="B39" s="78" t="s">
        <v>174</v>
      </c>
      <c r="C39" s="78" t="s">
        <v>248</v>
      </c>
      <c r="D39" s="78" t="s">
        <v>249</v>
      </c>
      <c r="E39" s="79">
        <v>1154</v>
      </c>
      <c r="F39" s="79">
        <v>7384</v>
      </c>
      <c r="G39" s="79">
        <v>5239</v>
      </c>
      <c r="H39" s="79">
        <v>1181.44</v>
      </c>
      <c r="I39" s="79">
        <v>664.56</v>
      </c>
      <c r="J39" s="79">
        <v>36.92</v>
      </c>
      <c r="K39" s="79">
        <v>18.899999999999999</v>
      </c>
      <c r="L39" s="79"/>
      <c r="M39" s="79">
        <v>110.76</v>
      </c>
      <c r="N39" s="79">
        <v>367</v>
      </c>
      <c r="O39" s="79">
        <f t="shared" si="0"/>
        <v>2379.58</v>
      </c>
      <c r="P39" s="79">
        <v>590.72</v>
      </c>
      <c r="Q39" s="79">
        <v>147.68</v>
      </c>
      <c r="R39" s="79">
        <v>36.92</v>
      </c>
      <c r="S39" s="79"/>
      <c r="T39" s="79"/>
      <c r="U39" s="79">
        <v>367</v>
      </c>
      <c r="V39" s="79">
        <f t="shared" si="1"/>
        <v>1142.3200000000002</v>
      </c>
      <c r="W39" s="79">
        <v>13944.87</v>
      </c>
      <c r="X39" s="79"/>
      <c r="Y39" s="80">
        <f t="shared" si="2"/>
        <v>18620.77</v>
      </c>
      <c r="AA39" s="78" t="s">
        <v>274</v>
      </c>
      <c r="AB39" s="78" t="s">
        <v>175</v>
      </c>
      <c r="AC39" s="81">
        <v>17566.759999999998</v>
      </c>
      <c r="AD39" s="78" t="s">
        <v>251</v>
      </c>
      <c r="AE39" s="81">
        <v>1054.01</v>
      </c>
    </row>
    <row r="40" spans="1:31" s="78" customFormat="1" ht="11.4" x14ac:dyDescent="0.25">
      <c r="A40" s="78">
        <v>25</v>
      </c>
      <c r="B40" s="78" t="s">
        <v>129</v>
      </c>
      <c r="C40" s="78" t="s">
        <v>248</v>
      </c>
      <c r="D40" s="78" t="s">
        <v>249</v>
      </c>
      <c r="E40" s="79">
        <v>690.06000000000006</v>
      </c>
      <c r="F40" s="79">
        <v>7384</v>
      </c>
      <c r="G40" s="79">
        <v>6830</v>
      </c>
      <c r="H40" s="79">
        <v>1181.44</v>
      </c>
      <c r="I40" s="79">
        <v>664.56</v>
      </c>
      <c r="J40" s="79">
        <v>36.92</v>
      </c>
      <c r="K40" s="79">
        <v>18.899999999999999</v>
      </c>
      <c r="L40" s="79"/>
      <c r="M40" s="79">
        <v>110.76</v>
      </c>
      <c r="N40" s="79">
        <v>478</v>
      </c>
      <c r="O40" s="79">
        <f t="shared" si="0"/>
        <v>2490.58</v>
      </c>
      <c r="P40" s="79">
        <v>590.72</v>
      </c>
      <c r="Q40" s="79">
        <v>147.68</v>
      </c>
      <c r="R40" s="79">
        <v>36.92</v>
      </c>
      <c r="S40" s="79"/>
      <c r="T40" s="79"/>
      <c r="U40" s="79">
        <v>478</v>
      </c>
      <c r="V40" s="79">
        <f t="shared" si="1"/>
        <v>1253.3200000000002</v>
      </c>
      <c r="W40" s="79">
        <v>5990.5</v>
      </c>
      <c r="X40" s="79"/>
      <c r="Y40" s="80">
        <f t="shared" si="2"/>
        <v>10424.459999999999</v>
      </c>
      <c r="AA40" s="78" t="s">
        <v>275</v>
      </c>
      <c r="AB40" s="78" t="s">
        <v>130</v>
      </c>
      <c r="AC40" s="81">
        <v>9834.39</v>
      </c>
      <c r="AD40" s="78" t="s">
        <v>251</v>
      </c>
      <c r="AE40" s="81">
        <v>590.07000000000005</v>
      </c>
    </row>
    <row r="41" spans="1:31" s="78" customFormat="1" ht="11.4" x14ac:dyDescent="0.25">
      <c r="A41" s="78">
        <v>26</v>
      </c>
      <c r="B41" s="78" t="s">
        <v>105</v>
      </c>
      <c r="C41" s="78" t="s">
        <v>248</v>
      </c>
      <c r="D41" s="78" t="s">
        <v>249</v>
      </c>
      <c r="E41" s="79">
        <v>1136.04</v>
      </c>
      <c r="F41" s="79">
        <v>10979</v>
      </c>
      <c r="G41" s="79">
        <v>10979</v>
      </c>
      <c r="H41" s="79">
        <v>1756.64</v>
      </c>
      <c r="I41" s="79">
        <v>988.12</v>
      </c>
      <c r="J41" s="79">
        <v>54.9</v>
      </c>
      <c r="K41" s="79">
        <v>28.11</v>
      </c>
      <c r="L41" s="79"/>
      <c r="M41" s="79">
        <v>164.69</v>
      </c>
      <c r="N41" s="79">
        <v>769</v>
      </c>
      <c r="O41" s="79">
        <f t="shared" si="0"/>
        <v>3761.4600000000005</v>
      </c>
      <c r="P41" s="79">
        <v>878.32</v>
      </c>
      <c r="Q41" s="79">
        <v>219.58</v>
      </c>
      <c r="R41" s="79">
        <v>54.9</v>
      </c>
      <c r="S41" s="79"/>
      <c r="T41" s="79"/>
      <c r="U41" s="79">
        <v>769</v>
      </c>
      <c r="V41" s="79">
        <f t="shared" si="1"/>
        <v>1921.8000000000002</v>
      </c>
      <c r="W41" s="79">
        <v>11484.04</v>
      </c>
      <c r="X41" s="79"/>
      <c r="Y41" s="80">
        <f t="shared" si="2"/>
        <v>18303.34</v>
      </c>
      <c r="AA41" s="78" t="s">
        <v>276</v>
      </c>
      <c r="AB41" s="78" t="s">
        <v>106</v>
      </c>
      <c r="AC41" s="81">
        <v>17267.310000000001</v>
      </c>
      <c r="AD41" s="78" t="s">
        <v>251</v>
      </c>
      <c r="AE41" s="81">
        <v>1036.03</v>
      </c>
    </row>
    <row r="42" spans="1:31" s="78" customFormat="1" ht="11.4" x14ac:dyDescent="0.25">
      <c r="A42" s="78">
        <v>27</v>
      </c>
      <c r="B42" s="78" t="s">
        <v>168</v>
      </c>
      <c r="C42" s="78" t="s">
        <v>248</v>
      </c>
      <c r="D42" s="78" t="s">
        <v>249</v>
      </c>
      <c r="E42" s="79">
        <v>908.18</v>
      </c>
      <c r="F42" s="79">
        <v>11909</v>
      </c>
      <c r="G42" s="79">
        <v>11909</v>
      </c>
      <c r="H42" s="79">
        <v>1905.44</v>
      </c>
      <c r="I42" s="79">
        <v>1071.82</v>
      </c>
      <c r="J42" s="79">
        <v>59.55</v>
      </c>
      <c r="K42" s="79">
        <v>30.49</v>
      </c>
      <c r="L42" s="79"/>
      <c r="M42" s="79">
        <v>178.64</v>
      </c>
      <c r="N42" s="79">
        <v>834</v>
      </c>
      <c r="O42" s="79">
        <f t="shared" si="0"/>
        <v>4079.94</v>
      </c>
      <c r="P42" s="79">
        <v>952.72</v>
      </c>
      <c r="Q42" s="79">
        <v>238.18</v>
      </c>
      <c r="R42" s="79">
        <v>59.55</v>
      </c>
      <c r="S42" s="79"/>
      <c r="T42" s="79"/>
      <c r="U42" s="79">
        <v>834</v>
      </c>
      <c r="V42" s="79">
        <f t="shared" si="1"/>
        <v>2084.4499999999998</v>
      </c>
      <c r="W42" s="79">
        <v>7205.39</v>
      </c>
      <c r="X42" s="79"/>
      <c r="Y42" s="80">
        <f>SUM(E42,O42,V42:X42)</f>
        <v>14277.96</v>
      </c>
      <c r="AA42" s="78" t="s">
        <v>277</v>
      </c>
      <c r="AB42" s="78" t="s">
        <v>169</v>
      </c>
      <c r="AC42" s="81">
        <v>13469.78</v>
      </c>
      <c r="AD42" s="78" t="s">
        <v>251</v>
      </c>
      <c r="AE42" s="81">
        <v>808.18</v>
      </c>
    </row>
    <row r="43" spans="1:31" s="78" customFormat="1" ht="11.4" x14ac:dyDescent="0.25">
      <c r="A43" s="78" t="s">
        <v>278</v>
      </c>
      <c r="E43" s="79">
        <f>SUM(E16:E42)</f>
        <v>31146.850000000009</v>
      </c>
      <c r="F43" s="79"/>
      <c r="G43" s="79"/>
      <c r="H43" s="79">
        <f t="shared" ref="H43:Y43" si="3">SUM(H16:H42)</f>
        <v>42594.080000000002</v>
      </c>
      <c r="I43" s="79">
        <f t="shared" si="3"/>
        <v>23959.279999999999</v>
      </c>
      <c r="J43" s="79">
        <f t="shared" si="3"/>
        <v>1331.1200000000001</v>
      </c>
      <c r="K43" s="79">
        <f t="shared" si="3"/>
        <v>681.49</v>
      </c>
      <c r="L43" s="79">
        <f t="shared" si="3"/>
        <v>0</v>
      </c>
      <c r="M43" s="79">
        <f t="shared" si="3"/>
        <v>3993.2500000000009</v>
      </c>
      <c r="N43" s="79">
        <f t="shared" si="3"/>
        <v>18068</v>
      </c>
      <c r="O43" s="79">
        <f t="shared" si="3"/>
        <v>90627.220000000016</v>
      </c>
      <c r="P43" s="79">
        <f t="shared" si="3"/>
        <v>21297.040000000001</v>
      </c>
      <c r="Q43" s="79">
        <f t="shared" si="3"/>
        <v>5324.26</v>
      </c>
      <c r="R43" s="79">
        <f t="shared" si="3"/>
        <v>1331.1200000000001</v>
      </c>
      <c r="S43" s="79">
        <f t="shared" si="3"/>
        <v>0</v>
      </c>
      <c r="T43" s="79">
        <f t="shared" si="3"/>
        <v>0</v>
      </c>
      <c r="U43" s="79">
        <f t="shared" si="3"/>
        <v>18068</v>
      </c>
      <c r="V43" s="79">
        <f t="shared" si="3"/>
        <v>46020.419999999991</v>
      </c>
      <c r="W43" s="79">
        <f t="shared" si="3"/>
        <v>334767.00999999989</v>
      </c>
      <c r="X43" s="79">
        <f t="shared" si="3"/>
        <v>0</v>
      </c>
      <c r="Y43" s="80">
        <f t="shared" si="3"/>
        <v>502561.5</v>
      </c>
      <c r="AC43" s="81">
        <f>SUM(AC16:AC42)</f>
        <v>474114.61</v>
      </c>
      <c r="AE43" s="81">
        <f>SUM(AE16:AE42)</f>
        <v>28446.890000000007</v>
      </c>
    </row>
    <row r="44" spans="1:31" s="78" customFormat="1" ht="11.4" x14ac:dyDescent="0.25">
      <c r="A44" s="82" t="s">
        <v>279</v>
      </c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83">
        <v>502561.5</v>
      </c>
      <c r="AC44" s="81"/>
      <c r="AE44" s="81"/>
    </row>
    <row r="45" spans="1:31" x14ac:dyDescent="0.25"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</row>
    <row r="46" spans="1:31" s="86" customFormat="1" ht="11.4" x14ac:dyDescent="0.25">
      <c r="A46" s="85" t="s">
        <v>280</v>
      </c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AC46" s="87"/>
      <c r="AE46" s="87"/>
    </row>
    <row r="47" spans="1:31" s="89" customFormat="1" ht="30" customHeight="1" x14ac:dyDescent="0.15">
      <c r="A47" s="67" t="s">
        <v>0</v>
      </c>
      <c r="B47" s="67" t="s">
        <v>209</v>
      </c>
      <c r="C47" s="67" t="s">
        <v>281</v>
      </c>
      <c r="D47" s="67" t="s">
        <v>282</v>
      </c>
      <c r="E47" s="68" t="s">
        <v>221</v>
      </c>
      <c r="F47" s="68" t="s">
        <v>224</v>
      </c>
      <c r="G47" s="68" t="s">
        <v>225</v>
      </c>
      <c r="H47" s="68" t="s">
        <v>41</v>
      </c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AC47" s="88"/>
      <c r="AE47" s="88"/>
    </row>
    <row r="48" spans="1:31" s="91" customFormat="1" ht="30" customHeight="1" x14ac:dyDescent="0.25">
      <c r="A48" s="74" t="s">
        <v>226</v>
      </c>
      <c r="B48" s="74" t="s">
        <v>227</v>
      </c>
      <c r="C48" s="74" t="s">
        <v>283</v>
      </c>
      <c r="D48" s="74" t="s">
        <v>284</v>
      </c>
      <c r="E48" s="75" t="s">
        <v>243</v>
      </c>
      <c r="F48" s="75" t="s">
        <v>246</v>
      </c>
      <c r="G48" s="75" t="s">
        <v>247</v>
      </c>
      <c r="H48" s="75" t="s">
        <v>92</v>
      </c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AC48" s="90"/>
      <c r="AE48" s="90"/>
    </row>
    <row r="49" spans="1:31" s="86" customFormat="1" ht="11.4" x14ac:dyDescent="0.25">
      <c r="A49" s="78">
        <v>1</v>
      </c>
      <c r="B49" s="78" t="s">
        <v>248</v>
      </c>
      <c r="C49" s="78" t="s">
        <v>285</v>
      </c>
      <c r="D49" s="79">
        <v>0</v>
      </c>
      <c r="E49" s="81"/>
      <c r="F49" s="79">
        <v>0.01</v>
      </c>
      <c r="G49" s="81">
        <v>0.06</v>
      </c>
      <c r="H49" s="79">
        <v>-0.01</v>
      </c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AC49" s="87"/>
      <c r="AE49" s="87"/>
    </row>
    <row r="50" spans="1:31" s="86" customFormat="1" ht="11.4" x14ac:dyDescent="0.25">
      <c r="A50" s="78" t="s">
        <v>278</v>
      </c>
      <c r="B50" s="78"/>
      <c r="C50" s="78"/>
      <c r="D50" s="79">
        <f>SUM(D49:D49)</f>
        <v>0</v>
      </c>
      <c r="E50" s="81"/>
      <c r="F50" s="79">
        <f>SUM(F49:F49)</f>
        <v>0.01</v>
      </c>
      <c r="G50" s="81"/>
      <c r="H50" s="79">
        <f>SUM(H49:H49)</f>
        <v>-0.01</v>
      </c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AC50" s="87"/>
      <c r="AE50" s="87"/>
    </row>
    <row r="51" spans="1:31" s="86" customFormat="1" ht="11.4" x14ac:dyDescent="0.25">
      <c r="A51" s="82" t="s">
        <v>286</v>
      </c>
      <c r="B51" s="78"/>
      <c r="C51" s="78"/>
      <c r="D51" s="92">
        <v>0</v>
      </c>
      <c r="E51" s="81"/>
      <c r="F51" s="92">
        <v>0.01</v>
      </c>
      <c r="G51" s="81"/>
      <c r="H51" s="92">
        <v>-0.01</v>
      </c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AC51" s="87"/>
      <c r="AE51" s="87"/>
    </row>
    <row r="53" spans="1:31" x14ac:dyDescent="0.25">
      <c r="A53" s="58" t="s">
        <v>287</v>
      </c>
    </row>
    <row r="54" spans="1:31" ht="25.05" customHeight="1" x14ac:dyDescent="0.25">
      <c r="A54" s="93" t="s">
        <v>288</v>
      </c>
      <c r="B54" s="93" t="s">
        <v>289</v>
      </c>
      <c r="C54" s="93" t="s">
        <v>225</v>
      </c>
      <c r="D54" s="93" t="s">
        <v>290</v>
      </c>
    </row>
    <row r="55" spans="1:31" ht="25.05" customHeight="1" x14ac:dyDescent="0.25">
      <c r="A55" s="94"/>
      <c r="B55" s="94"/>
      <c r="C55" s="94"/>
      <c r="D55" s="94"/>
    </row>
    <row r="56" spans="1:31" x14ac:dyDescent="0.25">
      <c r="A56" s="78">
        <v>1</v>
      </c>
      <c r="B56" s="81">
        <v>474114.62</v>
      </c>
      <c r="C56" s="78" t="s">
        <v>251</v>
      </c>
      <c r="D56" s="81">
        <v>28446.880000000001</v>
      </c>
    </row>
    <row r="57" spans="1:31" x14ac:dyDescent="0.25">
      <c r="A57" s="78" t="s">
        <v>291</v>
      </c>
      <c r="B57" s="81">
        <v>474114.62</v>
      </c>
      <c r="C57" s="78"/>
      <c r="D57" s="81">
        <v>28446.880000000001</v>
      </c>
    </row>
    <row r="58" spans="1:31" x14ac:dyDescent="0.25">
      <c r="A58" s="95" t="s">
        <v>292</v>
      </c>
      <c r="B58" s="96"/>
      <c r="C58" s="96"/>
      <c r="D58" s="97">
        <v>28446.880000000001</v>
      </c>
    </row>
    <row r="59" spans="1:31" x14ac:dyDescent="0.25">
      <c r="A59" s="98" t="s">
        <v>293</v>
      </c>
    </row>
    <row r="60" spans="1:31" x14ac:dyDescent="0.25">
      <c r="A60" s="99">
        <v>502561.5</v>
      </c>
    </row>
    <row r="61" spans="1:31" x14ac:dyDescent="0.25">
      <c r="A61" s="98" t="s">
        <v>294</v>
      </c>
    </row>
    <row r="63" spans="1:31" s="101" customFormat="1" ht="17.399999999999999" x14ac:dyDescent="0.25">
      <c r="A63" s="100" t="s">
        <v>295</v>
      </c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AC63" s="102"/>
      <c r="AE63" s="102"/>
    </row>
    <row r="65" spans="1:10" x14ac:dyDescent="0.25">
      <c r="A65" s="103" t="s">
        <v>296</v>
      </c>
      <c r="J65" s="59" t="s">
        <v>297</v>
      </c>
    </row>
    <row r="67" spans="1:10" x14ac:dyDescent="0.25">
      <c r="A67" s="57" t="s">
        <v>298</v>
      </c>
      <c r="G67" s="104" t="s">
        <v>298</v>
      </c>
    </row>
    <row r="68" spans="1:10" x14ac:dyDescent="0.25">
      <c r="A68" s="57" t="s">
        <v>299</v>
      </c>
      <c r="G68" s="104" t="s">
        <v>300</v>
      </c>
    </row>
    <row r="69" spans="1:10" x14ac:dyDescent="0.25">
      <c r="A69" s="57" t="s">
        <v>301</v>
      </c>
      <c r="G69" s="104" t="s">
        <v>302</v>
      </c>
    </row>
    <row r="70" spans="1:10" x14ac:dyDescent="0.25">
      <c r="A70" s="57" t="s">
        <v>303</v>
      </c>
      <c r="G70" s="104" t="s">
        <v>304</v>
      </c>
    </row>
    <row r="71" spans="1:10" x14ac:dyDescent="0.25">
      <c r="A71" s="57" t="s">
        <v>305</v>
      </c>
      <c r="G71" s="104" t="s">
        <v>306</v>
      </c>
    </row>
    <row r="73" spans="1:10" x14ac:dyDescent="0.25">
      <c r="A73" s="57" t="s">
        <v>298</v>
      </c>
    </row>
    <row r="74" spans="1:10" x14ac:dyDescent="0.25">
      <c r="A74" s="57" t="s">
        <v>307</v>
      </c>
    </row>
    <row r="75" spans="1:10" x14ac:dyDescent="0.25">
      <c r="A75" s="57" t="s">
        <v>308</v>
      </c>
    </row>
    <row r="76" spans="1:10" x14ac:dyDescent="0.25">
      <c r="A76" s="57" t="s">
        <v>309</v>
      </c>
    </row>
    <row r="77" spans="1:10" x14ac:dyDescent="0.25">
      <c r="A77" s="57" t="s">
        <v>310</v>
      </c>
    </row>
    <row r="79" spans="1:10" x14ac:dyDescent="0.25">
      <c r="A79" s="103" t="s">
        <v>311</v>
      </c>
      <c r="D79" s="103" t="s">
        <v>312</v>
      </c>
      <c r="G79" s="104" t="s">
        <v>202</v>
      </c>
    </row>
    <row r="80" spans="1:10" x14ac:dyDescent="0.25">
      <c r="A80" s="103" t="s">
        <v>313</v>
      </c>
      <c r="G80" s="105" t="s">
        <v>314</v>
      </c>
    </row>
    <row r="81" spans="1:10" x14ac:dyDescent="0.25">
      <c r="A81" s="103" t="s">
        <v>315</v>
      </c>
      <c r="D81" s="103" t="s">
        <v>316</v>
      </c>
      <c r="G81" s="105" t="s">
        <v>317</v>
      </c>
    </row>
    <row r="82" spans="1:10" x14ac:dyDescent="0.25">
      <c r="A82" s="103" t="s">
        <v>318</v>
      </c>
      <c r="D82" s="103" t="s">
        <v>319</v>
      </c>
      <c r="G82" s="105" t="s">
        <v>320</v>
      </c>
      <c r="J82" s="105" t="s">
        <v>321</v>
      </c>
    </row>
    <row r="84" spans="1:10" x14ac:dyDescent="0.25">
      <c r="A84" s="103" t="s">
        <v>322</v>
      </c>
      <c r="B84" s="103" t="s">
        <v>323</v>
      </c>
    </row>
    <row r="85" spans="1:10" x14ac:dyDescent="0.25">
      <c r="B85" s="103" t="s">
        <v>324</v>
      </c>
    </row>
    <row r="86" spans="1:10" x14ac:dyDescent="0.25">
      <c r="B86" s="103" t="s">
        <v>325</v>
      </c>
    </row>
    <row r="87" spans="1:10" x14ac:dyDescent="0.25">
      <c r="B87" s="103" t="s">
        <v>326</v>
      </c>
    </row>
    <row r="88" spans="1:10" x14ac:dyDescent="0.25">
      <c r="B88" s="103" t="s">
        <v>327</v>
      </c>
    </row>
    <row r="90" spans="1:10" x14ac:dyDescent="0.25">
      <c r="A90" s="103" t="s">
        <v>328</v>
      </c>
      <c r="B90" s="103" t="s">
        <v>329</v>
      </c>
    </row>
    <row r="91" spans="1:10" x14ac:dyDescent="0.25">
      <c r="B91" s="103" t="s">
        <v>330</v>
      </c>
    </row>
  </sheetData>
  <mergeCells count="7">
    <mergeCell ref="A58:C58"/>
    <mergeCell ref="H14:M14"/>
    <mergeCell ref="P14:T14"/>
    <mergeCell ref="A54:A55"/>
    <mergeCell ref="B54:B55"/>
    <mergeCell ref="C54:C55"/>
    <mergeCell ref="D54:D55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202412</vt:lpstr>
      <vt:lpstr>对账单</vt:lpstr>
      <vt:lpstr>系统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2023-05-10T02:27:00Z</dcterms:created>
  <dcterms:modified xsi:type="dcterms:W3CDTF">2024-12-13T09:01:00Z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8233FB2981AF491AB94FABEB1FC6C762</vt:lpwstr>
  </property>
  <property fmtid="{D5CDD505-2E9C-101B-9397-08002B2CF9AE}" pid="3" name="KSOProductBuildVer">
    <vt:lpwstr>2052-12.8.2.15091</vt:lpwstr>
  </property>
</Properties>
</file>