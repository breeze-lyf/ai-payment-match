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"/>
    </mc:Choice>
  </mc:AlternateContent>
  <xr:revisionPtr revIDLastSave="0" documentId="13_ncr:1_{176CF7F5-82E6-4EC0-A8DB-0897F8DB9344}" xr6:coauthVersionLast="36" xr6:coauthVersionMax="36" xr10:uidLastSave="{00000000-0000-0000-0000-000000000000}"/>
  <bookViews>
    <workbookView xWindow="0" yWindow="0" windowWidth="23040" windowHeight="8700" xr2:uid="{040570E6-12F6-4EBD-8CB1-E9989DBA7558}"/>
  </bookViews>
  <sheets>
    <sheet name="202411" sheetId="1" r:id="rId1"/>
  </sheets>
  <definedNames>
    <definedName name="_xlnm._FilterDatabase" localSheetId="0" hidden="1">'202411'!$A$1:$BG$38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3" i="1" l="1"/>
  <c r="AY31" i="1"/>
  <c r="AY30" i="1"/>
  <c r="AY28" i="1"/>
  <c r="AY27" i="1"/>
  <c r="AY26" i="1"/>
  <c r="AY53" i="1" l="1"/>
  <c r="AY52" i="1"/>
  <c r="AY51" i="1"/>
  <c r="AY50" i="1"/>
  <c r="AY49" i="1"/>
  <c r="A53" i="1"/>
  <c r="AT38" i="1"/>
  <c r="AS38" i="1"/>
  <c r="AQ38" i="1"/>
  <c r="AP38" i="1"/>
  <c r="AO38" i="1"/>
  <c r="AN38" i="1"/>
  <c r="AG38" i="1"/>
  <c r="X38" i="1"/>
  <c r="Z38" i="1" s="1"/>
  <c r="AK38" i="1" s="1"/>
  <c r="A38" i="1"/>
  <c r="AT37" i="1"/>
  <c r="AS37" i="1"/>
  <c r="AQ37" i="1"/>
  <c r="AP37" i="1"/>
  <c r="AN37" i="1"/>
  <c r="AG37" i="1"/>
  <c r="X37" i="1" s="1"/>
  <c r="Z37" i="1" s="1"/>
  <c r="AK37" i="1" s="1"/>
  <c r="A37" i="1"/>
  <c r="AT36" i="1"/>
  <c r="AS36" i="1"/>
  <c r="AQ36" i="1"/>
  <c r="AP36" i="1"/>
  <c r="AU36" i="1" s="1"/>
  <c r="AW36" i="1" s="1"/>
  <c r="BB36" i="1" s="1"/>
  <c r="AO36" i="1"/>
  <c r="AN36" i="1"/>
  <c r="AG36" i="1"/>
  <c r="X36" i="1" s="1"/>
  <c r="Z36" i="1" s="1"/>
  <c r="AK36" i="1" s="1"/>
  <c r="A36" i="1"/>
  <c r="AT35" i="1"/>
  <c r="AS35" i="1"/>
  <c r="AQ35" i="1"/>
  <c r="AP35" i="1"/>
  <c r="AU35" i="1" s="1"/>
  <c r="AW35" i="1" s="1"/>
  <c r="BB35" i="1" s="1"/>
  <c r="AN35" i="1"/>
  <c r="AG35" i="1"/>
  <c r="X35" i="1" s="1"/>
  <c r="Z35" i="1" s="1"/>
  <c r="AK35" i="1" s="1"/>
  <c r="A35" i="1"/>
  <c r="AT34" i="1"/>
  <c r="AS34" i="1"/>
  <c r="AQ34" i="1"/>
  <c r="AP34" i="1"/>
  <c r="AO34" i="1"/>
  <c r="AU34" i="1" s="1"/>
  <c r="AW34" i="1" s="1"/>
  <c r="BB34" i="1" s="1"/>
  <c r="AN34" i="1"/>
  <c r="AG34" i="1"/>
  <c r="X34" i="1" s="1"/>
  <c r="Z34" i="1" s="1"/>
  <c r="AK34" i="1" s="1"/>
  <c r="A34" i="1"/>
  <c r="AT33" i="1"/>
  <c r="AS33" i="1"/>
  <c r="AQ33" i="1"/>
  <c r="AP33" i="1"/>
  <c r="AO33" i="1"/>
  <c r="AU33" i="1" s="1"/>
  <c r="AW33" i="1" s="1"/>
  <c r="BB33" i="1" s="1"/>
  <c r="AN33" i="1"/>
  <c r="AG33" i="1"/>
  <c r="X33" i="1" s="1"/>
  <c r="Z33" i="1" s="1"/>
  <c r="AK33" i="1" s="1"/>
  <c r="A33" i="1"/>
  <c r="AT32" i="1"/>
  <c r="AS32" i="1"/>
  <c r="AQ32" i="1"/>
  <c r="AP32" i="1"/>
  <c r="AO32" i="1"/>
  <c r="AU32" i="1" s="1"/>
  <c r="AN32" i="1"/>
  <c r="AG32" i="1"/>
  <c r="X32" i="1" s="1"/>
  <c r="A32" i="1"/>
  <c r="AT31" i="1"/>
  <c r="AS31" i="1"/>
  <c r="AQ31" i="1"/>
  <c r="AP31" i="1"/>
  <c r="AO31" i="1"/>
  <c r="AN31" i="1"/>
  <c r="AG31" i="1"/>
  <c r="X31" i="1" s="1"/>
  <c r="Z31" i="1" s="1"/>
  <c r="AK31" i="1" s="1"/>
  <c r="A31" i="1"/>
  <c r="AT30" i="1"/>
  <c r="AS30" i="1"/>
  <c r="AQ30" i="1"/>
  <c r="AP30" i="1"/>
  <c r="AO30" i="1"/>
  <c r="AN30" i="1"/>
  <c r="AG30" i="1"/>
  <c r="X30" i="1"/>
  <c r="Z30" i="1" s="1"/>
  <c r="AK30" i="1" s="1"/>
  <c r="A30" i="1"/>
  <c r="AT29" i="1"/>
  <c r="AS29" i="1"/>
  <c r="AQ29" i="1"/>
  <c r="AP29" i="1"/>
  <c r="AO29" i="1"/>
  <c r="AN29" i="1"/>
  <c r="AK29" i="1"/>
  <c r="AG29" i="1"/>
  <c r="X29" i="1"/>
  <c r="Z29" i="1" s="1"/>
  <c r="A29" i="1"/>
  <c r="AT28" i="1"/>
  <c r="AS28" i="1"/>
  <c r="AQ28" i="1"/>
  <c r="AP28" i="1"/>
  <c r="AN28" i="1"/>
  <c r="AG28" i="1"/>
  <c r="X28" i="1" s="1"/>
  <c r="A28" i="1"/>
  <c r="AT27" i="1"/>
  <c r="AS27" i="1"/>
  <c r="AQ27" i="1"/>
  <c r="AP27" i="1"/>
  <c r="AO27" i="1"/>
  <c r="AN27" i="1"/>
  <c r="AG27" i="1"/>
  <c r="X27" i="1"/>
  <c r="Z27" i="1" s="1"/>
  <c r="AK27" i="1" s="1"/>
  <c r="A27" i="1"/>
  <c r="AT26" i="1"/>
  <c r="AS26" i="1"/>
  <c r="AQ26" i="1"/>
  <c r="AP26" i="1"/>
  <c r="AO26" i="1"/>
  <c r="AN26" i="1"/>
  <c r="AG26" i="1"/>
  <c r="X26" i="1" s="1"/>
  <c r="A26" i="1"/>
  <c r="AT25" i="1"/>
  <c r="AS25" i="1"/>
  <c r="AQ25" i="1"/>
  <c r="AP25" i="1"/>
  <c r="AO25" i="1"/>
  <c r="AN25" i="1"/>
  <c r="AG25" i="1"/>
  <c r="X25" i="1" s="1"/>
  <c r="Z25" i="1" s="1"/>
  <c r="AK25" i="1" s="1"/>
  <c r="A25" i="1"/>
  <c r="AT24" i="1"/>
  <c r="AS24" i="1"/>
  <c r="AQ24" i="1"/>
  <c r="AP24" i="1"/>
  <c r="AN24" i="1"/>
  <c r="AG24" i="1"/>
  <c r="X24" i="1" s="1"/>
  <c r="Z24" i="1" s="1"/>
  <c r="AK24" i="1" s="1"/>
  <c r="A24" i="1"/>
  <c r="AT23" i="1"/>
  <c r="AS23" i="1"/>
  <c r="AQ23" i="1"/>
  <c r="AP23" i="1"/>
  <c r="AN23" i="1"/>
  <c r="AG23" i="1"/>
  <c r="X23" i="1" s="1"/>
  <c r="Z23" i="1" s="1"/>
  <c r="AK23" i="1" s="1"/>
  <c r="A23" i="1"/>
  <c r="AT22" i="1"/>
  <c r="AS22" i="1"/>
  <c r="AQ22" i="1"/>
  <c r="AP22" i="1"/>
  <c r="AO22" i="1"/>
  <c r="AN22" i="1"/>
  <c r="AU22" i="1" s="1"/>
  <c r="AW22" i="1" s="1"/>
  <c r="BB22" i="1" s="1"/>
  <c r="AG22" i="1"/>
  <c r="X22" i="1"/>
  <c r="Z22" i="1" s="1"/>
  <c r="AK22" i="1" s="1"/>
  <c r="A22" i="1"/>
  <c r="AT21" i="1"/>
  <c r="AS21" i="1"/>
  <c r="AQ21" i="1"/>
  <c r="AP21" i="1"/>
  <c r="AN21" i="1"/>
  <c r="AG21" i="1"/>
  <c r="X21" i="1" s="1"/>
  <c r="Z21" i="1" s="1"/>
  <c r="AK21" i="1" s="1"/>
  <c r="A21" i="1"/>
  <c r="AT20" i="1"/>
  <c r="AS20" i="1"/>
  <c r="AQ20" i="1"/>
  <c r="AP20" i="1"/>
  <c r="AN20" i="1"/>
  <c r="AG20" i="1"/>
  <c r="X20" i="1" s="1"/>
  <c r="Z20" i="1" s="1"/>
  <c r="AK20" i="1" s="1"/>
  <c r="A20" i="1"/>
  <c r="AT19" i="1"/>
  <c r="AS19" i="1"/>
  <c r="AQ19" i="1"/>
  <c r="AP19" i="1"/>
  <c r="AO19" i="1"/>
  <c r="AN19" i="1"/>
  <c r="AG19" i="1"/>
  <c r="X19" i="1" s="1"/>
  <c r="Z19" i="1" s="1"/>
  <c r="AK19" i="1" s="1"/>
  <c r="A19" i="1"/>
  <c r="AT18" i="1"/>
  <c r="AS18" i="1"/>
  <c r="AQ18" i="1"/>
  <c r="AP18" i="1"/>
  <c r="AO18" i="1"/>
  <c r="AN18" i="1"/>
  <c r="AG18" i="1"/>
  <c r="X18" i="1" s="1"/>
  <c r="Z18" i="1" s="1"/>
  <c r="AK18" i="1" s="1"/>
  <c r="A18" i="1"/>
  <c r="AT17" i="1"/>
  <c r="AS17" i="1"/>
  <c r="AQ17" i="1"/>
  <c r="AP17" i="1"/>
  <c r="AN17" i="1"/>
  <c r="AG17" i="1"/>
  <c r="X17" i="1" s="1"/>
  <c r="Z17" i="1" s="1"/>
  <c r="AK17" i="1" s="1"/>
  <c r="A17" i="1"/>
  <c r="AT16" i="1"/>
  <c r="AS16" i="1"/>
  <c r="AQ16" i="1"/>
  <c r="AP16" i="1"/>
  <c r="AO16" i="1"/>
  <c r="AN16" i="1"/>
  <c r="AU16" i="1" s="1"/>
  <c r="AW16" i="1" s="1"/>
  <c r="BB16" i="1" s="1"/>
  <c r="AG16" i="1"/>
  <c r="Z16" i="1"/>
  <c r="AK16" i="1" s="1"/>
  <c r="A16" i="1"/>
  <c r="AT15" i="1"/>
  <c r="AS15" i="1"/>
  <c r="AQ15" i="1"/>
  <c r="AP15" i="1"/>
  <c r="AU15" i="1" s="1"/>
  <c r="AW15" i="1" s="1"/>
  <c r="BB15" i="1" s="1"/>
  <c r="AN15" i="1"/>
  <c r="AG15" i="1"/>
  <c r="Z15" i="1"/>
  <c r="A15" i="1"/>
  <c r="AT14" i="1"/>
  <c r="AS14" i="1"/>
  <c r="AQ14" i="1"/>
  <c r="AP14" i="1"/>
  <c r="AO14" i="1"/>
  <c r="AN14" i="1"/>
  <c r="AG14" i="1"/>
  <c r="Z14" i="1"/>
  <c r="AK14" i="1" s="1"/>
  <c r="A14" i="1"/>
  <c r="AT13" i="1"/>
  <c r="AS13" i="1"/>
  <c r="AQ13" i="1"/>
  <c r="AP13" i="1"/>
  <c r="AN13" i="1"/>
  <c r="AG13" i="1"/>
  <c r="Z13" i="1"/>
  <c r="AK13" i="1" s="1"/>
  <c r="A13" i="1"/>
  <c r="AT12" i="1"/>
  <c r="AS12" i="1"/>
  <c r="AQ12" i="1"/>
  <c r="AP12" i="1"/>
  <c r="AO12" i="1"/>
  <c r="AN12" i="1"/>
  <c r="AG12" i="1"/>
  <c r="Z12" i="1"/>
  <c r="A12" i="1"/>
  <c r="AT11" i="1"/>
  <c r="AS11" i="1"/>
  <c r="AQ11" i="1"/>
  <c r="AP11" i="1"/>
  <c r="AO11" i="1"/>
  <c r="AN11" i="1"/>
  <c r="AU11" i="1" s="1"/>
  <c r="AW11" i="1" s="1"/>
  <c r="BB11" i="1" s="1"/>
  <c r="AG11" i="1"/>
  <c r="Z11" i="1"/>
  <c r="A11" i="1"/>
  <c r="AT10" i="1"/>
  <c r="AS10" i="1"/>
  <c r="AQ10" i="1"/>
  <c r="AP10" i="1"/>
  <c r="AO10" i="1"/>
  <c r="AN10" i="1"/>
  <c r="AG10" i="1"/>
  <c r="Z10" i="1"/>
  <c r="AK10" i="1" s="1"/>
  <c r="A10" i="1"/>
  <c r="AT9" i="1"/>
  <c r="AS9" i="1"/>
  <c r="AQ9" i="1"/>
  <c r="AP9" i="1"/>
  <c r="AO9" i="1"/>
  <c r="AN9" i="1"/>
  <c r="AG9" i="1"/>
  <c r="AK9" i="1" s="1"/>
  <c r="Z9" i="1"/>
  <c r="A9" i="1"/>
  <c r="AT8" i="1"/>
  <c r="AS8" i="1"/>
  <c r="AQ8" i="1"/>
  <c r="AP8" i="1"/>
  <c r="AN8" i="1"/>
  <c r="AG8" i="1"/>
  <c r="Z8" i="1"/>
  <c r="A8" i="1"/>
  <c r="AT7" i="1"/>
  <c r="AS7" i="1"/>
  <c r="AQ7" i="1"/>
  <c r="AP7" i="1"/>
  <c r="AO7" i="1"/>
  <c r="AN7" i="1"/>
  <c r="AU7" i="1" s="1"/>
  <c r="AW7" i="1" s="1"/>
  <c r="BB7" i="1" s="1"/>
  <c r="AK7" i="1"/>
  <c r="AG7" i="1"/>
  <c r="Z7" i="1"/>
  <c r="A7" i="1"/>
  <c r="AT6" i="1"/>
  <c r="AS6" i="1"/>
  <c r="AQ6" i="1"/>
  <c r="AP6" i="1"/>
  <c r="AU6" i="1" s="1"/>
  <c r="AW6" i="1" s="1"/>
  <c r="BB6" i="1" s="1"/>
  <c r="AN6" i="1"/>
  <c r="AG6" i="1"/>
  <c r="Z6" i="1"/>
  <c r="AK6" i="1" s="1"/>
  <c r="A6" i="1"/>
  <c r="AT5" i="1"/>
  <c r="AS5" i="1"/>
  <c r="AQ5" i="1"/>
  <c r="AP5" i="1"/>
  <c r="AU5" i="1" s="1"/>
  <c r="AN5" i="1"/>
  <c r="AG5" i="1"/>
  <c r="Z5" i="1"/>
  <c r="AK5" i="1" s="1"/>
  <c r="A5" i="1"/>
  <c r="AT4" i="1"/>
  <c r="AS4" i="1"/>
  <c r="AQ4" i="1"/>
  <c r="AP4" i="1"/>
  <c r="AN4" i="1"/>
  <c r="AG4" i="1"/>
  <c r="Z4" i="1"/>
  <c r="AK4" i="1" s="1"/>
  <c r="A4" i="1"/>
  <c r="AT3" i="1"/>
  <c r="AS3" i="1"/>
  <c r="AQ3" i="1"/>
  <c r="AP3" i="1"/>
  <c r="AO3" i="1"/>
  <c r="AN3" i="1"/>
  <c r="AG3" i="1"/>
  <c r="Z3" i="1"/>
  <c r="A3" i="1"/>
  <c r="Z28" i="1" l="1"/>
  <c r="AK28" i="1" s="1"/>
  <c r="AU3" i="1"/>
  <c r="AW3" i="1" s="1"/>
  <c r="BB3" i="1" s="1"/>
  <c r="AU8" i="1"/>
  <c r="AW8" i="1" s="1"/>
  <c r="BB8" i="1" s="1"/>
  <c r="BC8" i="1" s="1"/>
  <c r="BD8" i="1" s="1"/>
  <c r="AU12" i="1"/>
  <c r="AW12" i="1" s="1"/>
  <c r="BB12" i="1" s="1"/>
  <c r="AK15" i="1"/>
  <c r="AU17" i="1"/>
  <c r="AW17" i="1" s="1"/>
  <c r="BB17" i="1" s="1"/>
  <c r="AU18" i="1"/>
  <c r="AW18" i="1" s="1"/>
  <c r="BB18" i="1" s="1"/>
  <c r="AU24" i="1"/>
  <c r="AW24" i="1" s="1"/>
  <c r="BB24" i="1" s="1"/>
  <c r="BC24" i="1" s="1"/>
  <c r="AU25" i="1"/>
  <c r="AU31" i="1"/>
  <c r="AW31" i="1" s="1"/>
  <c r="AW5" i="1"/>
  <c r="BB5" i="1" s="1"/>
  <c r="BC5" i="1" s="1"/>
  <c r="BD5" i="1" s="1"/>
  <c r="AK11" i="1"/>
  <c r="AU13" i="1"/>
  <c r="AW13" i="1" s="1"/>
  <c r="BB13" i="1" s="1"/>
  <c r="AU14" i="1"/>
  <c r="AW14" i="1" s="1"/>
  <c r="BB14" i="1" s="1"/>
  <c r="AU19" i="1"/>
  <c r="AW19" i="1" s="1"/>
  <c r="BB19" i="1" s="1"/>
  <c r="BC19" i="1" s="1"/>
  <c r="BD19" i="1" s="1"/>
  <c r="AU20" i="1"/>
  <c r="AW20" i="1" s="1"/>
  <c r="BB20" i="1" s="1"/>
  <c r="AU27" i="1"/>
  <c r="AW27" i="1" s="1"/>
  <c r="AU37" i="1"/>
  <c r="AW37" i="1" s="1"/>
  <c r="BB37" i="1" s="1"/>
  <c r="AU38" i="1"/>
  <c r="AW38" i="1" s="1"/>
  <c r="BB38" i="1" s="1"/>
  <c r="AK3" i="1"/>
  <c r="AU4" i="1"/>
  <c r="AW4" i="1" s="1"/>
  <c r="BB4" i="1" s="1"/>
  <c r="AK8" i="1"/>
  <c r="AU9" i="1"/>
  <c r="AW9" i="1" s="1"/>
  <c r="BB9" i="1" s="1"/>
  <c r="BC9" i="1" s="1"/>
  <c r="AU10" i="1"/>
  <c r="AW10" i="1" s="1"/>
  <c r="BB10" i="1" s="1"/>
  <c r="AK12" i="1"/>
  <c r="Z26" i="1"/>
  <c r="AK26" i="1" s="1"/>
  <c r="AU28" i="1"/>
  <c r="AW28" i="1" s="1"/>
  <c r="BB28" i="1" s="1"/>
  <c r="BC20" i="1"/>
  <c r="BD20" i="1" s="1"/>
  <c r="BC22" i="1"/>
  <c r="BD22" i="1" s="1"/>
  <c r="AU26" i="1"/>
  <c r="AW26" i="1" s="1"/>
  <c r="BB26" i="1" s="1"/>
  <c r="BD33" i="1"/>
  <c r="BC33" i="1"/>
  <c r="BC36" i="1"/>
  <c r="BD36" i="1" s="1"/>
  <c r="AU30" i="1"/>
  <c r="AW30" i="1" s="1"/>
  <c r="BD34" i="1"/>
  <c r="BC34" i="1"/>
  <c r="BD24" i="1"/>
  <c r="BC35" i="1"/>
  <c r="BD35" i="1" s="1"/>
  <c r="BC17" i="1"/>
  <c r="BD17" i="1" s="1"/>
  <c r="AU21" i="1"/>
  <c r="AW21" i="1" s="1"/>
  <c r="BB21" i="1" s="1"/>
  <c r="AW25" i="1"/>
  <c r="BB25" i="1" s="1"/>
  <c r="AU29" i="1"/>
  <c r="AW29" i="1" s="1"/>
  <c r="BB29" i="1" s="1"/>
  <c r="BB31" i="1"/>
  <c r="Z32" i="1"/>
  <c r="AK32" i="1" s="1"/>
  <c r="AU23" i="1"/>
  <c r="AW23" i="1" s="1"/>
  <c r="BB23" i="1" s="1"/>
  <c r="BB27" i="1"/>
  <c r="BC13" i="1"/>
  <c r="BD13" i="1" s="1"/>
  <c r="BC14" i="1"/>
  <c r="BD14" i="1" s="1"/>
  <c r="BC4" i="1"/>
  <c r="BD4" i="1"/>
  <c r="BC10" i="1"/>
  <c r="BD10" i="1" s="1"/>
  <c r="BC6" i="1"/>
  <c r="BD6" i="1" s="1"/>
  <c r="BC11" i="1"/>
  <c r="BD11" i="1" s="1"/>
  <c r="BC15" i="1"/>
  <c r="BD15" i="1" s="1"/>
  <c r="BC16" i="1"/>
  <c r="BD16" i="1" s="1"/>
  <c r="BC7" i="1"/>
  <c r="BD7" i="1" s="1"/>
  <c r="BC3" i="1"/>
  <c r="BD3" i="1" s="1"/>
  <c r="BC12" i="1"/>
  <c r="BD12" i="1" s="1"/>
  <c r="AW32" i="1" l="1"/>
  <c r="BB32" i="1" s="1"/>
  <c r="BC32" i="1" s="1"/>
  <c r="BD32" i="1" s="1"/>
  <c r="BC28" i="1"/>
  <c r="BD28" i="1" s="1"/>
  <c r="BD9" i="1"/>
  <c r="BC27" i="1"/>
  <c r="BD27" i="1" s="1"/>
  <c r="BC31" i="1"/>
  <c r="BD31" i="1" s="1"/>
  <c r="BC25" i="1"/>
  <c r="BD25" i="1" s="1"/>
  <c r="BC18" i="1"/>
  <c r="BD18" i="1" s="1"/>
  <c r="BC21" i="1"/>
  <c r="BD21" i="1" s="1"/>
  <c r="BC37" i="1"/>
  <c r="BD37" i="1" s="1"/>
  <c r="BB30" i="1"/>
  <c r="BC23" i="1"/>
  <c r="BD23" i="1" s="1"/>
  <c r="BC29" i="1"/>
  <c r="BD29" i="1" s="1"/>
  <c r="BC38" i="1"/>
  <c r="BD38" i="1" s="1"/>
  <c r="BC26" i="1"/>
  <c r="BD26" i="1" s="1"/>
  <c r="BC30" i="1" l="1"/>
  <c r="BD30" i="1" s="1"/>
  <c r="AY54" i="1" l="1"/>
  <c r="BB41" i="1" l="1"/>
  <c r="BA42" i="1" l="1"/>
  <c r="BA41" i="1"/>
  <c r="AV41" i="1"/>
  <c r="AY42" i="1" l="1"/>
  <c r="AY41" i="1"/>
  <c r="AY43" i="1" l="1"/>
  <c r="Z41" i="1" l="1"/>
  <c r="AG41" i="1" l="1"/>
  <c r="AU41" i="1"/>
  <c r="AW41" i="1"/>
  <c r="AK41" i="1"/>
  <c r="BC41" i="1" l="1"/>
  <c r="BD41" i="1" l="1"/>
  <c r="Z42" i="1" l="1"/>
  <c r="AV42" i="1" l="1"/>
  <c r="AU43" i="1"/>
  <c r="AG42" i="1"/>
  <c r="AU42" i="1"/>
  <c r="AK42" i="1"/>
  <c r="AW42" i="1" l="1"/>
  <c r="AW43" i="1" s="1"/>
  <c r="BB42" i="1" l="1"/>
  <c r="BB43" i="1" l="1"/>
  <c r="BC42" i="1"/>
  <c r="BD42" i="1" l="1"/>
  <c r="BD43" i="1" s="1"/>
  <c r="Z43" i="1"/>
  <c r="AG43" i="1"/>
  <c r="AK43" i="1"/>
  <c r="AV43" i="1"/>
  <c r="BA43" i="1"/>
  <c r="BC43" i="1"/>
</calcChain>
</file>

<file path=xl/sharedStrings.xml><?xml version="1.0" encoding="utf-8"?>
<sst xmlns="http://schemas.openxmlformats.org/spreadsheetml/2006/main" count="389" uniqueCount="221">
  <si>
    <t>上海</t>
  </si>
  <si>
    <t>320681198911257029</t>
  </si>
  <si>
    <t>370883199010065887</t>
  </si>
  <si>
    <t>310230198502244987</t>
  </si>
  <si>
    <t>320626197411023016</t>
  </si>
  <si>
    <t>310113198111034825</t>
  </si>
  <si>
    <t>32068119890825242X</t>
  </si>
  <si>
    <t>320681198311146835</t>
  </si>
  <si>
    <t>310107198106192557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</si>
  <si>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</si>
  <si>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</si>
  <si>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</si>
  <si>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</si>
  <si>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</si>
  <si>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</si>
  <si>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</si>
  <si>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</si>
  <si>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</si>
  <si>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</si>
  <si>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</si>
  <si>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</si>
  <si>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</si>
  <si>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</si>
  <si>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</si>
  <si>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</si>
  <si>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</si>
  <si>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</si>
  <si>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</si>
  <si>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</si>
  <si>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</si>
  <si>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</si>
  <si>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</si>
  <si>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</si>
  <si>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</si>
  <si>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</si>
  <si>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</si>
  <si>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</si>
  <si>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</si>
  <si>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</si>
  <si>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</si>
  <si>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</si>
  <si>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</si>
  <si>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</si>
  <si>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</si>
  <si>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</si>
  <si>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</si>
  <si>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</si>
  <si>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</si>
  <si>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</si>
  <si>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</si>
  <si>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</si>
  <si>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</si>
  <si>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</si>
  <si>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</si>
  <si>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</si>
  <si>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</si>
  <si>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</si>
  <si>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</si>
  <si>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</si>
  <si>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</si>
  <si>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</si>
  <si>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</si>
  <si>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</si>
  <si>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</si>
  <si>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</si>
  <si>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</si>
  <si>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</si>
  <si>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</si>
  <si>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</si>
  <si>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</si>
  <si>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</si>
  <si>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</si>
  <si>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</si>
  <si>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</si>
  <si>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</si>
  <si>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</si>
  <si>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</si>
  <si>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</si>
  <si>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</si>
  <si>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</si>
  <si>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</si>
  <si>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</si>
  <si>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</si>
  <si>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</si>
  <si>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</si>
  <si>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</si>
  <si>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</si>
  <si>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</si>
  <si>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</si>
  <si>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</si>
  <si>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</si>
  <si>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</si>
  <si>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</si>
  <si>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</si>
  <si>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</si>
  <si>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</si>
  <si>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2" type="noConversion"/>
  </si>
  <si>
    <t>Employee No.</t>
  </si>
  <si>
    <t>Total</t>
    <phoneticPr fontId="2" type="noConversion"/>
  </si>
  <si>
    <t>320681199806210215</t>
  </si>
  <si>
    <t>310230198208264565</t>
  </si>
  <si>
    <t>320681198001296045</t>
  </si>
  <si>
    <t>纵向攻击团队</t>
    <phoneticPr fontId="2" type="noConversion"/>
  </si>
  <si>
    <t>高温费及清凉饮料费
（6-9月）</t>
  </si>
  <si>
    <t>劳防用品</t>
  </si>
  <si>
    <t>310108198612173363</t>
  </si>
  <si>
    <t>320681198812140829</t>
  </si>
  <si>
    <t>310113198812035548</t>
  </si>
  <si>
    <t>310113198309114628</t>
  </si>
  <si>
    <t>310109198006192026</t>
  </si>
  <si>
    <t>310113197707080027</t>
  </si>
  <si>
    <t>310113199401265319</t>
  </si>
  <si>
    <t>310102198702193618</t>
  </si>
  <si>
    <t>31011319860815411X</t>
  </si>
  <si>
    <t>310110198605095645</t>
  </si>
  <si>
    <t>310230197802072529</t>
  </si>
  <si>
    <t>320681200309147011</t>
  </si>
  <si>
    <t>其他费用</t>
    <phoneticPr fontId="2" type="noConversion"/>
  </si>
  <si>
    <t>纵向团队合计</t>
    <phoneticPr fontId="2" type="noConversion"/>
  </si>
  <si>
    <t>营业厅合计</t>
    <phoneticPr fontId="2" type="noConversion"/>
  </si>
  <si>
    <t>总计</t>
    <phoneticPr fontId="2" type="noConversion"/>
  </si>
  <si>
    <t>陈云</t>
  </si>
  <si>
    <t>龚林花</t>
  </si>
  <si>
    <t>顾文君</t>
  </si>
  <si>
    <t>顾燕</t>
  </si>
  <si>
    <t>金霞</t>
  </si>
  <si>
    <t>李娟</t>
  </si>
  <si>
    <t>沈娟娟</t>
  </si>
  <si>
    <t>宋莉莉</t>
  </si>
  <si>
    <t>王海婷</t>
  </si>
  <si>
    <t>夏士梅</t>
  </si>
  <si>
    <t>杨晨晖</t>
  </si>
  <si>
    <t>殷颖</t>
  </si>
  <si>
    <t>张海荣</t>
  </si>
  <si>
    <t>张杰</t>
  </si>
  <si>
    <t>赵杭顺</t>
  </si>
  <si>
    <t>周海松</t>
  </si>
  <si>
    <t>周伟丰</t>
  </si>
  <si>
    <t>上月垫付</t>
    <phoneticPr fontId="4" type="noConversion"/>
  </si>
  <si>
    <t>效能补贴</t>
    <phoneticPr fontId="4" type="noConversion"/>
  </si>
  <si>
    <t>34080219811208081X</t>
  </si>
  <si>
    <t>341127198508043038</t>
  </si>
  <si>
    <t>叶挺</t>
  </si>
  <si>
    <t>WB038749</t>
  </si>
  <si>
    <t>WB007457</t>
  </si>
  <si>
    <t>王艳</t>
  </si>
  <si>
    <t>342222199402106028</t>
  </si>
  <si>
    <t>WB068630</t>
  </si>
  <si>
    <t>林峰</t>
  </si>
  <si>
    <t>茅柳</t>
  </si>
  <si>
    <t>沙玉莲</t>
  </si>
  <si>
    <t>王凌波</t>
  </si>
  <si>
    <t>320681198005016055</t>
  </si>
  <si>
    <t>翁杰</t>
  </si>
  <si>
    <t>32068119830326361X</t>
  </si>
  <si>
    <t>郁金华</t>
  </si>
  <si>
    <t>320681197812267024</t>
  </si>
  <si>
    <t>朱娟</t>
  </si>
  <si>
    <t>310113198511225727</t>
  </si>
  <si>
    <t>姚嘉豪</t>
  </si>
  <si>
    <t>310113199804301716</t>
  </si>
  <si>
    <t>陆燕</t>
  </si>
  <si>
    <t>310113197802064324</t>
  </si>
  <si>
    <t>成瀛</t>
  </si>
  <si>
    <t>140103198304204830</t>
  </si>
  <si>
    <t>340223199003157228</t>
  </si>
  <si>
    <t>张欢</t>
  </si>
  <si>
    <t>340321199602189283</t>
  </si>
  <si>
    <t>310115197811118649</t>
  </si>
  <si>
    <t>WB007293</t>
  </si>
  <si>
    <t>WB023775</t>
  </si>
  <si>
    <t>WB030437</t>
  </si>
  <si>
    <t>WB033013</t>
  </si>
  <si>
    <t>WB054275</t>
  </si>
  <si>
    <t>WB007248</t>
  </si>
  <si>
    <t>WB007254</t>
  </si>
  <si>
    <t>WB022966</t>
  </si>
  <si>
    <t>WB016859</t>
  </si>
  <si>
    <t>WB016826</t>
  </si>
  <si>
    <t>WB044433</t>
  </si>
  <si>
    <t>WB039094</t>
  </si>
  <si>
    <t>WB009624</t>
  </si>
  <si>
    <t>WB009626</t>
  </si>
  <si>
    <t>WB009627</t>
  </si>
  <si>
    <t>WB009631</t>
  </si>
  <si>
    <t>WB030237</t>
  </si>
  <si>
    <t>朱琳</t>
    <phoneticPr fontId="4" type="noConversion"/>
  </si>
  <si>
    <t>WB016896</t>
  </si>
  <si>
    <t>WB007244</t>
  </si>
  <si>
    <t>WB007262</t>
  </si>
  <si>
    <t>WB026438</t>
  </si>
  <si>
    <t>WB027558</t>
  </si>
  <si>
    <t>WB036282</t>
  </si>
  <si>
    <t>WB044295</t>
  </si>
  <si>
    <t>WB046059</t>
  </si>
  <si>
    <t>WB053301</t>
  </si>
  <si>
    <t>WB007259</t>
  </si>
  <si>
    <t>WB045138</t>
  </si>
  <si>
    <t>WB044028</t>
  </si>
  <si>
    <t>WB041713</t>
  </si>
  <si>
    <t>WB050058</t>
  </si>
  <si>
    <t>WB048620</t>
  </si>
  <si>
    <t>魏玲</t>
    <phoneticPr fontId="4" type="noConversion"/>
  </si>
  <si>
    <t>王佳睿</t>
    <phoneticPr fontId="4" type="noConversion"/>
  </si>
  <si>
    <t>WB045407</t>
    <phoneticPr fontId="4" type="noConversion"/>
  </si>
  <si>
    <t>张枚</t>
    <phoneticPr fontId="4" type="noConversion"/>
  </si>
  <si>
    <t>钱善晖</t>
    <phoneticPr fontId="4" type="noConversion"/>
  </si>
  <si>
    <t>朱焱炎</t>
    <phoneticPr fontId="4" type="noConversion"/>
  </si>
  <si>
    <t>本月垫付，下月补收</t>
    <phoneticPr fontId="4" type="noConversion"/>
  </si>
  <si>
    <t>当月税前工资合计</t>
    <phoneticPr fontId="2" type="noConversion"/>
  </si>
  <si>
    <t>年终奖</t>
    <phoneticPr fontId="4" type="noConversion"/>
  </si>
  <si>
    <t>效能补贴</t>
  </si>
  <si>
    <t>劳防用品</t>
    <phoneticPr fontId="2" type="noConversion"/>
  </si>
  <si>
    <t>12月保障补差429.72，1月收</t>
    <phoneticPr fontId="4" type="noConversion"/>
  </si>
  <si>
    <t>12月保障补差624.42，1月收</t>
    <phoneticPr fontId="4" type="noConversion"/>
  </si>
  <si>
    <t>12月保障补差53.08，1月收</t>
    <phoneticPr fontId="4" type="noConversion"/>
  </si>
  <si>
    <t>12月保障补差1119.32，1月收</t>
    <phoneticPr fontId="4" type="noConversion"/>
  </si>
  <si>
    <t>12月保障补差585.32，1月收</t>
    <phoneticPr fontId="4" type="noConversion"/>
  </si>
  <si>
    <t>纵4-11月14447</t>
    <phoneticPr fontId="4" type="noConversion"/>
  </si>
  <si>
    <t>营4-11月24630</t>
    <phoneticPr fontId="4" type="noConversion"/>
  </si>
  <si>
    <t>上月垫付本月收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</si>
</sst>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1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11"/>
      <color theme="1"/>
      <name val="等线"/>
      <family val="3"/>
      <charset val="134"/>
      <scheme val="minor"/>
    </font>
    <font>
      <sz val="18"/>
      <color theme="1"/>
      <name val="阿里巴巴普惠体 R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6" fillId="0" borderId="0">
      <alignment vertical="center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5" fillId="0" borderId="0"/>
  </cellStyleXfs>
  <cellXfs count="64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6" borderId="1" xfId="0" applyNumberFormat="1" applyFont="1" applyFill="1" applyBorder="1" applyAlignment="1" applyProtection="1">
      <alignment horizontal="center" vertical="center" wrapText="1"/>
      <protection locked="0"/>
    </xf>
    <xf numFmtId="177" fontId="12" fillId="0" borderId="1" xfId="0" applyNumberFormat="1" applyFont="1" applyFill="1" applyBorder="1" applyAlignment="1">
      <alignment horizontal="left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 applyFill="1">
      <alignment vertical="center"/>
    </xf>
    <xf numFmtId="43" fontId="13" fillId="5" borderId="0" xfId="3" applyFont="1" applyFill="1">
      <alignment vertical="center"/>
    </xf>
    <xf numFmtId="0" fontId="8" fillId="7" borderId="1" xfId="2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7" fontId="12" fillId="9" borderId="1" xfId="0" applyNumberFormat="1" applyFont="1" applyFill="1" applyBorder="1" applyAlignment="1">
      <alignment horizontal="left" vertical="center"/>
    </xf>
    <xf numFmtId="176" fontId="7" fillId="6" borderId="1" xfId="0" applyNumberFormat="1" applyFont="1" applyFill="1" applyBorder="1" applyAlignment="1">
      <alignment horizontal="center" vertical="center"/>
    </xf>
    <xf numFmtId="43" fontId="13" fillId="9" borderId="0" xfId="3" applyFont="1" applyFill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177" fontId="14" fillId="9" borderId="1" xfId="0" applyNumberFormat="1" applyFont="1" applyFill="1" applyBorder="1" applyAlignment="1">
      <alignment horizontal="left" vertical="center"/>
    </xf>
    <xf numFmtId="176" fontId="13" fillId="0" borderId="0" xfId="0" applyNumberFormat="1" applyFont="1">
      <alignment vertical="center"/>
    </xf>
    <xf numFmtId="177" fontId="11" fillId="0" borderId="1" xfId="0" applyNumberFormat="1" applyFont="1" applyFill="1" applyBorder="1" applyAlignment="1">
      <alignment horizontal="left" vertical="center"/>
    </xf>
    <xf numFmtId="177" fontId="11" fillId="9" borderId="1" xfId="0" applyNumberFormat="1" applyFont="1" applyFill="1" applyBorder="1" applyAlignment="1">
      <alignment horizontal="left" vertical="center"/>
    </xf>
    <xf numFmtId="43" fontId="13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>
      <alignment vertical="center"/>
    </xf>
    <xf numFmtId="0" fontId="13" fillId="0" borderId="0" xfId="0" applyNumberFormat="1" applyFont="1">
      <alignment vertical="center"/>
    </xf>
    <xf numFmtId="0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8" fillId="9" borderId="1" xfId="2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7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" xfId="0" applyNumberFormat="1" applyFont="1" applyFill="1" applyBorder="1" applyAlignment="1" applyProtection="1">
      <alignment horizontal="center" vertical="center" wrapText="1"/>
      <protection locked="0"/>
    </xf>
  </cellXfs>
  <cellStyles count="15">
    <cellStyle name="标题 1 6 2 2 2" xfId="9" xr:uid="{00000000-0005-0000-0000-000031000000}"/>
    <cellStyle name="常规" xfId="0" builtinId="0"/>
    <cellStyle name="常规 10" xfId="1" xr:uid="{B17AAEC0-0117-4516-8992-3E2BB5542A72}"/>
    <cellStyle name="常规 2" xfId="2" xr:uid="{3C626691-D912-4232-846D-025E50E52262}"/>
    <cellStyle name="常规 27 2" xfId="14" xr:uid="{F7431358-3F99-4FED-8EDF-CC0C355B318A}"/>
    <cellStyle name="常规 28" xfId="7" xr:uid="{1D19ED5A-BB9D-4FC5-A6C0-940160FFE2C8}"/>
    <cellStyle name="常规 3" xfId="5" xr:uid="{00000000-0005-0000-0000-000033000000}"/>
    <cellStyle name="常规 3 2" xfId="11" xr:uid="{00000000-0005-0000-0000-000033000000}"/>
    <cellStyle name="常规 4" xfId="6" xr:uid="{00000000-0005-0000-0000-000033000000}"/>
    <cellStyle name="常规 5" xfId="8" xr:uid="{00000000-0005-0000-0000-000036000000}"/>
    <cellStyle name="常规 6" xfId="4" xr:uid="{00000000-0005-0000-0000-00000D000000}"/>
    <cellStyle name="常规 7" xfId="12" xr:uid="{00000000-0005-0000-0000-000039000000}"/>
    <cellStyle name="常规 8" xfId="10" xr:uid="{00000000-0005-0000-0000-00003A000000}"/>
    <cellStyle name="千位分隔" xfId="3" builtinId="3"/>
    <cellStyle name="千位分隔 2" xfId="13" xr:uid="{00000000-0005-0000-0000-00003A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A012-4619-4A2C-9909-911932A34662}">
  <dimension ref="A1:BG54"/>
  <sheetViews>
    <sheetView tabSelected="1" zoomScale="90" zoomScaleNormal="90" workbookViewId="0">
      <pane xSplit="5" ySplit="2" topLeftCell="F8" activePane="bottomRight" state="frozen"/>
      <selection pane="topRight" activeCell="E1" sqref="E1"/>
      <selection pane="bottomLeft" activeCell="A3" sqref="A3"/>
      <selection pane="bottomRight" activeCell="AY43" sqref="AY43"/>
    </sheetView>
  </sheetViews>
  <sheetFormatPr defaultColWidth="8.6640625" defaultRowHeight="16.2" x14ac:dyDescent="0.25"/>
  <cols>
    <col min="1" max="1" width="5.21875" style="31" customWidth="1"/>
    <col min="2" max="2" width="7.6640625" style="31" bestFit="1" customWidth="1"/>
    <col min="3" max="3" width="8.77734375" style="31" bestFit="1" customWidth="1"/>
    <col min="4" max="4" width="5.6640625" style="31" bestFit="1" customWidth="1"/>
    <col min="5" max="5" width="23.33203125" style="31" customWidth="1"/>
    <col min="6" max="6" width="12" style="31" bestFit="1" customWidth="1"/>
    <col min="7" max="7" width="10.5546875" style="31" bestFit="1" customWidth="1"/>
    <col min="8" max="8" width="6.44140625" style="31" bestFit="1" customWidth="1"/>
    <col min="9" max="9" width="10.44140625" style="31" bestFit="1" customWidth="1"/>
    <col min="10" max="10" width="9.5546875" style="31" bestFit="1" customWidth="1"/>
    <col min="11" max="11" width="10.44140625" style="31" bestFit="1" customWidth="1"/>
    <col min="12" max="12" width="11" style="31" bestFit="1" customWidth="1"/>
    <col min="13" max="13" width="5.6640625" style="31" bestFit="1" customWidth="1"/>
    <col min="14" max="14" width="5.33203125" style="31" bestFit="1" customWidth="1"/>
    <col min="15" max="15" width="4.44140625" style="31" bestFit="1" customWidth="1"/>
    <col min="16" max="16" width="6" style="31" bestFit="1" customWidth="1"/>
    <col min="17" max="17" width="6.5546875" style="31" bestFit="1" customWidth="1"/>
    <col min="18" max="18" width="11.6640625" style="31" bestFit="1" customWidth="1"/>
    <col min="19" max="19" width="8" style="31" bestFit="1" customWidth="1"/>
    <col min="20" max="20" width="4.44140625" style="31" bestFit="1" customWidth="1"/>
    <col min="21" max="21" width="8.33203125" style="31" customWidth="1"/>
    <col min="22" max="22" width="6.77734375" style="31" bestFit="1" customWidth="1"/>
    <col min="23" max="23" width="13.33203125" style="31" customWidth="1"/>
    <col min="24" max="24" width="10.44140625" style="31" customWidth="1"/>
    <col min="25" max="25" width="9.5546875" style="31" customWidth="1"/>
    <col min="26" max="26" width="14.5546875" style="31" customWidth="1"/>
    <col min="27" max="27" width="10.44140625" style="31" bestFit="1" customWidth="1"/>
    <col min="28" max="28" width="12.88671875" style="31" bestFit="1" customWidth="1"/>
    <col min="29" max="30" width="10.109375" style="31" bestFit="1" customWidth="1"/>
    <col min="31" max="32" width="9.6640625" style="31" bestFit="1" customWidth="1"/>
    <col min="33" max="33" width="16" style="31" bestFit="1" customWidth="1"/>
    <col min="34" max="34" width="11.109375" style="31" bestFit="1" customWidth="1"/>
    <col min="35" max="35" width="9.21875" style="31" bestFit="1" customWidth="1"/>
    <col min="36" max="36" width="10.33203125" style="31" bestFit="1" customWidth="1"/>
    <col min="37" max="37" width="16.21875" style="31" customWidth="1"/>
    <col min="38" max="38" width="10.44140625" style="31" bestFit="1" customWidth="1"/>
    <col min="39" max="39" width="8.88671875" style="31" bestFit="1" customWidth="1"/>
    <col min="40" max="41" width="9.5546875" style="31" customWidth="1"/>
    <col min="42" max="42" width="10" style="31" bestFit="1" customWidth="1"/>
    <col min="43" max="43" width="9.77734375" style="31" bestFit="1" customWidth="1"/>
    <col min="44" max="44" width="6.5546875" style="31" bestFit="1" customWidth="1"/>
    <col min="45" max="45" width="8.88671875" style="31" bestFit="1" customWidth="1"/>
    <col min="46" max="46" width="10.77734375" style="31" bestFit="1" customWidth="1"/>
    <col min="47" max="47" width="16" style="31" bestFit="1" customWidth="1"/>
    <col min="48" max="48" width="16.6640625" style="31" customWidth="1"/>
    <col min="49" max="50" width="14.5546875" style="31" customWidth="1"/>
    <col min="51" max="51" width="15.21875" style="31" customWidth="1"/>
    <col min="52" max="52" width="35.33203125" style="31" customWidth="1"/>
    <col min="53" max="53" width="13.33203125" style="31" customWidth="1"/>
    <col min="54" max="54" width="17" style="31" customWidth="1"/>
    <col min="55" max="55" width="14.6640625" style="31" customWidth="1"/>
    <col min="56" max="56" width="17.6640625" style="31" customWidth="1"/>
    <col min="57" max="57" width="9.109375" style="31" bestFit="1" customWidth="1"/>
    <col min="58" max="16384" width="8.6640625" style="31"/>
  </cols>
  <sheetData>
    <row r="1" spans="1:59" s="10" customFormat="1" ht="26.1" customHeight="1" x14ac:dyDescent="0.3">
      <c r="A1" s="1" t="s">
        <v>94</v>
      </c>
      <c r="B1" s="2" t="s">
        <v>93</v>
      </c>
      <c r="C1" s="50" t="s">
        <v>95</v>
      </c>
      <c r="D1" s="50" t="s">
        <v>92</v>
      </c>
      <c r="E1" s="50" t="s">
        <v>91</v>
      </c>
      <c r="F1" s="1" t="s">
        <v>90</v>
      </c>
      <c r="G1" s="1" t="s">
        <v>89</v>
      </c>
      <c r="H1" s="1" t="s">
        <v>88</v>
      </c>
      <c r="I1" s="1" t="s">
        <v>87</v>
      </c>
      <c r="J1" s="3" t="s">
        <v>86</v>
      </c>
      <c r="K1" s="1" t="s">
        <v>85</v>
      </c>
      <c r="L1" s="1" t="s">
        <v>84</v>
      </c>
      <c r="M1" s="58" t="s">
        <v>83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60"/>
      <c r="Z1" s="4" t="s">
        <v>82</v>
      </c>
      <c r="AA1" s="3" t="s">
        <v>81</v>
      </c>
      <c r="AB1" s="3" t="s">
        <v>80</v>
      </c>
      <c r="AC1" s="3" t="s">
        <v>79</v>
      </c>
      <c r="AD1" s="3" t="s">
        <v>78</v>
      </c>
      <c r="AE1" s="3" t="s">
        <v>77</v>
      </c>
      <c r="AF1" s="3" t="s">
        <v>76</v>
      </c>
      <c r="AG1" s="4" t="s">
        <v>75</v>
      </c>
      <c r="AH1" s="3" t="s">
        <v>74</v>
      </c>
      <c r="AI1" s="3" t="s">
        <v>73</v>
      </c>
      <c r="AJ1" s="3" t="s">
        <v>72</v>
      </c>
      <c r="AK1" s="4" t="s">
        <v>71</v>
      </c>
      <c r="AL1" s="3" t="s">
        <v>70</v>
      </c>
      <c r="AM1" s="3" t="s">
        <v>69</v>
      </c>
      <c r="AN1" s="3" t="s">
        <v>68</v>
      </c>
      <c r="AO1" s="3" t="s">
        <v>67</v>
      </c>
      <c r="AP1" s="3" t="s">
        <v>66</v>
      </c>
      <c r="AQ1" s="3" t="s">
        <v>65</v>
      </c>
      <c r="AR1" s="3" t="s">
        <v>64</v>
      </c>
      <c r="AS1" s="3" t="s">
        <v>63</v>
      </c>
      <c r="AT1" s="3" t="s">
        <v>62</v>
      </c>
      <c r="AU1" s="4" t="s">
        <v>61</v>
      </c>
      <c r="AV1" s="4" t="s">
        <v>60</v>
      </c>
      <c r="AW1" s="5" t="s">
        <v>59</v>
      </c>
      <c r="AX1" s="5" t="s">
        <v>220</v>
      </c>
      <c r="AY1" s="6" t="s">
        <v>138</v>
      </c>
      <c r="AZ1" s="7" t="s">
        <v>58</v>
      </c>
      <c r="BA1" s="5" t="s">
        <v>57</v>
      </c>
      <c r="BB1" s="8" t="s">
        <v>96</v>
      </c>
      <c r="BC1" s="5" t="s">
        <v>56</v>
      </c>
      <c r="BD1" s="5" t="s">
        <v>55</v>
      </c>
      <c r="BE1" s="9"/>
    </row>
    <row r="2" spans="1:59" s="9" customFormat="1" ht="40.799999999999997" x14ac:dyDescent="0.25">
      <c r="A2" s="11" t="s">
        <v>54</v>
      </c>
      <c r="B2" s="12" t="s">
        <v>53</v>
      </c>
      <c r="C2" s="11" t="s">
        <v>97</v>
      </c>
      <c r="D2" s="11" t="s">
        <v>52</v>
      </c>
      <c r="E2" s="11" t="s">
        <v>51</v>
      </c>
      <c r="F2" s="11" t="s">
        <v>50</v>
      </c>
      <c r="G2" s="11" t="s">
        <v>49</v>
      </c>
      <c r="H2" s="11" t="s">
        <v>48</v>
      </c>
      <c r="I2" s="11" t="s">
        <v>47</v>
      </c>
      <c r="J2" s="13" t="s">
        <v>46</v>
      </c>
      <c r="K2" s="11" t="s">
        <v>45</v>
      </c>
      <c r="L2" s="11" t="s">
        <v>44</v>
      </c>
      <c r="M2" s="11" t="s">
        <v>43</v>
      </c>
      <c r="N2" s="11" t="s">
        <v>42</v>
      </c>
      <c r="O2" s="11" t="s">
        <v>41</v>
      </c>
      <c r="P2" s="11" t="s">
        <v>139</v>
      </c>
      <c r="Q2" s="11" t="s">
        <v>40</v>
      </c>
      <c r="R2" s="11" t="s">
        <v>103</v>
      </c>
      <c r="S2" s="11" t="s">
        <v>39</v>
      </c>
      <c r="T2" s="11" t="s">
        <v>38</v>
      </c>
      <c r="U2" s="11" t="s">
        <v>117</v>
      </c>
      <c r="V2" s="11" t="s">
        <v>37</v>
      </c>
      <c r="W2" s="11" t="s">
        <v>104</v>
      </c>
      <c r="X2" s="11" t="s">
        <v>36</v>
      </c>
      <c r="Y2" s="11" t="s">
        <v>35</v>
      </c>
      <c r="Z2" s="14" t="s">
        <v>34</v>
      </c>
      <c r="AA2" s="13" t="s">
        <v>24</v>
      </c>
      <c r="AB2" s="13" t="s">
        <v>33</v>
      </c>
      <c r="AC2" s="13" t="s">
        <v>32</v>
      </c>
      <c r="AD2" s="13" t="s">
        <v>31</v>
      </c>
      <c r="AE2" s="13" t="s">
        <v>23</v>
      </c>
      <c r="AF2" s="13" t="s">
        <v>30</v>
      </c>
      <c r="AG2" s="14" t="s">
        <v>29</v>
      </c>
      <c r="AH2" s="13" t="s">
        <v>28</v>
      </c>
      <c r="AI2" s="13" t="s">
        <v>27</v>
      </c>
      <c r="AJ2" s="13" t="s">
        <v>26</v>
      </c>
      <c r="AK2" s="14" t="s">
        <v>25</v>
      </c>
      <c r="AL2" s="13" t="s">
        <v>24</v>
      </c>
      <c r="AM2" s="13" t="s">
        <v>23</v>
      </c>
      <c r="AN2" s="13" t="s">
        <v>22</v>
      </c>
      <c r="AO2" s="13" t="s">
        <v>21</v>
      </c>
      <c r="AP2" s="13" t="s">
        <v>20</v>
      </c>
      <c r="AQ2" s="13" t="s">
        <v>19</v>
      </c>
      <c r="AR2" s="13" t="s">
        <v>18</v>
      </c>
      <c r="AS2" s="13" t="s">
        <v>17</v>
      </c>
      <c r="AT2" s="13" t="s">
        <v>16</v>
      </c>
      <c r="AU2" s="14" t="s">
        <v>15</v>
      </c>
      <c r="AV2" s="14" t="s">
        <v>14</v>
      </c>
      <c r="AW2" s="14" t="s">
        <v>13</v>
      </c>
      <c r="AX2" s="14"/>
      <c r="AY2" s="6"/>
      <c r="AZ2" s="15" t="s">
        <v>12</v>
      </c>
      <c r="BA2" s="5" t="s">
        <v>11</v>
      </c>
      <c r="BB2" s="8" t="s">
        <v>98</v>
      </c>
      <c r="BC2" s="5" t="s">
        <v>10</v>
      </c>
      <c r="BD2" s="5" t="s">
        <v>9</v>
      </c>
    </row>
    <row r="3" spans="1:59" s="30" customFormat="1" ht="15" customHeight="1" x14ac:dyDescent="0.25">
      <c r="A3" s="16">
        <f>ROW()-2</f>
        <v>1</v>
      </c>
      <c r="B3" s="17">
        <v>2412</v>
      </c>
      <c r="C3" s="17" t="s">
        <v>188</v>
      </c>
      <c r="D3" s="51" t="s">
        <v>137</v>
      </c>
      <c r="E3" s="18" t="s">
        <v>8</v>
      </c>
      <c r="F3" s="19">
        <v>45444</v>
      </c>
      <c r="G3" s="19">
        <v>45808</v>
      </c>
      <c r="H3" s="16"/>
      <c r="I3" s="20" t="s">
        <v>0</v>
      </c>
      <c r="J3" s="21">
        <v>1400</v>
      </c>
      <c r="K3" s="21">
        <v>8591</v>
      </c>
      <c r="L3" s="21">
        <v>2627.9</v>
      </c>
      <c r="M3" s="21"/>
      <c r="N3" s="21"/>
      <c r="O3" s="21"/>
      <c r="P3" s="21"/>
      <c r="Q3" s="21">
        <v>630</v>
      </c>
      <c r="R3" s="21"/>
      <c r="S3" s="21"/>
      <c r="T3" s="21"/>
      <c r="U3" s="21"/>
      <c r="V3" s="21"/>
      <c r="W3" s="21">
        <v>150</v>
      </c>
      <c r="X3" s="21"/>
      <c r="Y3" s="21">
        <v>0</v>
      </c>
      <c r="Z3" s="22">
        <f t="shared" ref="Z3:Z13" si="0">SUM(J3:Y3)</f>
        <v>13398.9</v>
      </c>
      <c r="AA3" s="23">
        <v>13804</v>
      </c>
      <c r="AB3" s="24">
        <v>1104.32</v>
      </c>
      <c r="AC3" s="24">
        <v>276.08</v>
      </c>
      <c r="AD3" s="24">
        <v>69.02</v>
      </c>
      <c r="AE3" s="23">
        <v>13804</v>
      </c>
      <c r="AF3" s="23">
        <v>966</v>
      </c>
      <c r="AG3" s="22">
        <f t="shared" ref="AG3:AG13" si="1">AB3+AC3+AD3+AF3</f>
        <v>2415.42</v>
      </c>
      <c r="AH3" s="25"/>
      <c r="AI3" s="25"/>
      <c r="AJ3" s="25"/>
      <c r="AK3" s="22">
        <f t="shared" ref="AK3:AK38" si="2">Z3-AG3-AH3</f>
        <v>10983.48</v>
      </c>
      <c r="AL3" s="23">
        <v>13804</v>
      </c>
      <c r="AM3" s="23">
        <v>13804</v>
      </c>
      <c r="AN3" s="23">
        <f t="shared" ref="AN3:AN13" si="3">ROUND(AL3*16%,2)</f>
        <v>2208.64</v>
      </c>
      <c r="AO3" s="23">
        <f>ROUND(AL3*9%,2)</f>
        <v>1242.3599999999999</v>
      </c>
      <c r="AP3" s="23">
        <f t="shared" ref="AP3:AP13" si="4">ROUND(AL3*0.5%,2)</f>
        <v>69.02</v>
      </c>
      <c r="AQ3" s="23">
        <f t="shared" ref="AQ3:AQ13" si="5">ROUND(AL3*0.256%,2)</f>
        <v>35.340000000000003</v>
      </c>
      <c r="AR3" s="23"/>
      <c r="AS3" s="23">
        <f t="shared" ref="AS3:AS13" si="6">ROUND(AM3*7%,0)</f>
        <v>966</v>
      </c>
      <c r="AT3" s="23">
        <f t="shared" ref="AT3:AT13" si="7">ROUND(IF(AL3&lt;24366,AL3*1.5%,24366*1.5%),2)</f>
        <v>207.06</v>
      </c>
      <c r="AU3" s="22">
        <f t="shared" ref="AU3:AU13" si="8">SUM(AN3:AT3)</f>
        <v>4728.420000000001</v>
      </c>
      <c r="AV3" s="22">
        <v>252</v>
      </c>
      <c r="AW3" s="22">
        <f t="shared" ref="AW3:AW38" si="9">AU3+Z3+AI3-AJ3+AV3</f>
        <v>18379.32</v>
      </c>
      <c r="AX3" s="22"/>
      <c r="AY3" s="26"/>
      <c r="AZ3" s="27"/>
      <c r="BA3" s="22">
        <v>255</v>
      </c>
      <c r="BB3" s="28">
        <f t="shared" ref="BB3:BB13" si="10">ROUND(AW3+BA3+AY3,2)</f>
        <v>18634.32</v>
      </c>
      <c r="BC3" s="22">
        <f t="shared" ref="BC3:BC13" si="11">ROUND(BB3*6%,2)</f>
        <v>1118.06</v>
      </c>
      <c r="BD3" s="22">
        <f t="shared" ref="BD3:BD13" si="12">ROUND(SUM(BB3:BC3),2)</f>
        <v>19752.38</v>
      </c>
      <c r="BE3" s="29" t="s">
        <v>102</v>
      </c>
      <c r="BG3" s="29"/>
    </row>
    <row r="4" spans="1:59" s="30" customFormat="1" ht="15" customHeight="1" x14ac:dyDescent="0.25">
      <c r="A4" s="16">
        <f t="shared" ref="A4:A38" si="13">ROW()-2</f>
        <v>2</v>
      </c>
      <c r="B4" s="17">
        <v>2412</v>
      </c>
      <c r="C4" s="17" t="s">
        <v>189</v>
      </c>
      <c r="D4" s="51" t="s">
        <v>124</v>
      </c>
      <c r="E4" s="18" t="s">
        <v>5</v>
      </c>
      <c r="F4" s="19">
        <v>45444</v>
      </c>
      <c r="G4" s="19">
        <v>45808</v>
      </c>
      <c r="H4" s="16"/>
      <c r="I4" s="20" t="s">
        <v>0</v>
      </c>
      <c r="J4" s="21">
        <v>1030</v>
      </c>
      <c r="K4" s="21">
        <v>6763</v>
      </c>
      <c r="L4" s="21">
        <v>1577.1</v>
      </c>
      <c r="M4" s="21"/>
      <c r="N4" s="21"/>
      <c r="O4" s="21"/>
      <c r="P4" s="21"/>
      <c r="Q4" s="21">
        <v>630</v>
      </c>
      <c r="R4" s="21"/>
      <c r="S4" s="21"/>
      <c r="T4" s="21"/>
      <c r="U4" s="21"/>
      <c r="V4" s="21"/>
      <c r="W4" s="21">
        <v>150</v>
      </c>
      <c r="X4" s="21"/>
      <c r="Y4" s="21">
        <v>0</v>
      </c>
      <c r="Z4" s="22">
        <f t="shared" si="0"/>
        <v>10150.1</v>
      </c>
      <c r="AA4" s="23">
        <v>10363</v>
      </c>
      <c r="AB4" s="24">
        <v>829.04</v>
      </c>
      <c r="AC4" s="24">
        <v>207.26</v>
      </c>
      <c r="AD4" s="24">
        <v>51.82</v>
      </c>
      <c r="AE4" s="23">
        <v>10363</v>
      </c>
      <c r="AF4" s="23">
        <v>725</v>
      </c>
      <c r="AG4" s="22">
        <f t="shared" si="1"/>
        <v>1813.12</v>
      </c>
      <c r="AH4" s="25"/>
      <c r="AI4" s="25"/>
      <c r="AJ4" s="25"/>
      <c r="AK4" s="22">
        <f t="shared" si="2"/>
        <v>8336.98</v>
      </c>
      <c r="AL4" s="23">
        <v>10363</v>
      </c>
      <c r="AM4" s="23">
        <v>10363</v>
      </c>
      <c r="AN4" s="23">
        <f t="shared" si="3"/>
        <v>1658.08</v>
      </c>
      <c r="AO4" s="23">
        <v>932.68</v>
      </c>
      <c r="AP4" s="23">
        <f t="shared" si="4"/>
        <v>51.82</v>
      </c>
      <c r="AQ4" s="23">
        <f t="shared" si="5"/>
        <v>26.53</v>
      </c>
      <c r="AR4" s="23"/>
      <c r="AS4" s="23">
        <f t="shared" si="6"/>
        <v>725</v>
      </c>
      <c r="AT4" s="23">
        <f t="shared" si="7"/>
        <v>155.44999999999999</v>
      </c>
      <c r="AU4" s="22">
        <f t="shared" si="8"/>
        <v>3549.56</v>
      </c>
      <c r="AV4" s="22">
        <v>187</v>
      </c>
      <c r="AW4" s="22">
        <f t="shared" si="9"/>
        <v>13886.66</v>
      </c>
      <c r="AX4" s="22"/>
      <c r="AY4" s="26"/>
      <c r="AZ4" s="27"/>
      <c r="BA4" s="22">
        <v>255</v>
      </c>
      <c r="BB4" s="28">
        <f t="shared" si="10"/>
        <v>14141.66</v>
      </c>
      <c r="BC4" s="22">
        <f t="shared" si="11"/>
        <v>848.5</v>
      </c>
      <c r="BD4" s="22">
        <f t="shared" si="12"/>
        <v>14990.16</v>
      </c>
      <c r="BE4" s="29" t="s">
        <v>102</v>
      </c>
      <c r="BG4" s="29"/>
    </row>
    <row r="5" spans="1:59" s="30" customFormat="1" ht="15" customHeight="1" x14ac:dyDescent="0.25">
      <c r="A5" s="16">
        <f t="shared" si="13"/>
        <v>3</v>
      </c>
      <c r="B5" s="17">
        <v>2412</v>
      </c>
      <c r="C5" s="17" t="s">
        <v>190</v>
      </c>
      <c r="D5" s="51" t="s">
        <v>127</v>
      </c>
      <c r="E5" s="18" t="s">
        <v>6</v>
      </c>
      <c r="F5" s="19">
        <v>45444</v>
      </c>
      <c r="G5" s="19">
        <v>45808</v>
      </c>
      <c r="H5" s="16"/>
      <c r="I5" s="20" t="s">
        <v>0</v>
      </c>
      <c r="J5" s="21">
        <v>1200</v>
      </c>
      <c r="K5" s="21">
        <v>5803</v>
      </c>
      <c r="L5" s="21">
        <v>1771.4</v>
      </c>
      <c r="M5" s="21"/>
      <c r="N5" s="21"/>
      <c r="O5" s="21"/>
      <c r="P5" s="21"/>
      <c r="Q5" s="21">
        <v>630</v>
      </c>
      <c r="R5" s="21"/>
      <c r="S5" s="21"/>
      <c r="T5" s="21"/>
      <c r="U5" s="21"/>
      <c r="V5" s="21"/>
      <c r="W5" s="21">
        <v>150</v>
      </c>
      <c r="X5" s="21"/>
      <c r="Y5" s="21">
        <v>0</v>
      </c>
      <c r="Z5" s="22">
        <f t="shared" si="0"/>
        <v>9554.4</v>
      </c>
      <c r="AA5" s="23">
        <v>11829</v>
      </c>
      <c r="AB5" s="24">
        <v>946.32</v>
      </c>
      <c r="AC5" s="24">
        <v>236.58</v>
      </c>
      <c r="AD5" s="24">
        <v>59.15</v>
      </c>
      <c r="AE5" s="23">
        <v>11829</v>
      </c>
      <c r="AF5" s="23">
        <v>828</v>
      </c>
      <c r="AG5" s="22">
        <f t="shared" si="1"/>
        <v>2070.0500000000002</v>
      </c>
      <c r="AH5" s="25"/>
      <c r="AI5" s="25"/>
      <c r="AJ5" s="25"/>
      <c r="AK5" s="22">
        <f t="shared" si="2"/>
        <v>7484.3499999999995</v>
      </c>
      <c r="AL5" s="23">
        <v>11829</v>
      </c>
      <c r="AM5" s="23">
        <v>11829</v>
      </c>
      <c r="AN5" s="23">
        <f t="shared" si="3"/>
        <v>1892.64</v>
      </c>
      <c r="AO5" s="23">
        <v>1064.6199999999999</v>
      </c>
      <c r="AP5" s="23">
        <f t="shared" si="4"/>
        <v>59.15</v>
      </c>
      <c r="AQ5" s="23">
        <f t="shared" si="5"/>
        <v>30.28</v>
      </c>
      <c r="AR5" s="23"/>
      <c r="AS5" s="23">
        <f t="shared" si="6"/>
        <v>828</v>
      </c>
      <c r="AT5" s="23">
        <f t="shared" si="7"/>
        <v>177.44</v>
      </c>
      <c r="AU5" s="22">
        <f t="shared" si="8"/>
        <v>4052.1300000000006</v>
      </c>
      <c r="AV5" s="22">
        <v>175</v>
      </c>
      <c r="AW5" s="22">
        <f t="shared" si="9"/>
        <v>13781.53</v>
      </c>
      <c r="AX5" s="22"/>
      <c r="AY5" s="26"/>
      <c r="AZ5" s="27"/>
      <c r="BA5" s="22">
        <v>255</v>
      </c>
      <c r="BB5" s="28">
        <f t="shared" si="10"/>
        <v>14036.53</v>
      </c>
      <c r="BC5" s="22">
        <f t="shared" si="11"/>
        <v>842.19</v>
      </c>
      <c r="BD5" s="22">
        <f t="shared" si="12"/>
        <v>14878.72</v>
      </c>
      <c r="BE5" s="29" t="s">
        <v>102</v>
      </c>
      <c r="BG5" s="29"/>
    </row>
    <row r="6" spans="1:59" s="30" customFormat="1" ht="15" customHeight="1" x14ac:dyDescent="0.25">
      <c r="A6" s="16">
        <f t="shared" si="13"/>
        <v>4</v>
      </c>
      <c r="B6" s="17">
        <v>2412</v>
      </c>
      <c r="C6" s="17" t="s">
        <v>191</v>
      </c>
      <c r="D6" s="51" t="s">
        <v>121</v>
      </c>
      <c r="E6" s="18" t="s">
        <v>1</v>
      </c>
      <c r="F6" s="19">
        <v>45444</v>
      </c>
      <c r="G6" s="19">
        <v>45808</v>
      </c>
      <c r="H6" s="16"/>
      <c r="I6" s="20" t="s">
        <v>0</v>
      </c>
      <c r="J6" s="21">
        <v>1030</v>
      </c>
      <c r="K6" s="21">
        <v>6443</v>
      </c>
      <c r="L6" s="21">
        <v>1680</v>
      </c>
      <c r="M6" s="21"/>
      <c r="N6" s="21"/>
      <c r="O6" s="21"/>
      <c r="P6" s="21"/>
      <c r="Q6" s="21">
        <v>630</v>
      </c>
      <c r="R6" s="21"/>
      <c r="S6" s="21"/>
      <c r="T6" s="21"/>
      <c r="U6" s="21"/>
      <c r="V6" s="21"/>
      <c r="W6" s="21">
        <v>150</v>
      </c>
      <c r="X6" s="21"/>
      <c r="Y6" s="21">
        <v>0</v>
      </c>
      <c r="Z6" s="22">
        <f t="shared" si="0"/>
        <v>9933</v>
      </c>
      <c r="AA6" s="23">
        <v>11367</v>
      </c>
      <c r="AB6" s="24">
        <v>909.36</v>
      </c>
      <c r="AC6" s="24">
        <v>227.34</v>
      </c>
      <c r="AD6" s="24">
        <v>56.84</v>
      </c>
      <c r="AE6" s="23">
        <v>11367</v>
      </c>
      <c r="AF6" s="23">
        <v>796</v>
      </c>
      <c r="AG6" s="22">
        <f t="shared" si="1"/>
        <v>1989.54</v>
      </c>
      <c r="AH6" s="25"/>
      <c r="AI6" s="25"/>
      <c r="AJ6" s="25"/>
      <c r="AK6" s="22">
        <f t="shared" si="2"/>
        <v>7943.46</v>
      </c>
      <c r="AL6" s="23">
        <v>11367</v>
      </c>
      <c r="AM6" s="23">
        <v>11367</v>
      </c>
      <c r="AN6" s="23">
        <f t="shared" si="3"/>
        <v>1818.72</v>
      </c>
      <c r="AO6" s="23">
        <v>1023.04</v>
      </c>
      <c r="AP6" s="23">
        <f t="shared" si="4"/>
        <v>56.84</v>
      </c>
      <c r="AQ6" s="23">
        <f t="shared" si="5"/>
        <v>29.1</v>
      </c>
      <c r="AR6" s="23"/>
      <c r="AS6" s="23">
        <f t="shared" si="6"/>
        <v>796</v>
      </c>
      <c r="AT6" s="23">
        <f t="shared" si="7"/>
        <v>170.51</v>
      </c>
      <c r="AU6" s="22">
        <f t="shared" si="8"/>
        <v>3894.21</v>
      </c>
      <c r="AV6" s="22">
        <v>183</v>
      </c>
      <c r="AW6" s="22">
        <f t="shared" si="9"/>
        <v>14010.21</v>
      </c>
      <c r="AX6" s="22"/>
      <c r="AY6" s="26"/>
      <c r="AZ6" s="27"/>
      <c r="BA6" s="22">
        <v>255</v>
      </c>
      <c r="BB6" s="28">
        <f t="shared" si="10"/>
        <v>14265.21</v>
      </c>
      <c r="BC6" s="22">
        <f t="shared" si="11"/>
        <v>855.91</v>
      </c>
      <c r="BD6" s="22">
        <f t="shared" si="12"/>
        <v>15121.12</v>
      </c>
      <c r="BE6" s="29" t="s">
        <v>102</v>
      </c>
      <c r="BG6" s="29"/>
    </row>
    <row r="7" spans="1:59" s="30" customFormat="1" ht="15" customHeight="1" x14ac:dyDescent="0.25">
      <c r="A7" s="16">
        <f t="shared" si="13"/>
        <v>5</v>
      </c>
      <c r="B7" s="17">
        <v>2412</v>
      </c>
      <c r="C7" s="17" t="s">
        <v>192</v>
      </c>
      <c r="D7" s="51" t="s">
        <v>133</v>
      </c>
      <c r="E7" s="18" t="s">
        <v>7</v>
      </c>
      <c r="F7" s="19">
        <v>45444</v>
      </c>
      <c r="G7" s="19">
        <v>45808</v>
      </c>
      <c r="H7" s="16"/>
      <c r="I7" s="20" t="s">
        <v>0</v>
      </c>
      <c r="J7" s="21">
        <v>950</v>
      </c>
      <c r="K7" s="21">
        <v>6818</v>
      </c>
      <c r="L7" s="21">
        <v>1613.7</v>
      </c>
      <c r="M7" s="21"/>
      <c r="N7" s="21"/>
      <c r="O7" s="21"/>
      <c r="P7" s="21"/>
      <c r="Q7" s="21">
        <v>630</v>
      </c>
      <c r="R7" s="21"/>
      <c r="S7" s="21"/>
      <c r="T7" s="21"/>
      <c r="U7" s="21"/>
      <c r="V7" s="21"/>
      <c r="W7" s="21">
        <v>150</v>
      </c>
      <c r="X7" s="21"/>
      <c r="Y7" s="21">
        <v>0</v>
      </c>
      <c r="Z7" s="22">
        <f t="shared" si="0"/>
        <v>10161.700000000001</v>
      </c>
      <c r="AA7" s="23">
        <v>11730</v>
      </c>
      <c r="AB7" s="24">
        <v>938.4</v>
      </c>
      <c r="AC7" s="24">
        <v>234.6</v>
      </c>
      <c r="AD7" s="24">
        <v>58.65</v>
      </c>
      <c r="AE7" s="23">
        <v>11730</v>
      </c>
      <c r="AF7" s="23">
        <v>821</v>
      </c>
      <c r="AG7" s="22">
        <f t="shared" si="1"/>
        <v>2052.65</v>
      </c>
      <c r="AH7" s="25"/>
      <c r="AI7" s="25"/>
      <c r="AJ7" s="25"/>
      <c r="AK7" s="22">
        <f t="shared" si="2"/>
        <v>8109.0500000000011</v>
      </c>
      <c r="AL7" s="23">
        <v>11730</v>
      </c>
      <c r="AM7" s="23">
        <v>11730</v>
      </c>
      <c r="AN7" s="23">
        <f t="shared" si="3"/>
        <v>1876.8</v>
      </c>
      <c r="AO7" s="23">
        <f t="shared" ref="AO7:AO12" si="14">ROUND(AL7*9%,2)</f>
        <v>1055.7</v>
      </c>
      <c r="AP7" s="23">
        <f t="shared" si="4"/>
        <v>58.65</v>
      </c>
      <c r="AQ7" s="23">
        <f t="shared" si="5"/>
        <v>30.03</v>
      </c>
      <c r="AR7" s="23"/>
      <c r="AS7" s="23">
        <f t="shared" si="6"/>
        <v>821</v>
      </c>
      <c r="AT7" s="23">
        <f t="shared" si="7"/>
        <v>175.95</v>
      </c>
      <c r="AU7" s="22">
        <f t="shared" si="8"/>
        <v>4018.13</v>
      </c>
      <c r="AV7" s="22">
        <v>188</v>
      </c>
      <c r="AW7" s="22">
        <f t="shared" si="9"/>
        <v>14367.830000000002</v>
      </c>
      <c r="AX7" s="22"/>
      <c r="AY7" s="26"/>
      <c r="AZ7" s="27"/>
      <c r="BA7" s="22">
        <v>255</v>
      </c>
      <c r="BB7" s="28">
        <f t="shared" si="10"/>
        <v>14622.83</v>
      </c>
      <c r="BC7" s="22">
        <f t="shared" si="11"/>
        <v>877.37</v>
      </c>
      <c r="BD7" s="22">
        <f t="shared" si="12"/>
        <v>15500.2</v>
      </c>
      <c r="BE7" s="29" t="s">
        <v>102</v>
      </c>
      <c r="BG7" s="29"/>
    </row>
    <row r="8" spans="1:59" s="30" customFormat="1" ht="15" customHeight="1" x14ac:dyDescent="0.25">
      <c r="A8" s="16">
        <f t="shared" si="13"/>
        <v>6</v>
      </c>
      <c r="B8" s="17">
        <v>2412</v>
      </c>
      <c r="C8" s="17" t="s">
        <v>193</v>
      </c>
      <c r="D8" s="51" t="s">
        <v>122</v>
      </c>
      <c r="E8" s="18" t="s">
        <v>3</v>
      </c>
      <c r="F8" s="19">
        <v>45444</v>
      </c>
      <c r="G8" s="19">
        <v>45808</v>
      </c>
      <c r="H8" s="16"/>
      <c r="I8" s="20" t="s">
        <v>0</v>
      </c>
      <c r="J8" s="21">
        <v>860</v>
      </c>
      <c r="K8" s="21">
        <v>7963</v>
      </c>
      <c r="L8" s="21">
        <v>2697</v>
      </c>
      <c r="M8" s="21"/>
      <c r="N8" s="21"/>
      <c r="O8" s="21"/>
      <c r="P8" s="21"/>
      <c r="Q8" s="21">
        <v>630</v>
      </c>
      <c r="R8" s="21"/>
      <c r="S8" s="21"/>
      <c r="T8" s="21"/>
      <c r="U8" s="21"/>
      <c r="V8" s="21"/>
      <c r="W8" s="21">
        <v>150</v>
      </c>
      <c r="X8" s="21"/>
      <c r="Y8" s="21">
        <v>0</v>
      </c>
      <c r="Z8" s="22">
        <f t="shared" si="0"/>
        <v>12300</v>
      </c>
      <c r="AA8" s="23">
        <v>7963</v>
      </c>
      <c r="AB8" s="24">
        <v>637.04</v>
      </c>
      <c r="AC8" s="24">
        <v>159.26</v>
      </c>
      <c r="AD8" s="24">
        <v>39.82</v>
      </c>
      <c r="AE8" s="23">
        <v>7963</v>
      </c>
      <c r="AF8" s="23">
        <v>557</v>
      </c>
      <c r="AG8" s="22">
        <f t="shared" si="1"/>
        <v>1393.12</v>
      </c>
      <c r="AH8" s="25"/>
      <c r="AI8" s="25"/>
      <c r="AJ8" s="25"/>
      <c r="AK8" s="22">
        <f t="shared" si="2"/>
        <v>10906.880000000001</v>
      </c>
      <c r="AL8" s="23">
        <v>7963</v>
      </c>
      <c r="AM8" s="23">
        <v>7963</v>
      </c>
      <c r="AN8" s="23">
        <f t="shared" si="3"/>
        <v>1274.08</v>
      </c>
      <c r="AO8" s="23">
        <v>716.68</v>
      </c>
      <c r="AP8" s="23">
        <f t="shared" si="4"/>
        <v>39.82</v>
      </c>
      <c r="AQ8" s="23">
        <f t="shared" si="5"/>
        <v>20.39</v>
      </c>
      <c r="AR8" s="23"/>
      <c r="AS8" s="23">
        <f t="shared" si="6"/>
        <v>557</v>
      </c>
      <c r="AT8" s="23">
        <f t="shared" si="7"/>
        <v>119.45</v>
      </c>
      <c r="AU8" s="22">
        <f t="shared" si="8"/>
        <v>2727.4199999999996</v>
      </c>
      <c r="AV8" s="22">
        <v>230</v>
      </c>
      <c r="AW8" s="22">
        <f t="shared" si="9"/>
        <v>15257.42</v>
      </c>
      <c r="AX8" s="22"/>
      <c r="AY8" s="26"/>
      <c r="AZ8" s="27"/>
      <c r="BA8" s="22">
        <v>255</v>
      </c>
      <c r="BB8" s="28">
        <f t="shared" si="10"/>
        <v>15512.42</v>
      </c>
      <c r="BC8" s="22">
        <f t="shared" si="11"/>
        <v>930.75</v>
      </c>
      <c r="BD8" s="22">
        <f t="shared" si="12"/>
        <v>16443.169999999998</v>
      </c>
      <c r="BE8" s="29" t="s">
        <v>102</v>
      </c>
      <c r="BG8" s="29"/>
    </row>
    <row r="9" spans="1:59" s="30" customFormat="1" ht="15" customHeight="1" x14ac:dyDescent="0.25">
      <c r="A9" s="16">
        <f t="shared" si="13"/>
        <v>7</v>
      </c>
      <c r="B9" s="17">
        <v>2412</v>
      </c>
      <c r="C9" s="17" t="s">
        <v>194</v>
      </c>
      <c r="D9" s="51" t="s">
        <v>128</v>
      </c>
      <c r="E9" s="18" t="s">
        <v>2</v>
      </c>
      <c r="F9" s="19">
        <v>45444</v>
      </c>
      <c r="G9" s="19">
        <v>45808</v>
      </c>
      <c r="H9" s="16"/>
      <c r="I9" s="20" t="s">
        <v>0</v>
      </c>
      <c r="J9" s="21">
        <v>800</v>
      </c>
      <c r="K9" s="21">
        <v>5643</v>
      </c>
      <c r="L9" s="21">
        <v>1363.5</v>
      </c>
      <c r="M9" s="21"/>
      <c r="N9" s="21"/>
      <c r="O9" s="21"/>
      <c r="P9" s="21"/>
      <c r="Q9" s="21">
        <v>630</v>
      </c>
      <c r="R9" s="21"/>
      <c r="S9" s="21"/>
      <c r="T9" s="21"/>
      <c r="U9" s="21"/>
      <c r="V9" s="21"/>
      <c r="W9" s="21">
        <v>150</v>
      </c>
      <c r="X9" s="21"/>
      <c r="Y9" s="21">
        <v>0</v>
      </c>
      <c r="Z9" s="22">
        <f t="shared" si="0"/>
        <v>8586.5</v>
      </c>
      <c r="AA9" s="23">
        <v>11386</v>
      </c>
      <c r="AB9" s="24">
        <v>910.88</v>
      </c>
      <c r="AC9" s="24">
        <v>227.72</v>
      </c>
      <c r="AD9" s="24">
        <v>56.93</v>
      </c>
      <c r="AE9" s="23">
        <v>11386</v>
      </c>
      <c r="AF9" s="23">
        <v>797</v>
      </c>
      <c r="AG9" s="22">
        <f t="shared" si="1"/>
        <v>1992.53</v>
      </c>
      <c r="AH9" s="25"/>
      <c r="AI9" s="25"/>
      <c r="AJ9" s="25"/>
      <c r="AK9" s="22">
        <f t="shared" si="2"/>
        <v>6593.97</v>
      </c>
      <c r="AL9" s="23">
        <v>11386</v>
      </c>
      <c r="AM9" s="23">
        <v>11386</v>
      </c>
      <c r="AN9" s="23">
        <f t="shared" si="3"/>
        <v>1821.76</v>
      </c>
      <c r="AO9" s="23">
        <f t="shared" si="14"/>
        <v>1024.74</v>
      </c>
      <c r="AP9" s="23">
        <f t="shared" si="4"/>
        <v>56.93</v>
      </c>
      <c r="AQ9" s="23">
        <f t="shared" si="5"/>
        <v>29.15</v>
      </c>
      <c r="AR9" s="23"/>
      <c r="AS9" s="23">
        <f t="shared" si="6"/>
        <v>797</v>
      </c>
      <c r="AT9" s="23">
        <f t="shared" si="7"/>
        <v>170.79</v>
      </c>
      <c r="AU9" s="22">
        <f t="shared" si="8"/>
        <v>3900.37</v>
      </c>
      <c r="AV9" s="22">
        <v>156</v>
      </c>
      <c r="AW9" s="22">
        <f t="shared" si="9"/>
        <v>12642.869999999999</v>
      </c>
      <c r="AX9" s="22"/>
      <c r="AY9" s="26"/>
      <c r="AZ9" s="27"/>
      <c r="BA9" s="22">
        <v>255</v>
      </c>
      <c r="BB9" s="28">
        <f t="shared" si="10"/>
        <v>12897.87</v>
      </c>
      <c r="BC9" s="22">
        <f t="shared" si="11"/>
        <v>773.87</v>
      </c>
      <c r="BD9" s="22">
        <f t="shared" si="12"/>
        <v>13671.74</v>
      </c>
      <c r="BE9" s="29" t="s">
        <v>102</v>
      </c>
      <c r="BG9" s="29"/>
    </row>
    <row r="10" spans="1:59" s="30" customFormat="1" ht="15" customHeight="1" x14ac:dyDescent="0.25">
      <c r="A10" s="16">
        <f t="shared" si="13"/>
        <v>8</v>
      </c>
      <c r="B10" s="17">
        <v>2412</v>
      </c>
      <c r="C10" s="17" t="s">
        <v>195</v>
      </c>
      <c r="D10" s="51" t="s">
        <v>148</v>
      </c>
      <c r="E10" s="18" t="s">
        <v>99</v>
      </c>
      <c r="F10" s="19">
        <v>45444</v>
      </c>
      <c r="G10" s="19">
        <v>45808</v>
      </c>
      <c r="H10" s="16"/>
      <c r="I10" s="20" t="s">
        <v>0</v>
      </c>
      <c r="J10" s="21">
        <v>900</v>
      </c>
      <c r="K10" s="21">
        <v>3540</v>
      </c>
      <c r="L10" s="21">
        <v>1310</v>
      </c>
      <c r="M10" s="21"/>
      <c r="N10" s="21"/>
      <c r="O10" s="21"/>
      <c r="P10" s="21"/>
      <c r="Q10" s="21">
        <v>630</v>
      </c>
      <c r="R10" s="21"/>
      <c r="S10" s="21"/>
      <c r="T10" s="21"/>
      <c r="U10" s="21"/>
      <c r="V10" s="21"/>
      <c r="W10" s="21">
        <v>150</v>
      </c>
      <c r="X10" s="21"/>
      <c r="Y10" s="21">
        <v>-1216</v>
      </c>
      <c r="Z10" s="22">
        <f t="shared" si="0"/>
        <v>5314</v>
      </c>
      <c r="AA10" s="23">
        <v>7546</v>
      </c>
      <c r="AB10" s="24">
        <v>603.67999999999995</v>
      </c>
      <c r="AC10" s="24">
        <v>150.91999999999999</v>
      </c>
      <c r="AD10" s="24">
        <v>37.729999999999997</v>
      </c>
      <c r="AE10" s="23">
        <v>7546</v>
      </c>
      <c r="AF10" s="23">
        <v>528</v>
      </c>
      <c r="AG10" s="22">
        <f t="shared" si="1"/>
        <v>1320.33</v>
      </c>
      <c r="AH10" s="25"/>
      <c r="AI10" s="25"/>
      <c r="AJ10" s="25"/>
      <c r="AK10" s="22">
        <f t="shared" si="2"/>
        <v>3993.67</v>
      </c>
      <c r="AL10" s="23">
        <v>7546</v>
      </c>
      <c r="AM10" s="23">
        <v>7546</v>
      </c>
      <c r="AN10" s="23">
        <f t="shared" si="3"/>
        <v>1207.3599999999999</v>
      </c>
      <c r="AO10" s="23">
        <f t="shared" si="14"/>
        <v>679.14</v>
      </c>
      <c r="AP10" s="23">
        <f t="shared" si="4"/>
        <v>37.729999999999997</v>
      </c>
      <c r="AQ10" s="23">
        <f t="shared" si="5"/>
        <v>19.32</v>
      </c>
      <c r="AR10" s="23"/>
      <c r="AS10" s="23">
        <f t="shared" si="6"/>
        <v>528</v>
      </c>
      <c r="AT10" s="23">
        <f t="shared" si="7"/>
        <v>113.19</v>
      </c>
      <c r="AU10" s="22">
        <f t="shared" si="8"/>
        <v>2584.7400000000002</v>
      </c>
      <c r="AV10" s="22">
        <v>91</v>
      </c>
      <c r="AW10" s="22">
        <f t="shared" si="9"/>
        <v>7989.74</v>
      </c>
      <c r="AX10" s="22"/>
      <c r="AY10" s="26"/>
      <c r="AZ10" s="36"/>
      <c r="BA10" s="22">
        <v>255</v>
      </c>
      <c r="BB10" s="28">
        <f t="shared" si="10"/>
        <v>8244.74</v>
      </c>
      <c r="BC10" s="22">
        <f t="shared" si="11"/>
        <v>494.68</v>
      </c>
      <c r="BD10" s="22">
        <f t="shared" si="12"/>
        <v>8739.42</v>
      </c>
      <c r="BE10" s="29" t="s">
        <v>102</v>
      </c>
      <c r="BG10" s="29"/>
    </row>
    <row r="11" spans="1:59" s="30" customFormat="1" ht="15" customHeight="1" x14ac:dyDescent="0.25">
      <c r="A11" s="16">
        <f t="shared" si="13"/>
        <v>9</v>
      </c>
      <c r="B11" s="17">
        <v>2412</v>
      </c>
      <c r="C11" s="17" t="s">
        <v>196</v>
      </c>
      <c r="D11" s="51" t="s">
        <v>149</v>
      </c>
      <c r="E11" s="18" t="s">
        <v>100</v>
      </c>
      <c r="F11" s="19">
        <v>45444</v>
      </c>
      <c r="G11" s="19">
        <v>45808</v>
      </c>
      <c r="H11" s="16"/>
      <c r="I11" s="20" t="s">
        <v>0</v>
      </c>
      <c r="J11" s="21">
        <v>900</v>
      </c>
      <c r="K11" s="21">
        <v>6048</v>
      </c>
      <c r="L11" s="21">
        <v>1804.2</v>
      </c>
      <c r="M11" s="21"/>
      <c r="N11" s="21"/>
      <c r="O11" s="21"/>
      <c r="P11" s="21"/>
      <c r="Q11" s="21">
        <v>630</v>
      </c>
      <c r="R11" s="21"/>
      <c r="S11" s="21"/>
      <c r="T11" s="21"/>
      <c r="U11" s="21"/>
      <c r="V11" s="21"/>
      <c r="W11" s="21">
        <v>150</v>
      </c>
      <c r="X11" s="21"/>
      <c r="Y11" s="21">
        <v>0</v>
      </c>
      <c r="Z11" s="22">
        <f t="shared" si="0"/>
        <v>9532.2000000000007</v>
      </c>
      <c r="AA11" s="23">
        <v>7594</v>
      </c>
      <c r="AB11" s="24">
        <v>607.52</v>
      </c>
      <c r="AC11" s="24">
        <v>151.88</v>
      </c>
      <c r="AD11" s="24">
        <v>37.97</v>
      </c>
      <c r="AE11" s="23">
        <v>7594</v>
      </c>
      <c r="AF11" s="23">
        <v>532</v>
      </c>
      <c r="AG11" s="22">
        <f t="shared" si="1"/>
        <v>1329.37</v>
      </c>
      <c r="AH11" s="25"/>
      <c r="AI11" s="25"/>
      <c r="AJ11" s="25"/>
      <c r="AK11" s="22">
        <f t="shared" si="2"/>
        <v>8202.8300000000017</v>
      </c>
      <c r="AL11" s="23">
        <v>7594</v>
      </c>
      <c r="AM11" s="23">
        <v>7594</v>
      </c>
      <c r="AN11" s="23">
        <f t="shared" si="3"/>
        <v>1215.04</v>
      </c>
      <c r="AO11" s="23">
        <f t="shared" si="14"/>
        <v>683.46</v>
      </c>
      <c r="AP11" s="23">
        <f t="shared" si="4"/>
        <v>37.97</v>
      </c>
      <c r="AQ11" s="23">
        <f t="shared" si="5"/>
        <v>19.440000000000001</v>
      </c>
      <c r="AR11" s="23"/>
      <c r="AS11" s="23">
        <f t="shared" si="6"/>
        <v>532</v>
      </c>
      <c r="AT11" s="23">
        <f t="shared" si="7"/>
        <v>113.91</v>
      </c>
      <c r="AU11" s="22">
        <f t="shared" si="8"/>
        <v>2601.8199999999997</v>
      </c>
      <c r="AV11" s="22">
        <v>175</v>
      </c>
      <c r="AW11" s="22">
        <f t="shared" si="9"/>
        <v>12309.02</v>
      </c>
      <c r="AX11" s="22"/>
      <c r="AY11" s="26"/>
      <c r="AZ11" s="36"/>
      <c r="BA11" s="22">
        <v>255</v>
      </c>
      <c r="BB11" s="28">
        <f t="shared" si="10"/>
        <v>12564.02</v>
      </c>
      <c r="BC11" s="22">
        <f t="shared" si="11"/>
        <v>753.84</v>
      </c>
      <c r="BD11" s="22">
        <f t="shared" si="12"/>
        <v>13317.86</v>
      </c>
      <c r="BE11" s="29" t="s">
        <v>102</v>
      </c>
      <c r="BG11" s="29"/>
    </row>
    <row r="12" spans="1:59" s="30" customFormat="1" ht="15" customHeight="1" x14ac:dyDescent="0.25">
      <c r="A12" s="16">
        <f t="shared" si="13"/>
        <v>10</v>
      </c>
      <c r="B12" s="17">
        <v>2412</v>
      </c>
      <c r="C12" s="17" t="s">
        <v>197</v>
      </c>
      <c r="D12" s="51" t="s">
        <v>150</v>
      </c>
      <c r="E12" s="18" t="s">
        <v>101</v>
      </c>
      <c r="F12" s="19">
        <v>45444</v>
      </c>
      <c r="G12" s="19">
        <v>45808</v>
      </c>
      <c r="H12" s="16"/>
      <c r="I12" s="20" t="s">
        <v>0</v>
      </c>
      <c r="J12" s="21">
        <v>900</v>
      </c>
      <c r="K12" s="21">
        <v>6640</v>
      </c>
      <c r="L12" s="21">
        <v>1406</v>
      </c>
      <c r="M12" s="21"/>
      <c r="N12" s="21"/>
      <c r="O12" s="21"/>
      <c r="P12" s="21"/>
      <c r="Q12" s="21">
        <v>630</v>
      </c>
      <c r="R12" s="21"/>
      <c r="S12" s="21"/>
      <c r="T12" s="21"/>
      <c r="U12" s="21"/>
      <c r="V12" s="21"/>
      <c r="W12" s="21">
        <v>150</v>
      </c>
      <c r="X12" s="21"/>
      <c r="Y12" s="21">
        <v>0</v>
      </c>
      <c r="Z12" s="22">
        <f t="shared" si="0"/>
        <v>9726</v>
      </c>
      <c r="AA12" s="23">
        <v>11264</v>
      </c>
      <c r="AB12" s="24">
        <v>901.12</v>
      </c>
      <c r="AC12" s="24">
        <v>225.28</v>
      </c>
      <c r="AD12" s="24">
        <v>56.32</v>
      </c>
      <c r="AE12" s="23">
        <v>11264</v>
      </c>
      <c r="AF12" s="23">
        <v>788</v>
      </c>
      <c r="AG12" s="22">
        <f t="shared" si="1"/>
        <v>1970.72</v>
      </c>
      <c r="AH12" s="25"/>
      <c r="AI12" s="25"/>
      <c r="AJ12" s="25"/>
      <c r="AK12" s="22">
        <f t="shared" si="2"/>
        <v>7755.28</v>
      </c>
      <c r="AL12" s="23">
        <v>11264</v>
      </c>
      <c r="AM12" s="23">
        <v>11264</v>
      </c>
      <c r="AN12" s="23">
        <f t="shared" si="3"/>
        <v>1802.24</v>
      </c>
      <c r="AO12" s="23">
        <f t="shared" si="14"/>
        <v>1013.76</v>
      </c>
      <c r="AP12" s="23">
        <f t="shared" si="4"/>
        <v>56.32</v>
      </c>
      <c r="AQ12" s="23">
        <f t="shared" si="5"/>
        <v>28.84</v>
      </c>
      <c r="AR12" s="23"/>
      <c r="AS12" s="23">
        <f t="shared" si="6"/>
        <v>788</v>
      </c>
      <c r="AT12" s="23">
        <f t="shared" si="7"/>
        <v>168.96</v>
      </c>
      <c r="AU12" s="22">
        <f t="shared" si="8"/>
        <v>3858.1200000000003</v>
      </c>
      <c r="AV12" s="22">
        <v>179</v>
      </c>
      <c r="AW12" s="22">
        <f t="shared" si="9"/>
        <v>13763.12</v>
      </c>
      <c r="AX12" s="22"/>
      <c r="AY12" s="26"/>
      <c r="AZ12" s="36"/>
      <c r="BA12" s="22">
        <v>255</v>
      </c>
      <c r="BB12" s="28">
        <f t="shared" si="10"/>
        <v>14018.12</v>
      </c>
      <c r="BC12" s="22">
        <f t="shared" si="11"/>
        <v>841.09</v>
      </c>
      <c r="BD12" s="22">
        <f t="shared" si="12"/>
        <v>14859.21</v>
      </c>
      <c r="BE12" s="29" t="s">
        <v>102</v>
      </c>
      <c r="BG12" s="29"/>
    </row>
    <row r="13" spans="1:59" s="30" customFormat="1" ht="15" customHeight="1" x14ac:dyDescent="0.25">
      <c r="A13" s="16">
        <f t="shared" si="13"/>
        <v>11</v>
      </c>
      <c r="B13" s="17">
        <v>2412</v>
      </c>
      <c r="C13" s="17" t="s">
        <v>198</v>
      </c>
      <c r="D13" s="51" t="s">
        <v>151</v>
      </c>
      <c r="E13" s="18" t="s">
        <v>152</v>
      </c>
      <c r="F13" s="19">
        <v>45444</v>
      </c>
      <c r="G13" s="19">
        <v>45808</v>
      </c>
      <c r="H13" s="16"/>
      <c r="I13" s="20" t="s">
        <v>0</v>
      </c>
      <c r="J13" s="21">
        <v>900</v>
      </c>
      <c r="K13" s="21">
        <v>13473</v>
      </c>
      <c r="L13" s="21">
        <v>3679.4</v>
      </c>
      <c r="M13" s="21"/>
      <c r="N13" s="21"/>
      <c r="O13" s="21"/>
      <c r="P13" s="21"/>
      <c r="Q13" s="21">
        <v>630</v>
      </c>
      <c r="R13" s="21"/>
      <c r="S13" s="21"/>
      <c r="T13" s="21"/>
      <c r="U13" s="21"/>
      <c r="V13" s="21"/>
      <c r="W13" s="21">
        <v>150</v>
      </c>
      <c r="X13" s="21"/>
      <c r="Y13" s="21">
        <v>-100</v>
      </c>
      <c r="Z13" s="22">
        <f t="shared" si="0"/>
        <v>18732.400000000001</v>
      </c>
      <c r="AA13" s="23">
        <v>11463</v>
      </c>
      <c r="AB13" s="24">
        <v>917.04</v>
      </c>
      <c r="AC13" s="24">
        <v>229.26</v>
      </c>
      <c r="AD13" s="24">
        <v>57.32</v>
      </c>
      <c r="AE13" s="23">
        <v>11463</v>
      </c>
      <c r="AF13" s="23">
        <v>802</v>
      </c>
      <c r="AG13" s="22">
        <f t="shared" si="1"/>
        <v>2005.62</v>
      </c>
      <c r="AH13" s="25"/>
      <c r="AI13" s="25"/>
      <c r="AJ13" s="25"/>
      <c r="AK13" s="22">
        <f t="shared" si="2"/>
        <v>16726.780000000002</v>
      </c>
      <c r="AL13" s="23">
        <v>11463</v>
      </c>
      <c r="AM13" s="23">
        <v>11463</v>
      </c>
      <c r="AN13" s="23">
        <f t="shared" si="3"/>
        <v>1834.08</v>
      </c>
      <c r="AO13" s="23">
        <v>1031.68</v>
      </c>
      <c r="AP13" s="23">
        <f t="shared" si="4"/>
        <v>57.32</v>
      </c>
      <c r="AQ13" s="23">
        <f t="shared" si="5"/>
        <v>29.35</v>
      </c>
      <c r="AR13" s="23"/>
      <c r="AS13" s="23">
        <f t="shared" si="6"/>
        <v>802</v>
      </c>
      <c r="AT13" s="23">
        <f t="shared" si="7"/>
        <v>171.95</v>
      </c>
      <c r="AU13" s="22">
        <f t="shared" si="8"/>
        <v>3926.38</v>
      </c>
      <c r="AV13" s="22">
        <v>359</v>
      </c>
      <c r="AW13" s="22">
        <f t="shared" si="9"/>
        <v>23017.780000000002</v>
      </c>
      <c r="AX13" s="22"/>
      <c r="AY13" s="26"/>
      <c r="AZ13" s="36"/>
      <c r="BA13" s="22">
        <v>255</v>
      </c>
      <c r="BB13" s="28">
        <f t="shared" si="10"/>
        <v>23272.78</v>
      </c>
      <c r="BC13" s="22">
        <f t="shared" si="11"/>
        <v>1396.37</v>
      </c>
      <c r="BD13" s="22">
        <f t="shared" si="12"/>
        <v>24669.15</v>
      </c>
      <c r="BE13" s="29" t="s">
        <v>102</v>
      </c>
      <c r="BG13" s="29"/>
    </row>
    <row r="14" spans="1:59" s="30" customFormat="1" ht="15" customHeight="1" x14ac:dyDescent="0.25">
      <c r="A14" s="16">
        <f t="shared" si="13"/>
        <v>12</v>
      </c>
      <c r="B14" s="17">
        <v>2412</v>
      </c>
      <c r="C14" s="17" t="s">
        <v>201</v>
      </c>
      <c r="D14" s="34" t="s">
        <v>155</v>
      </c>
      <c r="E14" s="18" t="s">
        <v>156</v>
      </c>
      <c r="F14" s="19">
        <v>45444</v>
      </c>
      <c r="G14" s="19">
        <v>45808</v>
      </c>
      <c r="H14" s="16"/>
      <c r="I14" s="20" t="s">
        <v>0</v>
      </c>
      <c r="J14" s="21">
        <v>900</v>
      </c>
      <c r="K14" s="21">
        <v>8166</v>
      </c>
      <c r="L14" s="21">
        <v>2242.6999999999998</v>
      </c>
      <c r="M14" s="21"/>
      <c r="N14" s="21"/>
      <c r="O14" s="21"/>
      <c r="P14" s="21"/>
      <c r="Q14" s="21">
        <v>630</v>
      </c>
      <c r="R14" s="21"/>
      <c r="S14" s="21"/>
      <c r="T14" s="21"/>
      <c r="U14" s="21"/>
      <c r="V14" s="21"/>
      <c r="W14" s="21">
        <v>150</v>
      </c>
      <c r="X14" s="21"/>
      <c r="Y14" s="21">
        <v>0</v>
      </c>
      <c r="Z14" s="22">
        <f>SUM(J14:Y14)</f>
        <v>12088.7</v>
      </c>
      <c r="AA14" s="23">
        <v>7384</v>
      </c>
      <c r="AB14" s="24">
        <v>590.72</v>
      </c>
      <c r="AC14" s="24">
        <v>147.68</v>
      </c>
      <c r="AD14" s="24">
        <v>36.92</v>
      </c>
      <c r="AE14" s="23">
        <v>6573</v>
      </c>
      <c r="AF14" s="23">
        <v>460</v>
      </c>
      <c r="AG14" s="22">
        <f>AB14+AC14+AD14+AF14</f>
        <v>1235.3200000000002</v>
      </c>
      <c r="AH14" s="25"/>
      <c r="AI14" s="25"/>
      <c r="AJ14" s="25"/>
      <c r="AK14" s="22">
        <f t="shared" si="2"/>
        <v>10853.380000000001</v>
      </c>
      <c r="AL14" s="23">
        <v>7384</v>
      </c>
      <c r="AM14" s="23">
        <v>6573</v>
      </c>
      <c r="AN14" s="23">
        <f>ROUND(AL14*16%,2)</f>
        <v>1181.44</v>
      </c>
      <c r="AO14" s="23">
        <f>ROUND(AL14*9%,2)</f>
        <v>664.56</v>
      </c>
      <c r="AP14" s="23">
        <f>ROUND(AL14*0.5%,2)</f>
        <v>36.92</v>
      </c>
      <c r="AQ14" s="23">
        <f>ROUND(AL14*0.256%,2)</f>
        <v>18.899999999999999</v>
      </c>
      <c r="AR14" s="23"/>
      <c r="AS14" s="23">
        <f>ROUND(AM14*7%,0)</f>
        <v>460</v>
      </c>
      <c r="AT14" s="23">
        <f>ROUND(IF(AL14&lt;24366,AL14*1.5%,24366*1.5%),2)</f>
        <v>110.76</v>
      </c>
      <c r="AU14" s="22">
        <f>SUM(AN14:AT14)</f>
        <v>2472.5800000000004</v>
      </c>
      <c r="AV14" s="22">
        <v>226</v>
      </c>
      <c r="AW14" s="22">
        <f t="shared" si="9"/>
        <v>14787.28</v>
      </c>
      <c r="AX14" s="22"/>
      <c r="AY14" s="37"/>
      <c r="AZ14" s="52"/>
      <c r="BA14" s="22">
        <v>255</v>
      </c>
      <c r="BB14" s="28">
        <f>ROUND(AW14+BA14+AY14,2)</f>
        <v>15042.28</v>
      </c>
      <c r="BC14" s="22">
        <f>ROUND(BB14*6%,2)</f>
        <v>902.54</v>
      </c>
      <c r="BD14" s="22">
        <f>ROUND(SUM(BB14:BC14),2)</f>
        <v>15944.82</v>
      </c>
      <c r="BE14" s="29" t="s">
        <v>102</v>
      </c>
      <c r="BG14" s="29"/>
    </row>
    <row r="15" spans="1:59" s="30" customFormat="1" ht="15" customHeight="1" x14ac:dyDescent="0.25">
      <c r="A15" s="16">
        <f t="shared" si="13"/>
        <v>13</v>
      </c>
      <c r="B15" s="17">
        <v>2412</v>
      </c>
      <c r="C15" s="17" t="s">
        <v>199</v>
      </c>
      <c r="D15" s="34" t="s">
        <v>153</v>
      </c>
      <c r="E15" s="18" t="s">
        <v>154</v>
      </c>
      <c r="F15" s="19">
        <v>45444</v>
      </c>
      <c r="G15" s="19">
        <v>45808</v>
      </c>
      <c r="H15" s="16"/>
      <c r="I15" s="20" t="s">
        <v>0</v>
      </c>
      <c r="J15" s="21">
        <v>900</v>
      </c>
      <c r="K15" s="21">
        <v>6611</v>
      </c>
      <c r="L15" s="21">
        <v>1023.3</v>
      </c>
      <c r="M15" s="21"/>
      <c r="N15" s="21"/>
      <c r="O15" s="21"/>
      <c r="P15" s="21"/>
      <c r="Q15" s="21">
        <v>630</v>
      </c>
      <c r="R15" s="21"/>
      <c r="S15" s="21"/>
      <c r="T15" s="21"/>
      <c r="U15" s="21"/>
      <c r="V15" s="21"/>
      <c r="W15" s="21">
        <v>150</v>
      </c>
      <c r="X15" s="21"/>
      <c r="Y15" s="21">
        <v>-500</v>
      </c>
      <c r="Z15" s="22">
        <f t="shared" ref="Z15" si="15">SUM(J15:Y15)</f>
        <v>8814.2999999999993</v>
      </c>
      <c r="AA15" s="23">
        <v>8179</v>
      </c>
      <c r="AB15" s="24">
        <v>654.32000000000005</v>
      </c>
      <c r="AC15" s="24">
        <v>163.58000000000001</v>
      </c>
      <c r="AD15" s="24">
        <v>40.9</v>
      </c>
      <c r="AE15" s="23">
        <v>8179</v>
      </c>
      <c r="AF15" s="23">
        <v>573</v>
      </c>
      <c r="AG15" s="22">
        <f t="shared" ref="AG15" si="16">AB15+AC15+AD15+AF15</f>
        <v>1431.8000000000002</v>
      </c>
      <c r="AH15" s="25"/>
      <c r="AI15" s="25"/>
      <c r="AJ15" s="25"/>
      <c r="AK15" s="22">
        <f t="shared" si="2"/>
        <v>7382.4999999999991</v>
      </c>
      <c r="AL15" s="23">
        <v>8179</v>
      </c>
      <c r="AM15" s="23">
        <v>8179</v>
      </c>
      <c r="AN15" s="23">
        <f t="shared" ref="AN15" si="17">ROUND(AL15*16%,2)</f>
        <v>1308.6400000000001</v>
      </c>
      <c r="AO15" s="23">
        <v>736.12</v>
      </c>
      <c r="AP15" s="23">
        <f t="shared" ref="AP15" si="18">ROUND(AL15*0.5%,2)</f>
        <v>40.9</v>
      </c>
      <c r="AQ15" s="23">
        <f t="shared" ref="AQ15" si="19">ROUND(AL15*0.256%,2)</f>
        <v>20.94</v>
      </c>
      <c r="AR15" s="23"/>
      <c r="AS15" s="23">
        <f t="shared" ref="AS15" si="20">ROUND(AM15*7%,0)</f>
        <v>573</v>
      </c>
      <c r="AT15" s="23">
        <f t="shared" ref="AT15" si="21">ROUND(IF(AL15&lt;24366,AL15*1.5%,24366*1.5%),2)</f>
        <v>122.69</v>
      </c>
      <c r="AU15" s="22">
        <f t="shared" ref="AU15" si="22">SUM(AN15:AT15)</f>
        <v>2802.2900000000004</v>
      </c>
      <c r="AV15" s="22">
        <v>161</v>
      </c>
      <c r="AW15" s="22">
        <f t="shared" si="9"/>
        <v>11777.59</v>
      </c>
      <c r="AX15" s="22"/>
      <c r="AY15" s="26"/>
      <c r="AZ15" s="52"/>
      <c r="BA15" s="22">
        <v>255</v>
      </c>
      <c r="BB15" s="28">
        <f t="shared" ref="BB15" si="23">ROUND(AW15+BA15+AY15,2)</f>
        <v>12032.59</v>
      </c>
      <c r="BC15" s="22">
        <f t="shared" ref="BC15" si="24">ROUND(BB15*6%,2)</f>
        <v>721.96</v>
      </c>
      <c r="BD15" s="22">
        <f t="shared" ref="BD15" si="25">ROUND(SUM(BB15:BC15),2)</f>
        <v>12754.55</v>
      </c>
      <c r="BE15" s="29" t="s">
        <v>102</v>
      </c>
      <c r="BG15" s="29"/>
    </row>
    <row r="16" spans="1:59" s="30" customFormat="1" ht="15" customHeight="1" x14ac:dyDescent="0.25">
      <c r="A16" s="16">
        <f t="shared" si="13"/>
        <v>14</v>
      </c>
      <c r="B16" s="17">
        <v>2412</v>
      </c>
      <c r="C16" s="17" t="s">
        <v>200</v>
      </c>
      <c r="D16" s="34" t="s">
        <v>136</v>
      </c>
      <c r="E16" s="18" t="s">
        <v>4</v>
      </c>
      <c r="F16" s="19">
        <v>45444</v>
      </c>
      <c r="G16" s="19">
        <v>45808</v>
      </c>
      <c r="H16" s="16"/>
      <c r="I16" s="20" t="s">
        <v>0</v>
      </c>
      <c r="J16" s="21">
        <v>800</v>
      </c>
      <c r="K16" s="21">
        <v>4030</v>
      </c>
      <c r="L16" s="21">
        <v>714</v>
      </c>
      <c r="M16" s="21"/>
      <c r="N16" s="21"/>
      <c r="O16" s="21"/>
      <c r="P16" s="21"/>
      <c r="Q16" s="21">
        <v>630</v>
      </c>
      <c r="R16" s="21"/>
      <c r="S16" s="21"/>
      <c r="T16" s="21"/>
      <c r="U16" s="21"/>
      <c r="V16" s="21"/>
      <c r="W16" s="21">
        <v>150</v>
      </c>
      <c r="X16" s="21"/>
      <c r="Y16" s="21">
        <v>-1216</v>
      </c>
      <c r="Z16" s="22">
        <f>SUM(J16:Y16)</f>
        <v>5108</v>
      </c>
      <c r="AA16" s="23">
        <v>7384</v>
      </c>
      <c r="AB16" s="24">
        <v>590.72</v>
      </c>
      <c r="AC16" s="24">
        <v>147.68</v>
      </c>
      <c r="AD16" s="24">
        <v>36.92</v>
      </c>
      <c r="AE16" s="23">
        <v>4848</v>
      </c>
      <c r="AF16" s="23">
        <v>339</v>
      </c>
      <c r="AG16" s="22">
        <f>AB16+AC16+AD16+AF16</f>
        <v>1114.3200000000002</v>
      </c>
      <c r="AH16" s="25"/>
      <c r="AI16" s="25"/>
      <c r="AJ16" s="25"/>
      <c r="AK16" s="22">
        <f t="shared" si="2"/>
        <v>3993.68</v>
      </c>
      <c r="AL16" s="23">
        <v>7384</v>
      </c>
      <c r="AM16" s="23">
        <v>4848</v>
      </c>
      <c r="AN16" s="23">
        <f>ROUND(AL16*16%,2)</f>
        <v>1181.44</v>
      </c>
      <c r="AO16" s="23">
        <f>ROUND(AL16*9%,2)</f>
        <v>664.56</v>
      </c>
      <c r="AP16" s="23">
        <f>ROUND(AL16*0.5%,2)</f>
        <v>36.92</v>
      </c>
      <c r="AQ16" s="23">
        <f>ROUND(AL16*0.256%,2)</f>
        <v>18.899999999999999</v>
      </c>
      <c r="AR16" s="23"/>
      <c r="AS16" s="23">
        <f>ROUND(AM16*7%,0)</f>
        <v>339</v>
      </c>
      <c r="AT16" s="23">
        <f>ROUND(IF(AL16&lt;24366,AL16*1.5%,24366*1.5%),2)</f>
        <v>110.76</v>
      </c>
      <c r="AU16" s="22">
        <f>SUM(AN16:AT16)</f>
        <v>2351.5800000000004</v>
      </c>
      <c r="AV16" s="22">
        <v>87</v>
      </c>
      <c r="AW16" s="22">
        <f t="shared" si="9"/>
        <v>7546.58</v>
      </c>
      <c r="AX16" s="22"/>
      <c r="AY16" s="37"/>
      <c r="AZ16" s="52"/>
      <c r="BA16" s="22">
        <v>255</v>
      </c>
      <c r="BB16" s="28">
        <f>ROUND(AW16+BA16+AY16,2)</f>
        <v>7801.58</v>
      </c>
      <c r="BC16" s="22">
        <f t="shared" ref="BC16:BC38" si="26">ROUND(BB16*6%,2)</f>
        <v>468.09</v>
      </c>
      <c r="BD16" s="22">
        <f t="shared" ref="BD16:BD38" si="27">ROUND(SUM(BB16:BC16),2)</f>
        <v>8269.67</v>
      </c>
      <c r="BE16" s="29" t="s">
        <v>102</v>
      </c>
      <c r="BG16" s="29"/>
    </row>
    <row r="17" spans="1:59" s="30" customFormat="1" ht="15" customHeight="1" x14ac:dyDescent="0.25">
      <c r="A17" s="16">
        <f t="shared" si="13"/>
        <v>15</v>
      </c>
      <c r="B17" s="17">
        <v>2412</v>
      </c>
      <c r="C17" s="17" t="s">
        <v>143</v>
      </c>
      <c r="D17" s="16" t="s">
        <v>142</v>
      </c>
      <c r="E17" s="18" t="s">
        <v>140</v>
      </c>
      <c r="F17" s="19">
        <v>45413</v>
      </c>
      <c r="G17" s="19">
        <v>45777</v>
      </c>
      <c r="H17" s="16"/>
      <c r="I17" s="20" t="s">
        <v>0</v>
      </c>
      <c r="J17" s="21">
        <v>800</v>
      </c>
      <c r="K17" s="21">
        <v>11340</v>
      </c>
      <c r="L17" s="21">
        <v>4479.25</v>
      </c>
      <c r="M17" s="21"/>
      <c r="N17" s="21"/>
      <c r="O17" s="21"/>
      <c r="P17" s="21"/>
      <c r="Q17" s="21">
        <v>630</v>
      </c>
      <c r="R17" s="21"/>
      <c r="S17" s="21"/>
      <c r="T17" s="21"/>
      <c r="U17" s="21"/>
      <c r="V17" s="21"/>
      <c r="W17" s="21">
        <v>150</v>
      </c>
      <c r="X17" s="21" t="str">
        <f>IF(SUM(J17:L17,Y17)-AG17&lt;2690,2690-(SUM(J17:L17,Y17)-AG17),"")</f>
        <v/>
      </c>
      <c r="Y17" s="53">
        <v>-500</v>
      </c>
      <c r="Z17" s="22">
        <f t="shared" ref="Z17:Z37" si="28">SUM(J17:Y17)</f>
        <v>16899.25</v>
      </c>
      <c r="AA17" s="23">
        <v>9889</v>
      </c>
      <c r="AB17" s="24">
        <v>791.12</v>
      </c>
      <c r="AC17" s="24">
        <v>197.78</v>
      </c>
      <c r="AD17" s="24">
        <v>49.45</v>
      </c>
      <c r="AE17" s="23">
        <v>9889</v>
      </c>
      <c r="AF17" s="23">
        <v>692</v>
      </c>
      <c r="AG17" s="22">
        <f t="shared" ref="AG17:AG38" si="29">AB17+AC17+AD17+AF17</f>
        <v>1730.35</v>
      </c>
      <c r="AH17" s="25"/>
      <c r="AI17" s="25"/>
      <c r="AJ17" s="25"/>
      <c r="AK17" s="22">
        <f t="shared" si="2"/>
        <v>15168.9</v>
      </c>
      <c r="AL17" s="23">
        <v>9889</v>
      </c>
      <c r="AM17" s="23">
        <v>9889</v>
      </c>
      <c r="AN17" s="23">
        <f t="shared" ref="AN17:AN38" si="30">ROUND(AL17*16%,2)</f>
        <v>1582.24</v>
      </c>
      <c r="AO17" s="23">
        <v>890.02</v>
      </c>
      <c r="AP17" s="23">
        <f t="shared" ref="AP17:AP38" si="31">ROUND(AL17*0.5%,2)</f>
        <v>49.45</v>
      </c>
      <c r="AQ17" s="23">
        <f t="shared" ref="AQ17:AQ38" si="32">ROUND(AL17*0.256%,2)</f>
        <v>25.32</v>
      </c>
      <c r="AR17" s="23"/>
      <c r="AS17" s="23">
        <f t="shared" ref="AS17:AS38" si="33">ROUND(AM17*7%,0)</f>
        <v>692</v>
      </c>
      <c r="AT17" s="23">
        <f t="shared" ref="AT17:AT38" si="34">ROUND(IF(AL17&lt;24366,AL17*1.5%,24366*1.5%),2)</f>
        <v>148.34</v>
      </c>
      <c r="AU17" s="22">
        <f t="shared" ref="AU17:AU38" si="35">SUM(AN17:AT17)</f>
        <v>3387.3700000000003</v>
      </c>
      <c r="AV17" s="22">
        <v>322</v>
      </c>
      <c r="AW17" s="22">
        <f t="shared" si="9"/>
        <v>20608.62</v>
      </c>
      <c r="AX17" s="22"/>
      <c r="AY17" s="26"/>
      <c r="AZ17" s="39"/>
      <c r="BA17" s="22">
        <v>255</v>
      </c>
      <c r="BB17" s="28">
        <f t="shared" ref="BB17:BB38" si="36">ROUND(AW17+BA17+AY17,2)</f>
        <v>20863.62</v>
      </c>
      <c r="BC17" s="22">
        <f t="shared" si="26"/>
        <v>1251.82</v>
      </c>
      <c r="BD17" s="22">
        <f t="shared" si="27"/>
        <v>22115.439999999999</v>
      </c>
      <c r="BG17" s="29"/>
    </row>
    <row r="18" spans="1:59" s="30" customFormat="1" ht="15" customHeight="1" x14ac:dyDescent="0.25">
      <c r="A18" s="16">
        <f t="shared" si="13"/>
        <v>16</v>
      </c>
      <c r="B18" s="17">
        <v>2412</v>
      </c>
      <c r="C18" s="17" t="s">
        <v>144</v>
      </c>
      <c r="D18" s="16" t="s">
        <v>206</v>
      </c>
      <c r="E18" s="18" t="s">
        <v>141</v>
      </c>
      <c r="F18" s="19">
        <v>45413</v>
      </c>
      <c r="G18" s="19">
        <v>45777</v>
      </c>
      <c r="H18" s="16"/>
      <c r="I18" s="20" t="s">
        <v>0</v>
      </c>
      <c r="J18" s="21">
        <v>1030</v>
      </c>
      <c r="K18" s="21">
        <v>3830.01</v>
      </c>
      <c r="L18" s="21">
        <v>825.6</v>
      </c>
      <c r="M18" s="21"/>
      <c r="N18" s="21"/>
      <c r="O18" s="21"/>
      <c r="P18" s="21"/>
      <c r="Q18" s="21">
        <v>630</v>
      </c>
      <c r="R18" s="21"/>
      <c r="S18" s="21"/>
      <c r="T18" s="21"/>
      <c r="U18" s="21"/>
      <c r="V18" s="21"/>
      <c r="W18" s="21">
        <v>150</v>
      </c>
      <c r="X18" s="21" t="str">
        <f t="shared" ref="X18:X38" si="37">IF(SUM(J18:L18,Y18)-AG18&lt;2690,2690-(SUM(J18:L18,Y18)-AG18),"")</f>
        <v/>
      </c>
      <c r="Y18" s="53">
        <v>0</v>
      </c>
      <c r="Z18" s="22">
        <f t="shared" si="28"/>
        <v>6465.6100000000006</v>
      </c>
      <c r="AA18" s="23">
        <v>7788</v>
      </c>
      <c r="AB18" s="24">
        <v>623.04</v>
      </c>
      <c r="AC18" s="24">
        <v>155.76</v>
      </c>
      <c r="AD18" s="24">
        <v>38.94</v>
      </c>
      <c r="AE18" s="23">
        <v>7788</v>
      </c>
      <c r="AF18" s="23">
        <v>545</v>
      </c>
      <c r="AG18" s="22">
        <f t="shared" si="29"/>
        <v>1362.74</v>
      </c>
      <c r="AH18" s="25"/>
      <c r="AI18" s="25"/>
      <c r="AJ18" s="25"/>
      <c r="AK18" s="22">
        <f t="shared" si="2"/>
        <v>5102.8700000000008</v>
      </c>
      <c r="AL18" s="23">
        <v>7788</v>
      </c>
      <c r="AM18" s="23">
        <v>7788</v>
      </c>
      <c r="AN18" s="23">
        <f t="shared" si="30"/>
        <v>1246.08</v>
      </c>
      <c r="AO18" s="23">
        <f t="shared" ref="AO18:AO38" si="38">ROUND(AL18*9%,2)</f>
        <v>700.92</v>
      </c>
      <c r="AP18" s="23">
        <f t="shared" si="31"/>
        <v>38.94</v>
      </c>
      <c r="AQ18" s="23">
        <f t="shared" si="32"/>
        <v>19.940000000000001</v>
      </c>
      <c r="AR18" s="23"/>
      <c r="AS18" s="23">
        <f t="shared" si="33"/>
        <v>545</v>
      </c>
      <c r="AT18" s="23">
        <f t="shared" si="34"/>
        <v>116.82</v>
      </c>
      <c r="AU18" s="22">
        <f t="shared" si="35"/>
        <v>2667.7000000000003</v>
      </c>
      <c r="AV18" s="22">
        <v>114</v>
      </c>
      <c r="AW18" s="22">
        <f t="shared" si="9"/>
        <v>9247.3100000000013</v>
      </c>
      <c r="AX18" s="22"/>
      <c r="AY18" s="26"/>
      <c r="AZ18" s="39"/>
      <c r="BA18" s="22">
        <v>255</v>
      </c>
      <c r="BB18" s="28">
        <f t="shared" si="36"/>
        <v>9502.31</v>
      </c>
      <c r="BC18" s="22">
        <f t="shared" si="26"/>
        <v>570.14</v>
      </c>
      <c r="BD18" s="22">
        <f t="shared" si="27"/>
        <v>10072.450000000001</v>
      </c>
      <c r="BG18" s="29"/>
    </row>
    <row r="19" spans="1:59" s="30" customFormat="1" ht="15" customHeight="1" x14ac:dyDescent="0.25">
      <c r="A19" s="16">
        <f t="shared" si="13"/>
        <v>17</v>
      </c>
      <c r="B19" s="17">
        <v>2412</v>
      </c>
      <c r="C19" s="17" t="s">
        <v>147</v>
      </c>
      <c r="D19" s="16" t="s">
        <v>145</v>
      </c>
      <c r="E19" s="18" t="s">
        <v>146</v>
      </c>
      <c r="F19" s="19">
        <v>45427</v>
      </c>
      <c r="G19" s="19">
        <v>46521</v>
      </c>
      <c r="H19" s="16"/>
      <c r="I19" s="20" t="s">
        <v>0</v>
      </c>
      <c r="J19" s="21">
        <v>800</v>
      </c>
      <c r="K19" s="21">
        <v>16992</v>
      </c>
      <c r="L19" s="21">
        <v>6671.35</v>
      </c>
      <c r="M19" s="21"/>
      <c r="N19" s="21"/>
      <c r="O19" s="21"/>
      <c r="P19" s="21"/>
      <c r="Q19" s="21">
        <v>630</v>
      </c>
      <c r="R19" s="21"/>
      <c r="S19" s="21"/>
      <c r="T19" s="21"/>
      <c r="U19" s="21"/>
      <c r="V19" s="21"/>
      <c r="W19" s="21">
        <v>150</v>
      </c>
      <c r="X19" s="21" t="str">
        <f t="shared" si="37"/>
        <v/>
      </c>
      <c r="Y19" s="53">
        <v>0</v>
      </c>
      <c r="Z19" s="22">
        <f t="shared" si="28"/>
        <v>25243.35</v>
      </c>
      <c r="AA19" s="23">
        <v>7384</v>
      </c>
      <c r="AB19" s="24">
        <v>590.72</v>
      </c>
      <c r="AC19" s="24">
        <v>147.68</v>
      </c>
      <c r="AD19" s="24">
        <v>36.92</v>
      </c>
      <c r="AE19" s="35">
        <v>2690</v>
      </c>
      <c r="AF19" s="23">
        <v>188</v>
      </c>
      <c r="AG19" s="22">
        <f t="shared" si="29"/>
        <v>963.32</v>
      </c>
      <c r="AH19" s="25"/>
      <c r="AI19" s="25"/>
      <c r="AJ19" s="25"/>
      <c r="AK19" s="22">
        <f t="shared" si="2"/>
        <v>24280.03</v>
      </c>
      <c r="AL19" s="23">
        <v>7384</v>
      </c>
      <c r="AM19" s="23">
        <v>2690</v>
      </c>
      <c r="AN19" s="23">
        <f t="shared" si="30"/>
        <v>1181.44</v>
      </c>
      <c r="AO19" s="23">
        <f t="shared" si="38"/>
        <v>664.56</v>
      </c>
      <c r="AP19" s="23">
        <f t="shared" si="31"/>
        <v>36.92</v>
      </c>
      <c r="AQ19" s="23">
        <f t="shared" si="32"/>
        <v>18.899999999999999</v>
      </c>
      <c r="AR19" s="23"/>
      <c r="AS19" s="23">
        <f t="shared" si="33"/>
        <v>188</v>
      </c>
      <c r="AT19" s="23">
        <f t="shared" si="34"/>
        <v>110.76</v>
      </c>
      <c r="AU19" s="22">
        <f t="shared" si="35"/>
        <v>2200.5800000000004</v>
      </c>
      <c r="AV19" s="22">
        <v>489</v>
      </c>
      <c r="AW19" s="22">
        <f t="shared" si="9"/>
        <v>27932.93</v>
      </c>
      <c r="AX19" s="22"/>
      <c r="AY19" s="37"/>
      <c r="AZ19" s="40"/>
      <c r="BA19" s="22">
        <v>255</v>
      </c>
      <c r="BB19" s="28">
        <f t="shared" si="36"/>
        <v>28187.93</v>
      </c>
      <c r="BC19" s="22">
        <f t="shared" si="26"/>
        <v>1691.28</v>
      </c>
      <c r="BD19" s="22">
        <f t="shared" si="27"/>
        <v>29879.21</v>
      </c>
      <c r="BG19" s="29"/>
    </row>
    <row r="20" spans="1:59" s="30" customFormat="1" ht="15" customHeight="1" x14ac:dyDescent="0.25">
      <c r="A20" s="16">
        <f t="shared" si="13"/>
        <v>18</v>
      </c>
      <c r="B20" s="17">
        <v>2412</v>
      </c>
      <c r="C20" s="17" t="s">
        <v>169</v>
      </c>
      <c r="D20" s="16" t="s">
        <v>129</v>
      </c>
      <c r="E20" s="18" t="s">
        <v>107</v>
      </c>
      <c r="F20" s="19">
        <v>45444</v>
      </c>
      <c r="G20" s="19">
        <v>45808</v>
      </c>
      <c r="H20" s="16"/>
      <c r="I20" s="20" t="s">
        <v>0</v>
      </c>
      <c r="J20" s="21">
        <v>1200</v>
      </c>
      <c r="K20" s="21">
        <v>5741.5</v>
      </c>
      <c r="L20" s="21">
        <v>4022.8</v>
      </c>
      <c r="M20" s="21"/>
      <c r="N20" s="21"/>
      <c r="O20" s="21"/>
      <c r="P20" s="21"/>
      <c r="Q20" s="21">
        <v>630</v>
      </c>
      <c r="R20" s="21"/>
      <c r="S20" s="21"/>
      <c r="T20" s="21"/>
      <c r="U20" s="21"/>
      <c r="V20" s="21"/>
      <c r="W20" s="21">
        <v>150</v>
      </c>
      <c r="X20" s="21" t="str">
        <f t="shared" si="37"/>
        <v/>
      </c>
      <c r="Y20" s="53">
        <v>-300</v>
      </c>
      <c r="Z20" s="22">
        <f t="shared" si="28"/>
        <v>11444.3</v>
      </c>
      <c r="AA20" s="23">
        <v>7661</v>
      </c>
      <c r="AB20" s="24">
        <v>612.88</v>
      </c>
      <c r="AC20" s="24">
        <v>153.22</v>
      </c>
      <c r="AD20" s="24">
        <v>38.31</v>
      </c>
      <c r="AE20" s="23">
        <v>7661</v>
      </c>
      <c r="AF20" s="23">
        <v>536</v>
      </c>
      <c r="AG20" s="22">
        <f t="shared" si="29"/>
        <v>1340.41</v>
      </c>
      <c r="AH20" s="25"/>
      <c r="AI20" s="25"/>
      <c r="AJ20" s="25"/>
      <c r="AK20" s="22">
        <f t="shared" si="2"/>
        <v>10103.89</v>
      </c>
      <c r="AL20" s="23">
        <v>7661</v>
      </c>
      <c r="AM20" s="23">
        <v>7661</v>
      </c>
      <c r="AN20" s="23">
        <f t="shared" si="30"/>
        <v>1225.76</v>
      </c>
      <c r="AO20" s="23">
        <v>689.5</v>
      </c>
      <c r="AP20" s="23">
        <f t="shared" si="31"/>
        <v>38.31</v>
      </c>
      <c r="AQ20" s="23">
        <f t="shared" si="32"/>
        <v>19.61</v>
      </c>
      <c r="AR20" s="23"/>
      <c r="AS20" s="23">
        <f t="shared" si="33"/>
        <v>536</v>
      </c>
      <c r="AT20" s="23">
        <f t="shared" si="34"/>
        <v>114.92</v>
      </c>
      <c r="AU20" s="22">
        <f t="shared" si="35"/>
        <v>2624.1</v>
      </c>
      <c r="AV20" s="22">
        <v>213</v>
      </c>
      <c r="AW20" s="22">
        <f t="shared" si="9"/>
        <v>14281.4</v>
      </c>
      <c r="AX20" s="22"/>
      <c r="AY20" s="26"/>
      <c r="AZ20" s="39"/>
      <c r="BA20" s="22">
        <v>255</v>
      </c>
      <c r="BB20" s="28">
        <f t="shared" si="36"/>
        <v>14536.4</v>
      </c>
      <c r="BC20" s="22">
        <f t="shared" si="26"/>
        <v>872.18</v>
      </c>
      <c r="BD20" s="22">
        <f t="shared" si="27"/>
        <v>15408.58</v>
      </c>
      <c r="BG20" s="29"/>
    </row>
    <row r="21" spans="1:59" s="30" customFormat="1" ht="15" customHeight="1" x14ac:dyDescent="0.25">
      <c r="A21" s="16">
        <f t="shared" si="13"/>
        <v>19</v>
      </c>
      <c r="B21" s="17">
        <v>2412</v>
      </c>
      <c r="C21" s="17" t="s">
        <v>170</v>
      </c>
      <c r="D21" s="16" t="s">
        <v>134</v>
      </c>
      <c r="E21" s="18" t="s">
        <v>113</v>
      </c>
      <c r="F21" s="19">
        <v>45444</v>
      </c>
      <c r="G21" s="19">
        <v>45808</v>
      </c>
      <c r="H21" s="16"/>
      <c r="I21" s="20" t="s">
        <v>0</v>
      </c>
      <c r="J21" s="21">
        <v>1300</v>
      </c>
      <c r="K21" s="21">
        <v>11042.8</v>
      </c>
      <c r="L21" s="21">
        <v>7805</v>
      </c>
      <c r="M21" s="21"/>
      <c r="N21" s="21"/>
      <c r="O21" s="21"/>
      <c r="P21" s="21"/>
      <c r="Q21" s="21">
        <v>630</v>
      </c>
      <c r="R21" s="21"/>
      <c r="S21" s="21"/>
      <c r="T21" s="21"/>
      <c r="U21" s="21"/>
      <c r="V21" s="21"/>
      <c r="W21" s="21">
        <v>150</v>
      </c>
      <c r="X21" s="21" t="str">
        <f t="shared" si="37"/>
        <v/>
      </c>
      <c r="Y21" s="53">
        <v>0</v>
      </c>
      <c r="Z21" s="22">
        <f t="shared" si="28"/>
        <v>20927.8</v>
      </c>
      <c r="AA21" s="23">
        <v>17497</v>
      </c>
      <c r="AB21" s="24">
        <v>1399.76</v>
      </c>
      <c r="AC21" s="24">
        <v>349.94</v>
      </c>
      <c r="AD21" s="24">
        <v>87.49</v>
      </c>
      <c r="AE21" s="23">
        <v>17497</v>
      </c>
      <c r="AF21" s="23">
        <v>1225</v>
      </c>
      <c r="AG21" s="22">
        <f t="shared" si="29"/>
        <v>3062.19</v>
      </c>
      <c r="AH21" s="25"/>
      <c r="AI21" s="25"/>
      <c r="AJ21" s="25"/>
      <c r="AK21" s="22">
        <f t="shared" si="2"/>
        <v>17865.61</v>
      </c>
      <c r="AL21" s="23">
        <v>17497</v>
      </c>
      <c r="AM21" s="23">
        <v>17497</v>
      </c>
      <c r="AN21" s="23">
        <f t="shared" si="30"/>
        <v>2799.52</v>
      </c>
      <c r="AO21" s="23">
        <v>1574.74</v>
      </c>
      <c r="AP21" s="23">
        <f t="shared" si="31"/>
        <v>87.49</v>
      </c>
      <c r="AQ21" s="23">
        <f t="shared" si="32"/>
        <v>44.79</v>
      </c>
      <c r="AR21" s="23"/>
      <c r="AS21" s="23">
        <f t="shared" si="33"/>
        <v>1225</v>
      </c>
      <c r="AT21" s="23">
        <f t="shared" si="34"/>
        <v>262.45999999999998</v>
      </c>
      <c r="AU21" s="22">
        <f t="shared" si="35"/>
        <v>5994</v>
      </c>
      <c r="AV21" s="22">
        <v>403</v>
      </c>
      <c r="AW21" s="22">
        <f t="shared" si="9"/>
        <v>27324.799999999999</v>
      </c>
      <c r="AX21" s="22"/>
      <c r="AY21" s="26"/>
      <c r="AZ21" s="39"/>
      <c r="BA21" s="22">
        <v>255</v>
      </c>
      <c r="BB21" s="28">
        <f t="shared" si="36"/>
        <v>27579.8</v>
      </c>
      <c r="BC21" s="22">
        <f t="shared" si="26"/>
        <v>1654.79</v>
      </c>
      <c r="BD21" s="22">
        <f t="shared" si="27"/>
        <v>29234.59</v>
      </c>
      <c r="BG21" s="29"/>
    </row>
    <row r="22" spans="1:59" s="30" customFormat="1" ht="15" customHeight="1" x14ac:dyDescent="0.25">
      <c r="A22" s="16">
        <f t="shared" si="13"/>
        <v>20</v>
      </c>
      <c r="B22" s="17">
        <v>2412</v>
      </c>
      <c r="C22" s="17" t="s">
        <v>171</v>
      </c>
      <c r="D22" s="16" t="s">
        <v>126</v>
      </c>
      <c r="E22" s="18" t="s">
        <v>115</v>
      </c>
      <c r="F22" s="19">
        <v>45444</v>
      </c>
      <c r="G22" s="19">
        <v>45808</v>
      </c>
      <c r="H22" s="16"/>
      <c r="I22" s="20" t="s">
        <v>0</v>
      </c>
      <c r="J22" s="21">
        <v>1030</v>
      </c>
      <c r="K22" s="21">
        <v>3955.7</v>
      </c>
      <c r="L22" s="21">
        <v>3311.55</v>
      </c>
      <c r="M22" s="21"/>
      <c r="N22" s="21"/>
      <c r="O22" s="21"/>
      <c r="P22" s="21"/>
      <c r="Q22" s="21">
        <v>630</v>
      </c>
      <c r="R22" s="21"/>
      <c r="S22" s="21"/>
      <c r="T22" s="21"/>
      <c r="U22" s="21"/>
      <c r="V22" s="21"/>
      <c r="W22" s="21">
        <v>150</v>
      </c>
      <c r="X22" s="21" t="str">
        <f t="shared" si="37"/>
        <v/>
      </c>
      <c r="Y22" s="53">
        <v>-292</v>
      </c>
      <c r="Z22" s="22">
        <f t="shared" si="28"/>
        <v>8785.25</v>
      </c>
      <c r="AA22" s="23">
        <v>10038</v>
      </c>
      <c r="AB22" s="24">
        <v>803.04</v>
      </c>
      <c r="AC22" s="24">
        <v>200.76</v>
      </c>
      <c r="AD22" s="24">
        <v>50.19</v>
      </c>
      <c r="AE22" s="23">
        <v>10038</v>
      </c>
      <c r="AF22" s="23">
        <v>703</v>
      </c>
      <c r="AG22" s="22">
        <f t="shared" si="29"/>
        <v>1756.99</v>
      </c>
      <c r="AH22" s="25"/>
      <c r="AI22" s="25"/>
      <c r="AJ22" s="25"/>
      <c r="AK22" s="22">
        <f t="shared" si="2"/>
        <v>7028.26</v>
      </c>
      <c r="AL22" s="23">
        <v>10038</v>
      </c>
      <c r="AM22" s="23">
        <v>10038</v>
      </c>
      <c r="AN22" s="23">
        <f t="shared" si="30"/>
        <v>1606.08</v>
      </c>
      <c r="AO22" s="23">
        <f t="shared" si="38"/>
        <v>903.42</v>
      </c>
      <c r="AP22" s="23">
        <f t="shared" si="31"/>
        <v>50.19</v>
      </c>
      <c r="AQ22" s="23">
        <f t="shared" si="32"/>
        <v>25.7</v>
      </c>
      <c r="AR22" s="23"/>
      <c r="AS22" s="23">
        <f t="shared" si="33"/>
        <v>703</v>
      </c>
      <c r="AT22" s="23">
        <f t="shared" si="34"/>
        <v>150.57</v>
      </c>
      <c r="AU22" s="22">
        <f t="shared" si="35"/>
        <v>3438.96</v>
      </c>
      <c r="AV22" s="22">
        <v>160</v>
      </c>
      <c r="AW22" s="22">
        <f t="shared" si="9"/>
        <v>12384.21</v>
      </c>
      <c r="AX22" s="22"/>
      <c r="AY22" s="26"/>
      <c r="AZ22" s="39"/>
      <c r="BA22" s="22">
        <v>255</v>
      </c>
      <c r="BB22" s="28">
        <f t="shared" si="36"/>
        <v>12639.21</v>
      </c>
      <c r="BC22" s="22">
        <f t="shared" si="26"/>
        <v>758.35</v>
      </c>
      <c r="BD22" s="22">
        <f t="shared" si="27"/>
        <v>13397.56</v>
      </c>
      <c r="BG22" s="29"/>
    </row>
    <row r="23" spans="1:59" s="30" customFormat="1" ht="15" customHeight="1" x14ac:dyDescent="0.25">
      <c r="A23" s="16">
        <f t="shared" si="13"/>
        <v>21</v>
      </c>
      <c r="B23" s="17">
        <v>2412</v>
      </c>
      <c r="C23" s="17" t="s">
        <v>204</v>
      </c>
      <c r="D23" s="54" t="s">
        <v>203</v>
      </c>
      <c r="E23" s="18" t="s">
        <v>116</v>
      </c>
      <c r="F23" s="19">
        <v>45444</v>
      </c>
      <c r="G23" s="19">
        <v>45808</v>
      </c>
      <c r="H23" s="16"/>
      <c r="I23" s="20" t="s">
        <v>0</v>
      </c>
      <c r="J23" s="21">
        <v>900</v>
      </c>
      <c r="K23" s="21">
        <v>1665.4</v>
      </c>
      <c r="L23" s="21">
        <v>2208.6999999999998</v>
      </c>
      <c r="M23" s="21"/>
      <c r="N23" s="21"/>
      <c r="O23" s="21"/>
      <c r="P23" s="21"/>
      <c r="Q23" s="21">
        <v>630</v>
      </c>
      <c r="R23" s="21"/>
      <c r="S23" s="21"/>
      <c r="T23" s="21"/>
      <c r="U23" s="21"/>
      <c r="V23" s="21"/>
      <c r="W23" s="21">
        <v>150</v>
      </c>
      <c r="X23" s="21" t="str">
        <f t="shared" si="37"/>
        <v/>
      </c>
      <c r="Y23" s="53">
        <v>-720</v>
      </c>
      <c r="Z23" s="22">
        <f t="shared" si="28"/>
        <v>4834.1000000000004</v>
      </c>
      <c r="AA23" s="23">
        <v>7384</v>
      </c>
      <c r="AB23" s="24">
        <v>590.72</v>
      </c>
      <c r="AC23" s="24">
        <v>147.68</v>
      </c>
      <c r="AD23" s="24">
        <v>36.92</v>
      </c>
      <c r="AE23" s="23">
        <v>7375</v>
      </c>
      <c r="AF23" s="23">
        <v>516</v>
      </c>
      <c r="AG23" s="22">
        <f t="shared" si="29"/>
        <v>1291.3200000000002</v>
      </c>
      <c r="AH23" s="25"/>
      <c r="AI23" s="25"/>
      <c r="AJ23" s="25"/>
      <c r="AK23" s="22">
        <f t="shared" si="2"/>
        <v>3542.78</v>
      </c>
      <c r="AL23" s="23">
        <v>7384</v>
      </c>
      <c r="AM23" s="23">
        <v>7375</v>
      </c>
      <c r="AN23" s="23">
        <f t="shared" si="30"/>
        <v>1181.44</v>
      </c>
      <c r="AO23" s="23">
        <v>664.56</v>
      </c>
      <c r="AP23" s="23">
        <f t="shared" si="31"/>
        <v>36.92</v>
      </c>
      <c r="AQ23" s="23">
        <f t="shared" si="32"/>
        <v>18.899999999999999</v>
      </c>
      <c r="AR23" s="23"/>
      <c r="AS23" s="23">
        <f t="shared" si="33"/>
        <v>516</v>
      </c>
      <c r="AT23" s="23">
        <f t="shared" si="34"/>
        <v>110.76</v>
      </c>
      <c r="AU23" s="22">
        <f t="shared" si="35"/>
        <v>2528.5800000000004</v>
      </c>
      <c r="AV23" s="22">
        <v>81</v>
      </c>
      <c r="AW23" s="22">
        <f t="shared" si="9"/>
        <v>7443.68</v>
      </c>
      <c r="AX23" s="22"/>
      <c r="AY23" s="37"/>
      <c r="AZ23" s="42"/>
      <c r="BA23" s="22">
        <v>255</v>
      </c>
      <c r="BB23" s="28">
        <f t="shared" si="36"/>
        <v>7698.68</v>
      </c>
      <c r="BC23" s="22">
        <f t="shared" si="26"/>
        <v>461.92</v>
      </c>
      <c r="BD23" s="22">
        <f t="shared" si="27"/>
        <v>8160.6</v>
      </c>
      <c r="BG23" s="29"/>
    </row>
    <row r="24" spans="1:59" s="30" customFormat="1" ht="15" customHeight="1" x14ac:dyDescent="0.25">
      <c r="A24" s="16">
        <f t="shared" si="13"/>
        <v>22</v>
      </c>
      <c r="B24" s="17">
        <v>2412</v>
      </c>
      <c r="C24" s="17" t="s">
        <v>172</v>
      </c>
      <c r="D24" s="16" t="s">
        <v>157</v>
      </c>
      <c r="E24" s="18" t="s">
        <v>158</v>
      </c>
      <c r="F24" s="19">
        <v>45444</v>
      </c>
      <c r="G24" s="19">
        <v>45808</v>
      </c>
      <c r="H24" s="16"/>
      <c r="I24" s="20" t="s">
        <v>0</v>
      </c>
      <c r="J24" s="21">
        <v>970</v>
      </c>
      <c r="K24" s="21">
        <v>16337.4</v>
      </c>
      <c r="L24" s="21">
        <v>6867.2</v>
      </c>
      <c r="M24" s="21"/>
      <c r="N24" s="21"/>
      <c r="O24" s="21"/>
      <c r="P24" s="21"/>
      <c r="Q24" s="21">
        <v>630</v>
      </c>
      <c r="R24" s="21"/>
      <c r="S24" s="21"/>
      <c r="T24" s="21"/>
      <c r="U24" s="21"/>
      <c r="V24" s="21"/>
      <c r="W24" s="21">
        <v>150</v>
      </c>
      <c r="X24" s="21" t="str">
        <f t="shared" si="37"/>
        <v/>
      </c>
      <c r="Y24" s="53">
        <v>-400</v>
      </c>
      <c r="Z24" s="22">
        <f t="shared" si="28"/>
        <v>24554.600000000002</v>
      </c>
      <c r="AA24" s="23">
        <v>12999</v>
      </c>
      <c r="AB24" s="24">
        <v>1039.92</v>
      </c>
      <c r="AC24" s="24">
        <v>259.98</v>
      </c>
      <c r="AD24" s="24">
        <v>65</v>
      </c>
      <c r="AE24" s="23">
        <v>12999</v>
      </c>
      <c r="AF24" s="23">
        <v>910</v>
      </c>
      <c r="AG24" s="22">
        <f t="shared" si="29"/>
        <v>2274.9</v>
      </c>
      <c r="AH24" s="25"/>
      <c r="AI24" s="25"/>
      <c r="AJ24" s="25"/>
      <c r="AK24" s="22">
        <f t="shared" si="2"/>
        <v>22279.7</v>
      </c>
      <c r="AL24" s="23">
        <v>12999</v>
      </c>
      <c r="AM24" s="23">
        <v>12999</v>
      </c>
      <c r="AN24" s="23">
        <f t="shared" si="30"/>
        <v>2079.84</v>
      </c>
      <c r="AO24" s="23">
        <v>1169.92</v>
      </c>
      <c r="AP24" s="23">
        <f t="shared" si="31"/>
        <v>65</v>
      </c>
      <c r="AQ24" s="23">
        <f t="shared" si="32"/>
        <v>33.28</v>
      </c>
      <c r="AR24" s="23"/>
      <c r="AS24" s="23">
        <f t="shared" si="33"/>
        <v>910</v>
      </c>
      <c r="AT24" s="23">
        <f t="shared" si="34"/>
        <v>194.99</v>
      </c>
      <c r="AU24" s="22">
        <f t="shared" si="35"/>
        <v>4453.0300000000007</v>
      </c>
      <c r="AV24" s="22">
        <v>475</v>
      </c>
      <c r="AW24" s="22">
        <f t="shared" si="9"/>
        <v>29482.630000000005</v>
      </c>
      <c r="AX24" s="22"/>
      <c r="AY24" s="26"/>
      <c r="AZ24" s="43"/>
      <c r="BA24" s="22">
        <v>255</v>
      </c>
      <c r="BB24" s="28">
        <f t="shared" si="36"/>
        <v>29737.63</v>
      </c>
      <c r="BC24" s="22">
        <f t="shared" si="26"/>
        <v>1784.26</v>
      </c>
      <c r="BD24" s="22">
        <f t="shared" si="27"/>
        <v>31521.89</v>
      </c>
      <c r="BG24" s="29"/>
    </row>
    <row r="25" spans="1:59" s="30" customFormat="1" ht="15" customHeight="1" x14ac:dyDescent="0.25">
      <c r="A25" s="16">
        <f t="shared" si="13"/>
        <v>23</v>
      </c>
      <c r="B25" s="17">
        <v>2412</v>
      </c>
      <c r="C25" s="17" t="s">
        <v>173</v>
      </c>
      <c r="D25" s="16" t="s">
        <v>159</v>
      </c>
      <c r="E25" s="18" t="s">
        <v>160</v>
      </c>
      <c r="F25" s="19">
        <v>45444</v>
      </c>
      <c r="G25" s="19">
        <v>45808</v>
      </c>
      <c r="H25" s="16"/>
      <c r="I25" s="20" t="s">
        <v>0</v>
      </c>
      <c r="J25" s="21">
        <v>800</v>
      </c>
      <c r="K25" s="21">
        <v>4358.1000000000004</v>
      </c>
      <c r="L25" s="21">
        <v>2202.6</v>
      </c>
      <c r="M25" s="21"/>
      <c r="N25" s="21"/>
      <c r="O25" s="21"/>
      <c r="P25" s="21"/>
      <c r="Q25" s="21">
        <v>630</v>
      </c>
      <c r="R25" s="21"/>
      <c r="S25" s="21"/>
      <c r="T25" s="21"/>
      <c r="U25" s="21"/>
      <c r="V25" s="21"/>
      <c r="W25" s="21">
        <v>150</v>
      </c>
      <c r="X25" s="21" t="str">
        <f t="shared" si="37"/>
        <v/>
      </c>
      <c r="Y25" s="53">
        <v>-440.5</v>
      </c>
      <c r="Z25" s="22">
        <f t="shared" si="28"/>
        <v>7700.2000000000007</v>
      </c>
      <c r="AA25" s="23">
        <v>7384</v>
      </c>
      <c r="AB25" s="24">
        <v>590.72</v>
      </c>
      <c r="AC25" s="24">
        <v>147.68</v>
      </c>
      <c r="AD25" s="24">
        <v>36.92</v>
      </c>
      <c r="AE25" s="23">
        <v>3607</v>
      </c>
      <c r="AF25" s="23">
        <v>252</v>
      </c>
      <c r="AG25" s="22">
        <f t="shared" si="29"/>
        <v>1027.3200000000002</v>
      </c>
      <c r="AH25" s="25"/>
      <c r="AI25" s="25"/>
      <c r="AJ25" s="25"/>
      <c r="AK25" s="22">
        <f t="shared" si="2"/>
        <v>6672.880000000001</v>
      </c>
      <c r="AL25" s="23">
        <v>7384</v>
      </c>
      <c r="AM25" s="23">
        <v>3607</v>
      </c>
      <c r="AN25" s="23">
        <f t="shared" si="30"/>
        <v>1181.44</v>
      </c>
      <c r="AO25" s="23">
        <f t="shared" si="38"/>
        <v>664.56</v>
      </c>
      <c r="AP25" s="23">
        <f t="shared" si="31"/>
        <v>36.92</v>
      </c>
      <c r="AQ25" s="23">
        <f t="shared" si="32"/>
        <v>18.899999999999999</v>
      </c>
      <c r="AR25" s="23"/>
      <c r="AS25" s="23">
        <f t="shared" si="33"/>
        <v>252</v>
      </c>
      <c r="AT25" s="23">
        <f t="shared" si="34"/>
        <v>110.76</v>
      </c>
      <c r="AU25" s="22">
        <f t="shared" si="35"/>
        <v>2264.5800000000004</v>
      </c>
      <c r="AV25" s="22">
        <v>138</v>
      </c>
      <c r="AW25" s="22">
        <f t="shared" si="9"/>
        <v>10102.780000000001</v>
      </c>
      <c r="AX25" s="22"/>
      <c r="AY25" s="37"/>
      <c r="AZ25" s="42"/>
      <c r="BA25" s="22">
        <v>255</v>
      </c>
      <c r="BB25" s="28">
        <f t="shared" si="36"/>
        <v>10357.780000000001</v>
      </c>
      <c r="BC25" s="22">
        <f t="shared" si="26"/>
        <v>621.47</v>
      </c>
      <c r="BD25" s="22">
        <f t="shared" si="27"/>
        <v>10979.25</v>
      </c>
      <c r="BG25" s="29"/>
    </row>
    <row r="26" spans="1:59" s="30" customFormat="1" ht="15" customHeight="1" x14ac:dyDescent="0.25">
      <c r="A26" s="16">
        <f t="shared" si="13"/>
        <v>24</v>
      </c>
      <c r="B26" s="17">
        <v>2412</v>
      </c>
      <c r="C26" s="17" t="s">
        <v>174</v>
      </c>
      <c r="D26" s="16" t="s">
        <v>202</v>
      </c>
      <c r="E26" s="18" t="s">
        <v>105</v>
      </c>
      <c r="F26" s="19">
        <v>45444</v>
      </c>
      <c r="G26" s="19">
        <v>45808</v>
      </c>
      <c r="H26" s="16"/>
      <c r="I26" s="20" t="s">
        <v>0</v>
      </c>
      <c r="J26" s="21">
        <v>1030</v>
      </c>
      <c r="K26" s="21">
        <v>2304</v>
      </c>
      <c r="L26" s="21">
        <v>1935.6</v>
      </c>
      <c r="M26" s="21"/>
      <c r="N26" s="21"/>
      <c r="O26" s="21"/>
      <c r="P26" s="21"/>
      <c r="Q26" s="21">
        <v>630</v>
      </c>
      <c r="R26" s="21"/>
      <c r="S26" s="21"/>
      <c r="T26" s="21"/>
      <c r="U26" s="21"/>
      <c r="V26" s="21"/>
      <c r="W26" s="21">
        <v>150</v>
      </c>
      <c r="X26" s="21">
        <f t="shared" si="37"/>
        <v>429.7199999999998</v>
      </c>
      <c r="Y26" s="53">
        <v>-1800</v>
      </c>
      <c r="Z26" s="22">
        <f t="shared" si="28"/>
        <v>4679.32</v>
      </c>
      <c r="AA26" s="23">
        <v>7384</v>
      </c>
      <c r="AB26" s="24">
        <v>590.72</v>
      </c>
      <c r="AC26" s="24">
        <v>147.68</v>
      </c>
      <c r="AD26" s="24">
        <v>36.92</v>
      </c>
      <c r="AE26" s="23">
        <v>6207</v>
      </c>
      <c r="AF26" s="23">
        <v>434</v>
      </c>
      <c r="AG26" s="22">
        <f t="shared" si="29"/>
        <v>1209.3200000000002</v>
      </c>
      <c r="AH26" s="25"/>
      <c r="AI26" s="25"/>
      <c r="AJ26" s="25"/>
      <c r="AK26" s="22">
        <f t="shared" si="2"/>
        <v>3469.9999999999995</v>
      </c>
      <c r="AL26" s="23">
        <v>7384</v>
      </c>
      <c r="AM26" s="23">
        <v>6207</v>
      </c>
      <c r="AN26" s="23">
        <f t="shared" si="30"/>
        <v>1181.44</v>
      </c>
      <c r="AO26" s="23">
        <f t="shared" si="38"/>
        <v>664.56</v>
      </c>
      <c r="AP26" s="23">
        <f t="shared" si="31"/>
        <v>36.92</v>
      </c>
      <c r="AQ26" s="23">
        <f t="shared" si="32"/>
        <v>18.899999999999999</v>
      </c>
      <c r="AR26" s="23"/>
      <c r="AS26" s="23">
        <f t="shared" si="33"/>
        <v>434</v>
      </c>
      <c r="AT26" s="23">
        <f t="shared" si="34"/>
        <v>110.76</v>
      </c>
      <c r="AU26" s="22">
        <f t="shared" si="35"/>
        <v>2446.5800000000004</v>
      </c>
      <c r="AV26" s="22">
        <v>69</v>
      </c>
      <c r="AW26" s="22">
        <f t="shared" si="9"/>
        <v>7194.9</v>
      </c>
      <c r="AX26" s="22">
        <v>855.32</v>
      </c>
      <c r="AY26" s="37">
        <f>-X26</f>
        <v>-429.7199999999998</v>
      </c>
      <c r="AZ26" s="55" t="s">
        <v>213</v>
      </c>
      <c r="BA26" s="22">
        <v>255</v>
      </c>
      <c r="BB26" s="28">
        <f t="shared" si="36"/>
        <v>7020.18</v>
      </c>
      <c r="BC26" s="22">
        <f t="shared" si="26"/>
        <v>421.21</v>
      </c>
      <c r="BD26" s="22">
        <f t="shared" si="27"/>
        <v>7441.39</v>
      </c>
      <c r="BG26" s="29"/>
    </row>
    <row r="27" spans="1:59" s="30" customFormat="1" ht="15" customHeight="1" x14ac:dyDescent="0.25">
      <c r="A27" s="16">
        <f t="shared" si="13"/>
        <v>25</v>
      </c>
      <c r="B27" s="17">
        <v>2412</v>
      </c>
      <c r="C27" s="17" t="s">
        <v>175</v>
      </c>
      <c r="D27" s="51" t="s">
        <v>207</v>
      </c>
      <c r="E27" s="18" t="s">
        <v>106</v>
      </c>
      <c r="F27" s="19">
        <v>45444</v>
      </c>
      <c r="G27" s="19">
        <v>45808</v>
      </c>
      <c r="H27" s="16"/>
      <c r="I27" s="20" t="s">
        <v>0</v>
      </c>
      <c r="J27" s="21">
        <v>950</v>
      </c>
      <c r="K27" s="21">
        <v>1800</v>
      </c>
      <c r="L27" s="21">
        <v>1240.9000000000001</v>
      </c>
      <c r="M27" s="21"/>
      <c r="N27" s="21"/>
      <c r="O27" s="21"/>
      <c r="P27" s="21"/>
      <c r="Q27" s="21">
        <v>630</v>
      </c>
      <c r="R27" s="21"/>
      <c r="S27" s="21"/>
      <c r="T27" s="21"/>
      <c r="U27" s="21"/>
      <c r="V27" s="21"/>
      <c r="W27" s="21">
        <v>150</v>
      </c>
      <c r="X27" s="21">
        <f t="shared" si="37"/>
        <v>624.42000000000007</v>
      </c>
      <c r="Y27" s="53">
        <v>-800</v>
      </c>
      <c r="Z27" s="22">
        <f t="shared" si="28"/>
        <v>4595.32</v>
      </c>
      <c r="AA27" s="23">
        <v>7384</v>
      </c>
      <c r="AB27" s="24">
        <v>590.72</v>
      </c>
      <c r="AC27" s="24">
        <v>147.68</v>
      </c>
      <c r="AD27" s="24">
        <v>36.92</v>
      </c>
      <c r="AE27" s="23">
        <v>4997</v>
      </c>
      <c r="AF27" s="23">
        <v>350</v>
      </c>
      <c r="AG27" s="22">
        <f t="shared" si="29"/>
        <v>1125.3200000000002</v>
      </c>
      <c r="AH27" s="25"/>
      <c r="AI27" s="25"/>
      <c r="AJ27" s="25"/>
      <c r="AK27" s="22">
        <f t="shared" si="2"/>
        <v>3469.9999999999995</v>
      </c>
      <c r="AL27" s="23">
        <v>7384</v>
      </c>
      <c r="AM27" s="23">
        <v>4997</v>
      </c>
      <c r="AN27" s="23">
        <f t="shared" si="30"/>
        <v>1181.44</v>
      </c>
      <c r="AO27" s="23">
        <f t="shared" si="38"/>
        <v>664.56</v>
      </c>
      <c r="AP27" s="23">
        <f t="shared" si="31"/>
        <v>36.92</v>
      </c>
      <c r="AQ27" s="23">
        <f t="shared" si="32"/>
        <v>18.899999999999999</v>
      </c>
      <c r="AR27" s="23"/>
      <c r="AS27" s="23">
        <f t="shared" si="33"/>
        <v>350</v>
      </c>
      <c r="AT27" s="23">
        <f t="shared" si="34"/>
        <v>110.76</v>
      </c>
      <c r="AU27" s="22">
        <f t="shared" si="35"/>
        <v>2362.5800000000004</v>
      </c>
      <c r="AV27" s="22">
        <v>64</v>
      </c>
      <c r="AW27" s="22">
        <f t="shared" si="9"/>
        <v>7021.9</v>
      </c>
      <c r="AX27" s="22">
        <v>352.92</v>
      </c>
      <c r="AY27" s="37">
        <f>-X27</f>
        <v>-624.42000000000007</v>
      </c>
      <c r="AZ27" s="55" t="s">
        <v>214</v>
      </c>
      <c r="BA27" s="22">
        <v>255</v>
      </c>
      <c r="BB27" s="28">
        <f t="shared" si="36"/>
        <v>6652.48</v>
      </c>
      <c r="BC27" s="22">
        <f t="shared" si="26"/>
        <v>399.15</v>
      </c>
      <c r="BD27" s="22">
        <f t="shared" si="27"/>
        <v>7051.63</v>
      </c>
      <c r="BG27" s="29"/>
    </row>
    <row r="28" spans="1:59" s="30" customFormat="1" ht="15" customHeight="1" x14ac:dyDescent="0.25">
      <c r="A28" s="16">
        <f t="shared" si="13"/>
        <v>26</v>
      </c>
      <c r="B28" s="17">
        <v>2412</v>
      </c>
      <c r="C28" s="17" t="s">
        <v>176</v>
      </c>
      <c r="D28" s="16" t="s">
        <v>135</v>
      </c>
      <c r="E28" s="18" t="s">
        <v>112</v>
      </c>
      <c r="F28" s="19">
        <v>45444</v>
      </c>
      <c r="G28" s="19">
        <v>45808</v>
      </c>
      <c r="H28" s="16"/>
      <c r="I28" s="20" t="s">
        <v>0</v>
      </c>
      <c r="J28" s="21">
        <v>1030</v>
      </c>
      <c r="K28" s="21">
        <v>2664</v>
      </c>
      <c r="L28" s="21">
        <v>3037.4</v>
      </c>
      <c r="M28" s="21"/>
      <c r="N28" s="21"/>
      <c r="O28" s="21"/>
      <c r="P28" s="21"/>
      <c r="Q28" s="21">
        <v>630</v>
      </c>
      <c r="R28" s="21"/>
      <c r="S28" s="21"/>
      <c r="T28" s="21"/>
      <c r="U28" s="21"/>
      <c r="V28" s="21"/>
      <c r="W28" s="21">
        <v>150</v>
      </c>
      <c r="X28" s="21">
        <f t="shared" si="37"/>
        <v>53.080000000000382</v>
      </c>
      <c r="Y28" s="53">
        <v>-2100</v>
      </c>
      <c r="Z28" s="22">
        <f t="shared" si="28"/>
        <v>5464.48</v>
      </c>
      <c r="AA28" s="23">
        <v>11395</v>
      </c>
      <c r="AB28" s="24">
        <v>911.6</v>
      </c>
      <c r="AC28" s="24">
        <v>227.9</v>
      </c>
      <c r="AD28" s="24">
        <v>56.98</v>
      </c>
      <c r="AE28" s="23">
        <v>11395</v>
      </c>
      <c r="AF28" s="23">
        <v>798</v>
      </c>
      <c r="AG28" s="22">
        <f t="shared" si="29"/>
        <v>1994.48</v>
      </c>
      <c r="AH28" s="25"/>
      <c r="AI28" s="25"/>
      <c r="AJ28" s="25"/>
      <c r="AK28" s="22">
        <f t="shared" si="2"/>
        <v>3469.9999999999995</v>
      </c>
      <c r="AL28" s="23">
        <v>11395</v>
      </c>
      <c r="AM28" s="23">
        <v>11395</v>
      </c>
      <c r="AN28" s="23">
        <f t="shared" si="30"/>
        <v>1823.2</v>
      </c>
      <c r="AO28" s="23">
        <v>1025.56</v>
      </c>
      <c r="AP28" s="23">
        <f t="shared" si="31"/>
        <v>56.98</v>
      </c>
      <c r="AQ28" s="23">
        <f t="shared" si="32"/>
        <v>29.17</v>
      </c>
      <c r="AR28" s="23"/>
      <c r="AS28" s="23">
        <f t="shared" si="33"/>
        <v>798</v>
      </c>
      <c r="AT28" s="23">
        <f t="shared" si="34"/>
        <v>170.93</v>
      </c>
      <c r="AU28" s="22">
        <f t="shared" si="35"/>
        <v>3903.84</v>
      </c>
      <c r="AV28" s="22">
        <v>93</v>
      </c>
      <c r="AW28" s="22">
        <f t="shared" si="9"/>
        <v>9461.32</v>
      </c>
      <c r="AX28" s="22">
        <v>1399.78</v>
      </c>
      <c r="AY28" s="26">
        <f>-X28</f>
        <v>-53.080000000000382</v>
      </c>
      <c r="AZ28" s="55" t="s">
        <v>215</v>
      </c>
      <c r="BA28" s="22">
        <v>255</v>
      </c>
      <c r="BB28" s="28">
        <f t="shared" si="36"/>
        <v>9663.24</v>
      </c>
      <c r="BC28" s="22">
        <f t="shared" si="26"/>
        <v>579.79</v>
      </c>
      <c r="BD28" s="22">
        <f t="shared" si="27"/>
        <v>10243.030000000001</v>
      </c>
      <c r="BG28" s="29"/>
    </row>
    <row r="29" spans="1:59" s="30" customFormat="1" ht="15" customHeight="1" x14ac:dyDescent="0.25">
      <c r="A29" s="16">
        <f t="shared" si="13"/>
        <v>27</v>
      </c>
      <c r="B29" s="17">
        <v>2412</v>
      </c>
      <c r="C29" s="17" t="s">
        <v>177</v>
      </c>
      <c r="D29" s="16" t="s">
        <v>161</v>
      </c>
      <c r="E29" s="18" t="s">
        <v>162</v>
      </c>
      <c r="F29" s="19">
        <v>45444</v>
      </c>
      <c r="G29" s="19">
        <v>45808</v>
      </c>
      <c r="H29" s="16"/>
      <c r="I29" s="20" t="s">
        <v>0</v>
      </c>
      <c r="J29" s="21">
        <v>1400</v>
      </c>
      <c r="K29" s="21">
        <v>9464</v>
      </c>
      <c r="L29" s="21">
        <v>447.15</v>
      </c>
      <c r="M29" s="21"/>
      <c r="N29" s="21"/>
      <c r="O29" s="21"/>
      <c r="P29" s="21"/>
      <c r="Q29" s="21">
        <v>630</v>
      </c>
      <c r="R29" s="21"/>
      <c r="S29" s="21"/>
      <c r="T29" s="21"/>
      <c r="U29" s="21"/>
      <c r="V29" s="21"/>
      <c r="W29" s="21">
        <v>150</v>
      </c>
      <c r="X29" s="21" t="str">
        <f t="shared" si="37"/>
        <v/>
      </c>
      <c r="Y29" s="53">
        <v>-2480</v>
      </c>
      <c r="Z29" s="22">
        <f t="shared" si="28"/>
        <v>9611.15</v>
      </c>
      <c r="AA29" s="23">
        <v>7384</v>
      </c>
      <c r="AB29" s="24">
        <v>590.72</v>
      </c>
      <c r="AC29" s="24">
        <v>147.68</v>
      </c>
      <c r="AD29" s="24">
        <v>36.92</v>
      </c>
      <c r="AE29" s="23">
        <v>6844</v>
      </c>
      <c r="AF29" s="23">
        <v>479</v>
      </c>
      <c r="AG29" s="22">
        <f t="shared" si="29"/>
        <v>1254.3200000000002</v>
      </c>
      <c r="AH29" s="25"/>
      <c r="AI29" s="25"/>
      <c r="AJ29" s="25"/>
      <c r="AK29" s="22">
        <f t="shared" si="2"/>
        <v>8356.83</v>
      </c>
      <c r="AL29" s="23">
        <v>7384</v>
      </c>
      <c r="AM29" s="23">
        <v>6844</v>
      </c>
      <c r="AN29" s="23">
        <f t="shared" si="30"/>
        <v>1181.44</v>
      </c>
      <c r="AO29" s="23">
        <f t="shared" si="38"/>
        <v>664.56</v>
      </c>
      <c r="AP29" s="23">
        <f t="shared" si="31"/>
        <v>36.92</v>
      </c>
      <c r="AQ29" s="23">
        <f t="shared" si="32"/>
        <v>18.899999999999999</v>
      </c>
      <c r="AR29" s="23"/>
      <c r="AS29" s="23">
        <f t="shared" si="33"/>
        <v>479</v>
      </c>
      <c r="AT29" s="23">
        <f t="shared" si="34"/>
        <v>110.76</v>
      </c>
      <c r="AU29" s="22">
        <f t="shared" si="35"/>
        <v>2491.5800000000004</v>
      </c>
      <c r="AV29" s="22">
        <v>177</v>
      </c>
      <c r="AW29" s="22">
        <f t="shared" si="9"/>
        <v>12279.73</v>
      </c>
      <c r="AX29" s="22"/>
      <c r="AY29" s="37"/>
      <c r="AZ29" s="56"/>
      <c r="BA29" s="22">
        <v>255</v>
      </c>
      <c r="BB29" s="28">
        <f t="shared" si="36"/>
        <v>12534.73</v>
      </c>
      <c r="BC29" s="22">
        <f t="shared" si="26"/>
        <v>752.08</v>
      </c>
      <c r="BD29" s="22">
        <f t="shared" si="27"/>
        <v>13286.81</v>
      </c>
      <c r="BG29" s="29"/>
    </row>
    <row r="30" spans="1:59" s="30" customFormat="1" ht="15" customHeight="1" x14ac:dyDescent="0.25">
      <c r="A30" s="16">
        <f t="shared" si="13"/>
        <v>28</v>
      </c>
      <c r="B30" s="17">
        <v>2412</v>
      </c>
      <c r="C30" s="17" t="s">
        <v>178</v>
      </c>
      <c r="D30" s="16" t="s">
        <v>163</v>
      </c>
      <c r="E30" s="18" t="s">
        <v>164</v>
      </c>
      <c r="F30" s="19">
        <v>45444</v>
      </c>
      <c r="G30" s="19">
        <v>45808</v>
      </c>
      <c r="H30" s="16"/>
      <c r="I30" s="20" t="s">
        <v>0</v>
      </c>
      <c r="J30" s="21">
        <v>1300</v>
      </c>
      <c r="K30" s="21">
        <v>1800</v>
      </c>
      <c r="L30" s="21">
        <v>1088</v>
      </c>
      <c r="M30" s="21"/>
      <c r="N30" s="21"/>
      <c r="O30" s="21"/>
      <c r="P30" s="21"/>
      <c r="Q30" s="21">
        <v>630</v>
      </c>
      <c r="R30" s="21"/>
      <c r="S30" s="21"/>
      <c r="T30" s="21"/>
      <c r="U30" s="21"/>
      <c r="V30" s="21"/>
      <c r="W30" s="21">
        <v>150</v>
      </c>
      <c r="X30" s="21">
        <f t="shared" si="37"/>
        <v>1119.3200000000002</v>
      </c>
      <c r="Y30" s="53">
        <v>-1483</v>
      </c>
      <c r="Z30" s="22">
        <f t="shared" si="28"/>
        <v>4604.32</v>
      </c>
      <c r="AA30" s="23">
        <v>7384</v>
      </c>
      <c r="AB30" s="24">
        <v>590.72</v>
      </c>
      <c r="AC30" s="24">
        <v>147.68</v>
      </c>
      <c r="AD30" s="24">
        <v>36.92</v>
      </c>
      <c r="AE30" s="23">
        <v>5131</v>
      </c>
      <c r="AF30" s="23">
        <v>359</v>
      </c>
      <c r="AG30" s="22">
        <f t="shared" si="29"/>
        <v>1134.3200000000002</v>
      </c>
      <c r="AH30" s="25"/>
      <c r="AI30" s="25"/>
      <c r="AJ30" s="25"/>
      <c r="AK30" s="22">
        <f t="shared" si="2"/>
        <v>3469.9999999999995</v>
      </c>
      <c r="AL30" s="23">
        <v>7384</v>
      </c>
      <c r="AM30" s="23">
        <v>5131</v>
      </c>
      <c r="AN30" s="23">
        <f t="shared" si="30"/>
        <v>1181.44</v>
      </c>
      <c r="AO30" s="23">
        <f t="shared" si="38"/>
        <v>664.56</v>
      </c>
      <c r="AP30" s="23">
        <f t="shared" si="31"/>
        <v>36.92</v>
      </c>
      <c r="AQ30" s="23">
        <f t="shared" si="32"/>
        <v>18.899999999999999</v>
      </c>
      <c r="AR30" s="23"/>
      <c r="AS30" s="23">
        <f t="shared" si="33"/>
        <v>359</v>
      </c>
      <c r="AT30" s="23">
        <f t="shared" si="34"/>
        <v>110.76</v>
      </c>
      <c r="AU30" s="22">
        <f t="shared" si="35"/>
        <v>2371.5800000000004</v>
      </c>
      <c r="AV30" s="22">
        <v>54</v>
      </c>
      <c r="AW30" s="22">
        <f t="shared" si="9"/>
        <v>7029.9</v>
      </c>
      <c r="AX30" s="22">
        <v>1082.92</v>
      </c>
      <c r="AY30" s="37">
        <f>-X30</f>
        <v>-1119.3200000000002</v>
      </c>
      <c r="AZ30" s="55" t="s">
        <v>216</v>
      </c>
      <c r="BA30" s="22">
        <v>255</v>
      </c>
      <c r="BB30" s="28">
        <f t="shared" si="36"/>
        <v>6165.58</v>
      </c>
      <c r="BC30" s="22">
        <f t="shared" si="26"/>
        <v>369.93</v>
      </c>
      <c r="BD30" s="22">
        <f t="shared" si="27"/>
        <v>6535.51</v>
      </c>
      <c r="BG30" s="29"/>
    </row>
    <row r="31" spans="1:59" s="30" customFormat="1" ht="15" customHeight="1" x14ac:dyDescent="0.25">
      <c r="A31" s="16">
        <f t="shared" si="13"/>
        <v>29</v>
      </c>
      <c r="B31" s="17">
        <v>2412</v>
      </c>
      <c r="C31" s="17" t="s">
        <v>179</v>
      </c>
      <c r="D31" s="16" t="s">
        <v>205</v>
      </c>
      <c r="E31" s="18" t="s">
        <v>165</v>
      </c>
      <c r="F31" s="19">
        <v>45444</v>
      </c>
      <c r="G31" s="19">
        <v>45808</v>
      </c>
      <c r="H31" s="16"/>
      <c r="I31" s="20" t="s">
        <v>0</v>
      </c>
      <c r="J31" s="21">
        <v>1030</v>
      </c>
      <c r="K31" s="21">
        <v>2544</v>
      </c>
      <c r="L31" s="21">
        <v>2225.6</v>
      </c>
      <c r="M31" s="21"/>
      <c r="N31" s="21"/>
      <c r="O31" s="21"/>
      <c r="P31" s="21"/>
      <c r="Q31" s="21">
        <v>630</v>
      </c>
      <c r="R31" s="21"/>
      <c r="S31" s="21"/>
      <c r="T31" s="21"/>
      <c r="U31" s="21"/>
      <c r="V31" s="21"/>
      <c r="W31" s="21">
        <v>150</v>
      </c>
      <c r="X31" s="21" t="str">
        <f t="shared" si="37"/>
        <v/>
      </c>
      <c r="Y31" s="53">
        <v>-1848.5</v>
      </c>
      <c r="Z31" s="22">
        <f t="shared" si="28"/>
        <v>4731.1000000000004</v>
      </c>
      <c r="AA31" s="23">
        <v>7384</v>
      </c>
      <c r="AB31" s="24">
        <v>590.72</v>
      </c>
      <c r="AC31" s="24">
        <v>147.68</v>
      </c>
      <c r="AD31" s="24">
        <v>36.92</v>
      </c>
      <c r="AE31" s="23">
        <v>4082</v>
      </c>
      <c r="AF31" s="23">
        <v>286</v>
      </c>
      <c r="AG31" s="22">
        <f t="shared" si="29"/>
        <v>1061.3200000000002</v>
      </c>
      <c r="AH31" s="25"/>
      <c r="AI31" s="25"/>
      <c r="AJ31" s="25"/>
      <c r="AK31" s="22">
        <f t="shared" si="2"/>
        <v>3669.78</v>
      </c>
      <c r="AL31" s="23">
        <v>7384</v>
      </c>
      <c r="AM31" s="23">
        <v>4082</v>
      </c>
      <c r="AN31" s="23">
        <f t="shared" si="30"/>
        <v>1181.44</v>
      </c>
      <c r="AO31" s="23">
        <f t="shared" si="38"/>
        <v>664.56</v>
      </c>
      <c r="AP31" s="23">
        <f t="shared" si="31"/>
        <v>36.92</v>
      </c>
      <c r="AQ31" s="23">
        <f t="shared" si="32"/>
        <v>18.899999999999999</v>
      </c>
      <c r="AR31" s="23"/>
      <c r="AS31" s="23">
        <f t="shared" si="33"/>
        <v>286</v>
      </c>
      <c r="AT31" s="23">
        <f t="shared" si="34"/>
        <v>110.76</v>
      </c>
      <c r="AU31" s="22">
        <f t="shared" si="35"/>
        <v>2298.5800000000004</v>
      </c>
      <c r="AV31" s="22">
        <v>79</v>
      </c>
      <c r="AW31" s="22">
        <f t="shared" si="9"/>
        <v>7108.68</v>
      </c>
      <c r="AX31" s="22">
        <v>961.72</v>
      </c>
      <c r="AY31" s="37">
        <f>-X32</f>
        <v>-585.32000000000016</v>
      </c>
      <c r="AZ31" s="55" t="s">
        <v>217</v>
      </c>
      <c r="BA31" s="22">
        <v>255</v>
      </c>
      <c r="BB31" s="28">
        <f t="shared" si="36"/>
        <v>6778.36</v>
      </c>
      <c r="BC31" s="22">
        <f t="shared" si="26"/>
        <v>406.7</v>
      </c>
      <c r="BD31" s="22">
        <f t="shared" si="27"/>
        <v>7185.06</v>
      </c>
      <c r="BG31" s="29"/>
    </row>
    <row r="32" spans="1:59" s="30" customFormat="1" ht="14.4" customHeight="1" x14ac:dyDescent="0.25">
      <c r="A32" s="16">
        <f t="shared" si="13"/>
        <v>30</v>
      </c>
      <c r="B32" s="17">
        <v>2412</v>
      </c>
      <c r="C32" s="17" t="s">
        <v>180</v>
      </c>
      <c r="D32" s="16" t="s">
        <v>166</v>
      </c>
      <c r="E32" s="18" t="s">
        <v>167</v>
      </c>
      <c r="F32" s="19">
        <v>45444</v>
      </c>
      <c r="G32" s="19">
        <v>45808</v>
      </c>
      <c r="H32" s="16"/>
      <c r="I32" s="20" t="s">
        <v>0</v>
      </c>
      <c r="J32" s="21">
        <v>950</v>
      </c>
      <c r="K32" s="21">
        <v>2304</v>
      </c>
      <c r="L32" s="21">
        <v>2808</v>
      </c>
      <c r="M32" s="21"/>
      <c r="N32" s="21"/>
      <c r="O32" s="21"/>
      <c r="P32" s="21"/>
      <c r="Q32" s="21">
        <v>630</v>
      </c>
      <c r="R32" s="21"/>
      <c r="S32" s="21"/>
      <c r="T32" s="21"/>
      <c r="U32" s="21"/>
      <c r="V32" s="21"/>
      <c r="W32" s="21">
        <v>150</v>
      </c>
      <c r="X32" s="21">
        <f t="shared" si="37"/>
        <v>585.32000000000016</v>
      </c>
      <c r="Y32" s="53">
        <v>-2900</v>
      </c>
      <c r="Z32" s="22">
        <f t="shared" si="28"/>
        <v>4527.32</v>
      </c>
      <c r="AA32" s="23">
        <v>7384</v>
      </c>
      <c r="AB32" s="24">
        <v>590.72</v>
      </c>
      <c r="AC32" s="24">
        <v>147.68</v>
      </c>
      <c r="AD32" s="24">
        <v>36.92</v>
      </c>
      <c r="AE32" s="23">
        <v>4035</v>
      </c>
      <c r="AF32" s="23">
        <v>282</v>
      </c>
      <c r="AG32" s="22">
        <f t="shared" si="29"/>
        <v>1057.3200000000002</v>
      </c>
      <c r="AH32" s="25"/>
      <c r="AI32" s="25"/>
      <c r="AJ32" s="25"/>
      <c r="AK32" s="22">
        <f t="shared" si="2"/>
        <v>3469.9999999999995</v>
      </c>
      <c r="AL32" s="23">
        <v>7384</v>
      </c>
      <c r="AM32" s="23">
        <v>4035</v>
      </c>
      <c r="AN32" s="23">
        <f t="shared" si="30"/>
        <v>1181.44</v>
      </c>
      <c r="AO32" s="23">
        <f t="shared" si="38"/>
        <v>664.56</v>
      </c>
      <c r="AP32" s="23">
        <f t="shared" si="31"/>
        <v>36.92</v>
      </c>
      <c r="AQ32" s="23">
        <f t="shared" si="32"/>
        <v>18.899999999999999</v>
      </c>
      <c r="AR32" s="23"/>
      <c r="AS32" s="23">
        <f t="shared" si="33"/>
        <v>282</v>
      </c>
      <c r="AT32" s="23">
        <f t="shared" si="34"/>
        <v>110.76</v>
      </c>
      <c r="AU32" s="22">
        <f t="shared" si="35"/>
        <v>2294.5800000000004</v>
      </c>
      <c r="AV32" s="22">
        <v>63</v>
      </c>
      <c r="AW32" s="22">
        <f t="shared" si="9"/>
        <v>6884.9</v>
      </c>
      <c r="AX32" s="22"/>
      <c r="AY32" s="37"/>
      <c r="AZ32" s="39"/>
      <c r="BA32" s="22">
        <v>255</v>
      </c>
      <c r="BB32" s="28">
        <f t="shared" si="36"/>
        <v>7139.9</v>
      </c>
      <c r="BC32" s="22">
        <f t="shared" si="26"/>
        <v>428.39</v>
      </c>
      <c r="BD32" s="22">
        <f t="shared" si="27"/>
        <v>7568.29</v>
      </c>
      <c r="BG32" s="29"/>
    </row>
    <row r="33" spans="1:59" s="30" customFormat="1" ht="15" customHeight="1" x14ac:dyDescent="0.25">
      <c r="A33" s="16">
        <f t="shared" si="13"/>
        <v>31</v>
      </c>
      <c r="B33" s="17">
        <v>2412</v>
      </c>
      <c r="C33" s="17" t="s">
        <v>181</v>
      </c>
      <c r="D33" s="16" t="s">
        <v>125</v>
      </c>
      <c r="E33" s="18" t="s">
        <v>108</v>
      </c>
      <c r="F33" s="19">
        <v>45444</v>
      </c>
      <c r="G33" s="19">
        <v>45808</v>
      </c>
      <c r="H33" s="16"/>
      <c r="I33" s="20" t="s">
        <v>0</v>
      </c>
      <c r="J33" s="21">
        <v>1030</v>
      </c>
      <c r="K33" s="21">
        <v>4594</v>
      </c>
      <c r="L33" s="21">
        <v>1899.1</v>
      </c>
      <c r="M33" s="21"/>
      <c r="N33" s="21"/>
      <c r="O33" s="21"/>
      <c r="P33" s="21"/>
      <c r="Q33" s="21">
        <v>630</v>
      </c>
      <c r="R33" s="21"/>
      <c r="S33" s="21"/>
      <c r="T33" s="21"/>
      <c r="U33" s="21"/>
      <c r="V33" s="21"/>
      <c r="W33" s="21">
        <v>150</v>
      </c>
      <c r="X33" s="21" t="str">
        <f t="shared" si="37"/>
        <v/>
      </c>
      <c r="Y33" s="53">
        <v>0</v>
      </c>
      <c r="Z33" s="22">
        <f t="shared" si="28"/>
        <v>8303.1</v>
      </c>
      <c r="AA33" s="23">
        <v>7384</v>
      </c>
      <c r="AB33" s="24">
        <v>590.72</v>
      </c>
      <c r="AC33" s="24">
        <v>147.68</v>
      </c>
      <c r="AD33" s="24">
        <v>36.92</v>
      </c>
      <c r="AE33" s="23">
        <v>7287</v>
      </c>
      <c r="AF33" s="23">
        <v>510</v>
      </c>
      <c r="AG33" s="22">
        <f t="shared" si="29"/>
        <v>1285.3200000000002</v>
      </c>
      <c r="AH33" s="25"/>
      <c r="AI33" s="25"/>
      <c r="AJ33" s="25"/>
      <c r="AK33" s="22">
        <f t="shared" si="2"/>
        <v>7017.7800000000007</v>
      </c>
      <c r="AL33" s="23">
        <v>7384</v>
      </c>
      <c r="AM33" s="23">
        <v>7287</v>
      </c>
      <c r="AN33" s="23">
        <f t="shared" si="30"/>
        <v>1181.44</v>
      </c>
      <c r="AO33" s="23">
        <f t="shared" si="38"/>
        <v>664.56</v>
      </c>
      <c r="AP33" s="23">
        <f t="shared" si="31"/>
        <v>36.92</v>
      </c>
      <c r="AQ33" s="23">
        <f t="shared" si="32"/>
        <v>18.899999999999999</v>
      </c>
      <c r="AR33" s="23"/>
      <c r="AS33" s="23">
        <f t="shared" si="33"/>
        <v>510</v>
      </c>
      <c r="AT33" s="23">
        <f t="shared" si="34"/>
        <v>110.76</v>
      </c>
      <c r="AU33" s="22">
        <f t="shared" si="35"/>
        <v>2522.5800000000004</v>
      </c>
      <c r="AV33" s="22">
        <v>150</v>
      </c>
      <c r="AW33" s="22">
        <f t="shared" si="9"/>
        <v>10975.68</v>
      </c>
      <c r="AX33" s="22"/>
      <c r="AY33" s="37"/>
      <c r="AZ33" s="39"/>
      <c r="BA33" s="22">
        <v>255</v>
      </c>
      <c r="BB33" s="28">
        <f t="shared" si="36"/>
        <v>11230.68</v>
      </c>
      <c r="BC33" s="22">
        <f t="shared" si="26"/>
        <v>673.84</v>
      </c>
      <c r="BD33" s="22">
        <f t="shared" si="27"/>
        <v>11904.52</v>
      </c>
      <c r="BG33" s="29"/>
    </row>
    <row r="34" spans="1:59" s="30" customFormat="1" ht="15" customHeight="1" x14ac:dyDescent="0.25">
      <c r="A34" s="16">
        <f t="shared" si="13"/>
        <v>32</v>
      </c>
      <c r="B34" s="17">
        <v>2412</v>
      </c>
      <c r="C34" s="17" t="s">
        <v>182</v>
      </c>
      <c r="D34" s="16" t="s">
        <v>132</v>
      </c>
      <c r="E34" s="18" t="s">
        <v>109</v>
      </c>
      <c r="F34" s="19">
        <v>45444</v>
      </c>
      <c r="G34" s="19">
        <v>45808</v>
      </c>
      <c r="H34" s="16"/>
      <c r="I34" s="20" t="s">
        <v>0</v>
      </c>
      <c r="J34" s="21">
        <v>1300</v>
      </c>
      <c r="K34" s="21">
        <v>3674</v>
      </c>
      <c r="L34" s="21">
        <v>594</v>
      </c>
      <c r="M34" s="21"/>
      <c r="N34" s="21"/>
      <c r="O34" s="21"/>
      <c r="P34" s="21"/>
      <c r="Q34" s="21">
        <v>630</v>
      </c>
      <c r="R34" s="21"/>
      <c r="S34" s="21"/>
      <c r="T34" s="21"/>
      <c r="U34" s="21"/>
      <c r="V34" s="21"/>
      <c r="W34" s="21">
        <v>150</v>
      </c>
      <c r="X34" s="21" t="str">
        <f t="shared" si="37"/>
        <v/>
      </c>
      <c r="Y34" s="53">
        <v>-200</v>
      </c>
      <c r="Z34" s="22">
        <f t="shared" si="28"/>
        <v>6148</v>
      </c>
      <c r="AA34" s="23">
        <v>7384</v>
      </c>
      <c r="AB34" s="24">
        <v>590.72</v>
      </c>
      <c r="AC34" s="24">
        <v>147.68</v>
      </c>
      <c r="AD34" s="24">
        <v>36.92</v>
      </c>
      <c r="AE34" s="23">
        <v>6558</v>
      </c>
      <c r="AF34" s="23">
        <v>459</v>
      </c>
      <c r="AG34" s="22">
        <f t="shared" si="29"/>
        <v>1234.3200000000002</v>
      </c>
      <c r="AH34" s="25"/>
      <c r="AI34" s="25"/>
      <c r="AJ34" s="25"/>
      <c r="AK34" s="22">
        <f t="shared" si="2"/>
        <v>4913.68</v>
      </c>
      <c r="AL34" s="23">
        <v>7384</v>
      </c>
      <c r="AM34" s="23">
        <v>6558</v>
      </c>
      <c r="AN34" s="23">
        <f t="shared" si="30"/>
        <v>1181.44</v>
      </c>
      <c r="AO34" s="23">
        <f t="shared" si="38"/>
        <v>664.56</v>
      </c>
      <c r="AP34" s="23">
        <f t="shared" si="31"/>
        <v>36.92</v>
      </c>
      <c r="AQ34" s="23">
        <f t="shared" si="32"/>
        <v>18.899999999999999</v>
      </c>
      <c r="AR34" s="23"/>
      <c r="AS34" s="23">
        <f t="shared" si="33"/>
        <v>459</v>
      </c>
      <c r="AT34" s="23">
        <f t="shared" si="34"/>
        <v>110.76</v>
      </c>
      <c r="AU34" s="22">
        <f t="shared" si="35"/>
        <v>2471.5800000000004</v>
      </c>
      <c r="AV34" s="22">
        <v>107</v>
      </c>
      <c r="AW34" s="22">
        <f t="shared" si="9"/>
        <v>8726.58</v>
      </c>
      <c r="AX34" s="22"/>
      <c r="AY34" s="37"/>
      <c r="AZ34" s="39"/>
      <c r="BA34" s="22">
        <v>255</v>
      </c>
      <c r="BB34" s="28">
        <f t="shared" si="36"/>
        <v>8981.58</v>
      </c>
      <c r="BC34" s="22">
        <f t="shared" si="26"/>
        <v>538.89</v>
      </c>
      <c r="BD34" s="22">
        <f t="shared" si="27"/>
        <v>9520.4699999999993</v>
      </c>
      <c r="BG34" s="29"/>
    </row>
    <row r="35" spans="1:59" s="30" customFormat="1" ht="15" customHeight="1" x14ac:dyDescent="0.25">
      <c r="A35" s="16">
        <f t="shared" si="13"/>
        <v>33</v>
      </c>
      <c r="B35" s="17">
        <v>2412</v>
      </c>
      <c r="C35" s="17" t="s">
        <v>183</v>
      </c>
      <c r="D35" s="16" t="s">
        <v>130</v>
      </c>
      <c r="E35" s="18" t="s">
        <v>110</v>
      </c>
      <c r="F35" s="19">
        <v>45444</v>
      </c>
      <c r="G35" s="19">
        <v>45808</v>
      </c>
      <c r="H35" s="16"/>
      <c r="I35" s="20" t="s">
        <v>0</v>
      </c>
      <c r="J35" s="21">
        <v>1030</v>
      </c>
      <c r="K35" s="21">
        <v>4457.2</v>
      </c>
      <c r="L35" s="21">
        <v>1933.7</v>
      </c>
      <c r="M35" s="21"/>
      <c r="N35" s="21"/>
      <c r="O35" s="21"/>
      <c r="P35" s="21"/>
      <c r="Q35" s="21">
        <v>630</v>
      </c>
      <c r="R35" s="21"/>
      <c r="S35" s="21"/>
      <c r="T35" s="21"/>
      <c r="U35" s="21"/>
      <c r="V35" s="21"/>
      <c r="W35" s="21">
        <v>150</v>
      </c>
      <c r="X35" s="21" t="str">
        <f t="shared" si="37"/>
        <v/>
      </c>
      <c r="Y35" s="53">
        <v>0</v>
      </c>
      <c r="Z35" s="22">
        <f t="shared" si="28"/>
        <v>8200.9</v>
      </c>
      <c r="AA35" s="23">
        <v>7399</v>
      </c>
      <c r="AB35" s="24">
        <v>591.91999999999996</v>
      </c>
      <c r="AC35" s="24">
        <v>147.97999999999999</v>
      </c>
      <c r="AD35" s="24">
        <v>37</v>
      </c>
      <c r="AE35" s="23">
        <v>7399</v>
      </c>
      <c r="AF35" s="23">
        <v>518</v>
      </c>
      <c r="AG35" s="22">
        <f t="shared" si="29"/>
        <v>1294.9000000000001</v>
      </c>
      <c r="AH35" s="25"/>
      <c r="AI35" s="25"/>
      <c r="AJ35" s="25"/>
      <c r="AK35" s="22">
        <f t="shared" si="2"/>
        <v>6906</v>
      </c>
      <c r="AL35" s="23">
        <v>7399</v>
      </c>
      <c r="AM35" s="23">
        <v>7399</v>
      </c>
      <c r="AN35" s="23">
        <f t="shared" si="30"/>
        <v>1183.8399999999999</v>
      </c>
      <c r="AO35" s="23">
        <v>665.92</v>
      </c>
      <c r="AP35" s="23">
        <f t="shared" si="31"/>
        <v>37</v>
      </c>
      <c r="AQ35" s="23">
        <f t="shared" si="32"/>
        <v>18.940000000000001</v>
      </c>
      <c r="AR35" s="23"/>
      <c r="AS35" s="23">
        <f t="shared" si="33"/>
        <v>518</v>
      </c>
      <c r="AT35" s="23">
        <f t="shared" si="34"/>
        <v>110.99</v>
      </c>
      <c r="AU35" s="22">
        <f t="shared" si="35"/>
        <v>2534.6899999999996</v>
      </c>
      <c r="AV35" s="22">
        <v>148</v>
      </c>
      <c r="AW35" s="22">
        <f t="shared" si="9"/>
        <v>10883.59</v>
      </c>
      <c r="AX35" s="22"/>
      <c r="AY35" s="26"/>
      <c r="AZ35" s="39"/>
      <c r="BA35" s="22">
        <v>255</v>
      </c>
      <c r="BB35" s="28">
        <f t="shared" si="36"/>
        <v>11138.59</v>
      </c>
      <c r="BC35" s="22">
        <f t="shared" si="26"/>
        <v>668.32</v>
      </c>
      <c r="BD35" s="22">
        <f t="shared" si="27"/>
        <v>11806.91</v>
      </c>
      <c r="BG35" s="29"/>
    </row>
    <row r="36" spans="1:59" s="30" customFormat="1" ht="15" customHeight="1" x14ac:dyDescent="0.25">
      <c r="A36" s="16">
        <f t="shared" si="13"/>
        <v>34</v>
      </c>
      <c r="B36" s="17">
        <v>2412</v>
      </c>
      <c r="C36" s="17" t="s">
        <v>184</v>
      </c>
      <c r="D36" s="16" t="s">
        <v>131</v>
      </c>
      <c r="E36" s="18" t="s">
        <v>111</v>
      </c>
      <c r="F36" s="19">
        <v>45444</v>
      </c>
      <c r="G36" s="19">
        <v>45808</v>
      </c>
      <c r="H36" s="16"/>
      <c r="I36" s="20" t="s">
        <v>0</v>
      </c>
      <c r="J36" s="21">
        <v>1030</v>
      </c>
      <c r="K36" s="21">
        <v>5244</v>
      </c>
      <c r="L36" s="21">
        <v>2043.3</v>
      </c>
      <c r="M36" s="21"/>
      <c r="N36" s="21"/>
      <c r="O36" s="21"/>
      <c r="P36" s="21"/>
      <c r="Q36" s="21">
        <v>630</v>
      </c>
      <c r="R36" s="21"/>
      <c r="S36" s="21"/>
      <c r="T36" s="21"/>
      <c r="U36" s="21"/>
      <c r="V36" s="21"/>
      <c r="W36" s="21">
        <v>150</v>
      </c>
      <c r="X36" s="21" t="str">
        <f t="shared" si="37"/>
        <v/>
      </c>
      <c r="Y36" s="53">
        <v>-1000</v>
      </c>
      <c r="Z36" s="22">
        <f t="shared" si="28"/>
        <v>8097.2999999999993</v>
      </c>
      <c r="AA36" s="23">
        <v>7384</v>
      </c>
      <c r="AB36" s="24">
        <v>590.72</v>
      </c>
      <c r="AC36" s="24">
        <v>147.68</v>
      </c>
      <c r="AD36" s="24">
        <v>36.92</v>
      </c>
      <c r="AE36" s="23">
        <v>7155</v>
      </c>
      <c r="AF36" s="23">
        <v>501</v>
      </c>
      <c r="AG36" s="22">
        <f t="shared" si="29"/>
        <v>1276.3200000000002</v>
      </c>
      <c r="AH36" s="25"/>
      <c r="AI36" s="25"/>
      <c r="AJ36" s="25"/>
      <c r="AK36" s="22">
        <f t="shared" si="2"/>
        <v>6820.98</v>
      </c>
      <c r="AL36" s="23">
        <v>7384</v>
      </c>
      <c r="AM36" s="23">
        <v>7155</v>
      </c>
      <c r="AN36" s="23">
        <f t="shared" si="30"/>
        <v>1181.44</v>
      </c>
      <c r="AO36" s="23">
        <f t="shared" si="38"/>
        <v>664.56</v>
      </c>
      <c r="AP36" s="23">
        <f t="shared" si="31"/>
        <v>36.92</v>
      </c>
      <c r="AQ36" s="23">
        <f t="shared" si="32"/>
        <v>18.899999999999999</v>
      </c>
      <c r="AR36" s="23"/>
      <c r="AS36" s="23">
        <f t="shared" si="33"/>
        <v>501</v>
      </c>
      <c r="AT36" s="23">
        <f t="shared" si="34"/>
        <v>110.76</v>
      </c>
      <c r="AU36" s="22">
        <f t="shared" si="35"/>
        <v>2513.5800000000004</v>
      </c>
      <c r="AV36" s="22">
        <v>146</v>
      </c>
      <c r="AW36" s="22">
        <f t="shared" si="9"/>
        <v>10756.88</v>
      </c>
      <c r="AX36" s="22"/>
      <c r="AY36" s="37"/>
      <c r="AZ36" s="39"/>
      <c r="BA36" s="22">
        <v>255</v>
      </c>
      <c r="BB36" s="28">
        <f t="shared" si="36"/>
        <v>11011.88</v>
      </c>
      <c r="BC36" s="22">
        <f t="shared" si="26"/>
        <v>660.71</v>
      </c>
      <c r="BD36" s="22">
        <f t="shared" si="27"/>
        <v>11672.59</v>
      </c>
      <c r="BG36" s="29"/>
    </row>
    <row r="37" spans="1:59" s="30" customFormat="1" ht="15" customHeight="1" x14ac:dyDescent="0.25">
      <c r="A37" s="16">
        <f t="shared" si="13"/>
        <v>35</v>
      </c>
      <c r="B37" s="17">
        <v>2412</v>
      </c>
      <c r="C37" s="17" t="s">
        <v>185</v>
      </c>
      <c r="D37" s="16" t="s">
        <v>123</v>
      </c>
      <c r="E37" s="18" t="s">
        <v>114</v>
      </c>
      <c r="F37" s="19">
        <v>45444</v>
      </c>
      <c r="G37" s="19">
        <v>45808</v>
      </c>
      <c r="H37" s="16"/>
      <c r="I37" s="20" t="s">
        <v>0</v>
      </c>
      <c r="J37" s="21">
        <v>1300</v>
      </c>
      <c r="K37" s="21">
        <v>12032</v>
      </c>
      <c r="L37" s="21">
        <v>1871.8</v>
      </c>
      <c r="M37" s="21"/>
      <c r="N37" s="21"/>
      <c r="O37" s="21"/>
      <c r="P37" s="21"/>
      <c r="Q37" s="21">
        <v>630</v>
      </c>
      <c r="R37" s="21"/>
      <c r="S37" s="21"/>
      <c r="T37" s="21"/>
      <c r="U37" s="21"/>
      <c r="V37" s="21"/>
      <c r="W37" s="21">
        <v>150</v>
      </c>
      <c r="X37" s="21" t="str">
        <f t="shared" si="37"/>
        <v/>
      </c>
      <c r="Y37" s="53">
        <v>0</v>
      </c>
      <c r="Z37" s="22">
        <f t="shared" si="28"/>
        <v>15983.8</v>
      </c>
      <c r="AA37" s="23">
        <v>13189</v>
      </c>
      <c r="AB37" s="24">
        <v>1055.1199999999999</v>
      </c>
      <c r="AC37" s="24">
        <v>263.77999999999997</v>
      </c>
      <c r="AD37" s="24">
        <v>65.95</v>
      </c>
      <c r="AE37" s="23">
        <v>13189</v>
      </c>
      <c r="AF37" s="23">
        <v>923</v>
      </c>
      <c r="AG37" s="22">
        <f t="shared" si="29"/>
        <v>2307.85</v>
      </c>
      <c r="AH37" s="25"/>
      <c r="AI37" s="25"/>
      <c r="AJ37" s="25"/>
      <c r="AK37" s="22">
        <f t="shared" si="2"/>
        <v>13675.949999999999</v>
      </c>
      <c r="AL37" s="23">
        <v>13189</v>
      </c>
      <c r="AM37" s="23">
        <v>13189</v>
      </c>
      <c r="AN37" s="23">
        <f t="shared" si="30"/>
        <v>2110.2399999999998</v>
      </c>
      <c r="AO37" s="23">
        <v>1187.02</v>
      </c>
      <c r="AP37" s="23">
        <f t="shared" si="31"/>
        <v>65.95</v>
      </c>
      <c r="AQ37" s="23">
        <f t="shared" si="32"/>
        <v>33.76</v>
      </c>
      <c r="AR37" s="23"/>
      <c r="AS37" s="23">
        <f t="shared" si="33"/>
        <v>923</v>
      </c>
      <c r="AT37" s="23">
        <f t="shared" si="34"/>
        <v>197.84</v>
      </c>
      <c r="AU37" s="22">
        <f t="shared" si="35"/>
        <v>4517.8099999999995</v>
      </c>
      <c r="AV37" s="22">
        <v>304</v>
      </c>
      <c r="AW37" s="22">
        <f t="shared" si="9"/>
        <v>20805.61</v>
      </c>
      <c r="AX37" s="22"/>
      <c r="AY37" s="26"/>
      <c r="AZ37" s="39"/>
      <c r="BA37" s="22">
        <v>255</v>
      </c>
      <c r="BB37" s="28">
        <f t="shared" si="36"/>
        <v>21060.61</v>
      </c>
      <c r="BC37" s="22">
        <f t="shared" si="26"/>
        <v>1263.6400000000001</v>
      </c>
      <c r="BD37" s="22">
        <f t="shared" si="27"/>
        <v>22324.25</v>
      </c>
      <c r="BG37" s="29"/>
    </row>
    <row r="38" spans="1:59" s="30" customFormat="1" ht="15" customHeight="1" x14ac:dyDescent="0.25">
      <c r="A38" s="16">
        <f t="shared" si="13"/>
        <v>36</v>
      </c>
      <c r="B38" s="17">
        <v>2412</v>
      </c>
      <c r="C38" s="17" t="s">
        <v>187</v>
      </c>
      <c r="D38" s="57" t="s">
        <v>186</v>
      </c>
      <c r="E38" s="18" t="s">
        <v>168</v>
      </c>
      <c r="F38" s="19">
        <v>45444</v>
      </c>
      <c r="G38" s="19">
        <v>45808</v>
      </c>
      <c r="H38" s="16"/>
      <c r="I38" s="20" t="s">
        <v>0</v>
      </c>
      <c r="J38" s="21">
        <v>1080</v>
      </c>
      <c r="K38" s="21">
        <v>0</v>
      </c>
      <c r="L38" s="21">
        <v>10864.74</v>
      </c>
      <c r="M38" s="21"/>
      <c r="N38" s="21"/>
      <c r="O38" s="21"/>
      <c r="P38" s="21"/>
      <c r="Q38" s="21">
        <v>60</v>
      </c>
      <c r="R38" s="21"/>
      <c r="S38" s="21"/>
      <c r="T38" s="21"/>
      <c r="U38" s="21"/>
      <c r="V38" s="21"/>
      <c r="W38" s="21">
        <v>0</v>
      </c>
      <c r="X38" s="21" t="str">
        <f t="shared" si="37"/>
        <v/>
      </c>
      <c r="Y38" s="53">
        <v>0</v>
      </c>
      <c r="Z38" s="22">
        <f>SUM(J38:Y38)</f>
        <v>12004.74</v>
      </c>
      <c r="AA38" s="23">
        <v>9758</v>
      </c>
      <c r="AB38" s="24">
        <v>780.64</v>
      </c>
      <c r="AC38" s="24">
        <v>195.16</v>
      </c>
      <c r="AD38" s="24">
        <v>48.79</v>
      </c>
      <c r="AE38" s="23">
        <v>9758</v>
      </c>
      <c r="AF38" s="23">
        <v>683</v>
      </c>
      <c r="AG38" s="22">
        <f t="shared" si="29"/>
        <v>1707.59</v>
      </c>
      <c r="AH38" s="25"/>
      <c r="AI38" s="25"/>
      <c r="AJ38" s="25"/>
      <c r="AK38" s="22">
        <f t="shared" si="2"/>
        <v>10297.15</v>
      </c>
      <c r="AL38" s="23">
        <v>9758</v>
      </c>
      <c r="AM38" s="23">
        <v>9758</v>
      </c>
      <c r="AN38" s="23">
        <f t="shared" si="30"/>
        <v>1561.28</v>
      </c>
      <c r="AO38" s="23">
        <f t="shared" si="38"/>
        <v>878.22</v>
      </c>
      <c r="AP38" s="23">
        <f t="shared" si="31"/>
        <v>48.79</v>
      </c>
      <c r="AQ38" s="23">
        <f t="shared" si="32"/>
        <v>24.98</v>
      </c>
      <c r="AR38" s="23"/>
      <c r="AS38" s="23">
        <f t="shared" si="33"/>
        <v>683</v>
      </c>
      <c r="AT38" s="23">
        <f t="shared" si="34"/>
        <v>146.37</v>
      </c>
      <c r="AU38" s="22">
        <f t="shared" si="35"/>
        <v>3342.64</v>
      </c>
      <c r="AV38" s="22">
        <v>239</v>
      </c>
      <c r="AW38" s="22">
        <f t="shared" si="9"/>
        <v>15586.38</v>
      </c>
      <c r="AX38" s="22"/>
      <c r="AY38" s="26"/>
      <c r="AZ38" s="39"/>
      <c r="BA38" s="22">
        <v>60</v>
      </c>
      <c r="BB38" s="28">
        <f t="shared" si="36"/>
        <v>15646.38</v>
      </c>
      <c r="BC38" s="22">
        <f t="shared" si="26"/>
        <v>938.78</v>
      </c>
      <c r="BD38" s="22">
        <f t="shared" si="27"/>
        <v>16585.16</v>
      </c>
      <c r="BG38" s="29"/>
    </row>
    <row r="39" spans="1:59" ht="15" customHeight="1" x14ac:dyDescent="0.25"/>
    <row r="40" spans="1:59" ht="15" customHeight="1" x14ac:dyDescent="0.25"/>
    <row r="41" spans="1:59" ht="15" customHeight="1" x14ac:dyDescent="0.25">
      <c r="A41" s="31" t="s">
        <v>118</v>
      </c>
      <c r="Z41" s="32">
        <f>SUBTOTAL(9,Z3:Z16)</f>
        <v>143400.20000000001</v>
      </c>
      <c r="AG41" s="32">
        <f>SUBTOTAL(9,AG3:AG16)</f>
        <v>24133.91</v>
      </c>
      <c r="AK41" s="32">
        <f>SUBTOTAL(9,AK3:AK16)</f>
        <v>119266.29</v>
      </c>
      <c r="AU41" s="32">
        <f>SUBTOTAL(9,AU3:AU16)</f>
        <v>47467.750000000007</v>
      </c>
      <c r="AV41" s="32">
        <f>SUBTOTAL(9,AV3:AV16)</f>
        <v>2649</v>
      </c>
      <c r="AW41" s="32">
        <f>SUBTOTAL(9,AW3:AW16)</f>
        <v>193516.94999999998</v>
      </c>
      <c r="AX41" s="32"/>
      <c r="AY41" s="31">
        <f>SUBTOTAL(9,AY3:AY16)</f>
        <v>0</v>
      </c>
      <c r="BA41" s="32">
        <f>SUBTOTAL(9,BA3:BA16)</f>
        <v>3570</v>
      </c>
      <c r="BB41" s="33">
        <f>SUBTOTAL(9,BB3:BB16)</f>
        <v>197086.94999999998</v>
      </c>
      <c r="BC41" s="32">
        <f>SUBTOTAL(9,BC3:BC16)</f>
        <v>11825.220000000001</v>
      </c>
      <c r="BD41" s="32">
        <f>SUBTOTAL(9,BD3:BD16)</f>
        <v>208912.17</v>
      </c>
    </row>
    <row r="42" spans="1:59" ht="15" customHeight="1" x14ac:dyDescent="0.25">
      <c r="A42" s="31" t="s">
        <v>119</v>
      </c>
      <c r="Z42" s="32">
        <f>SUBTOTAL(9,Z17:Z38)</f>
        <v>223805.31</v>
      </c>
      <c r="AG42" s="32">
        <f>SUBTOTAL(9,AG17:AG38)</f>
        <v>32752.239999999998</v>
      </c>
      <c r="AK42" s="32">
        <f>SUBTOTAL(9,AK17:AK38)</f>
        <v>191053.07</v>
      </c>
      <c r="AU42" s="32">
        <f>SUBTOTAL(9,AU17:AU38)</f>
        <v>65631.10000000002</v>
      </c>
      <c r="AV42" s="32">
        <f>SUBTOTAL(9,AV17:AV38)</f>
        <v>4088</v>
      </c>
      <c r="AW42" s="32">
        <f>SUBTOTAL(9,AW17:AW38)</f>
        <v>293524.40999999997</v>
      </c>
      <c r="AX42" s="32"/>
      <c r="AY42" s="31">
        <f>SUBTOTAL(9,AY17:AY38)</f>
        <v>-2811.8600000000006</v>
      </c>
      <c r="AZ42" s="32"/>
      <c r="BA42" s="32">
        <f>SUBTOTAL(9,BA17:BA38)</f>
        <v>5415</v>
      </c>
      <c r="BB42" s="33">
        <f>SUBTOTAL(9,BB17:BB38)</f>
        <v>296127.54999999993</v>
      </c>
      <c r="BC42" s="32">
        <f>SUBTOTAL(9,BC17:BC38)</f>
        <v>17767.639999999996</v>
      </c>
      <c r="BD42" s="32">
        <f>SUBTOTAL(9,BD17:BD38)</f>
        <v>313895.19</v>
      </c>
    </row>
    <row r="43" spans="1:59" ht="15" customHeight="1" x14ac:dyDescent="0.25">
      <c r="A43" s="31" t="s">
        <v>120</v>
      </c>
      <c r="Z43" s="32">
        <f>Z42+Z41</f>
        <v>367205.51</v>
      </c>
      <c r="AG43" s="38">
        <f>AG42+AG41</f>
        <v>56886.149999999994</v>
      </c>
      <c r="AK43" s="32">
        <f>AK42+AK41</f>
        <v>310319.35999999999</v>
      </c>
      <c r="AU43" s="38">
        <f>SUM(AU3:AU38)</f>
        <v>113098.85000000002</v>
      </c>
      <c r="AV43" s="32">
        <f>AV42+AV41</f>
        <v>6737</v>
      </c>
      <c r="AW43" s="32">
        <f>AW42+AW41</f>
        <v>487041.36</v>
      </c>
      <c r="AX43" s="32">
        <f>SUM(AX3:AX38)</f>
        <v>4652.66</v>
      </c>
      <c r="AY43" s="31">
        <f>AY41+AY42</f>
        <v>-2811.8600000000006</v>
      </c>
      <c r="BA43" s="32">
        <f>BA42+BA41</f>
        <v>8985</v>
      </c>
      <c r="BB43" s="33">
        <f>BB42+BB41</f>
        <v>493214.49999999988</v>
      </c>
      <c r="BC43" s="32">
        <f>BC42+BC41</f>
        <v>29592.859999999997</v>
      </c>
      <c r="BD43" s="32">
        <f>BD42+BD41</f>
        <v>522807.36</v>
      </c>
    </row>
    <row r="44" spans="1:59" ht="15" customHeight="1" x14ac:dyDescent="0.25">
      <c r="Z44" s="32"/>
      <c r="AG44" s="38"/>
      <c r="AK44" s="32"/>
      <c r="AU44" s="38"/>
      <c r="AV44" s="32" t="s">
        <v>218</v>
      </c>
      <c r="AW44" s="32"/>
      <c r="AX44" s="32"/>
      <c r="BA44" s="32"/>
      <c r="BB44" s="33"/>
      <c r="BC44" s="32"/>
      <c r="BD44" s="32"/>
    </row>
    <row r="45" spans="1:59" ht="15" customHeight="1" x14ac:dyDescent="0.25">
      <c r="Z45" s="44"/>
      <c r="AB45" s="44"/>
      <c r="AV45" s="31" t="s">
        <v>219</v>
      </c>
    </row>
    <row r="46" spans="1:59" s="10" customFormat="1" ht="25.8" x14ac:dyDescent="0.3">
      <c r="A46" s="46" t="s">
        <v>208</v>
      </c>
      <c r="B46" s="31"/>
      <c r="C46" s="31"/>
      <c r="D46" s="31"/>
      <c r="E46" s="31"/>
      <c r="F46" s="31"/>
      <c r="G46" s="31"/>
      <c r="H46" s="31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31"/>
      <c r="Z46" s="4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 spans="1:59" s="9" customFormat="1" ht="24" x14ac:dyDescent="0.25">
      <c r="A47" s="1" t="s">
        <v>94</v>
      </c>
      <c r="B47" s="2" t="s">
        <v>93</v>
      </c>
      <c r="C47" s="45" t="s">
        <v>95</v>
      </c>
      <c r="D47" s="45" t="s">
        <v>92</v>
      </c>
      <c r="E47" s="45" t="s">
        <v>91</v>
      </c>
      <c r="F47" s="1" t="s">
        <v>90</v>
      </c>
      <c r="G47" s="1" t="s">
        <v>89</v>
      </c>
      <c r="H47" s="1" t="s">
        <v>88</v>
      </c>
      <c r="I47" s="1" t="s">
        <v>87</v>
      </c>
      <c r="J47" s="48" t="s">
        <v>86</v>
      </c>
      <c r="K47" s="2" t="s">
        <v>85</v>
      </c>
      <c r="L47" s="2" t="s">
        <v>84</v>
      </c>
      <c r="M47" s="61" t="s">
        <v>83</v>
      </c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3"/>
      <c r="Z47" s="4" t="s">
        <v>209</v>
      </c>
      <c r="AA47" s="3" t="s">
        <v>81</v>
      </c>
      <c r="AB47" s="3" t="s">
        <v>80</v>
      </c>
      <c r="AC47" s="3" t="s">
        <v>79</v>
      </c>
      <c r="AD47" s="3" t="s">
        <v>78</v>
      </c>
      <c r="AE47" s="3" t="s">
        <v>77</v>
      </c>
      <c r="AF47" s="3" t="s">
        <v>76</v>
      </c>
      <c r="AG47" s="4" t="s">
        <v>75</v>
      </c>
      <c r="AH47" s="3" t="s">
        <v>74</v>
      </c>
      <c r="AI47" s="3" t="s">
        <v>73</v>
      </c>
      <c r="AJ47" s="3" t="s">
        <v>72</v>
      </c>
      <c r="AK47" s="4" t="s">
        <v>71</v>
      </c>
      <c r="AL47" s="3" t="s">
        <v>70</v>
      </c>
      <c r="AM47" s="3" t="s">
        <v>69</v>
      </c>
      <c r="AN47" s="3" t="s">
        <v>68</v>
      </c>
      <c r="AO47" s="3" t="s">
        <v>67</v>
      </c>
      <c r="AP47" s="3" t="s">
        <v>66</v>
      </c>
      <c r="AQ47" s="3" t="s">
        <v>65</v>
      </c>
      <c r="AR47" s="3" t="s">
        <v>64</v>
      </c>
      <c r="AS47" s="3" t="s">
        <v>63</v>
      </c>
      <c r="AT47" s="3" t="s">
        <v>62</v>
      </c>
      <c r="AU47" s="4" t="s">
        <v>61</v>
      </c>
      <c r="AV47" s="4" t="s">
        <v>60</v>
      </c>
      <c r="AW47" s="5" t="s">
        <v>59</v>
      </c>
      <c r="AX47" s="5"/>
      <c r="AY47" s="6" t="s">
        <v>138</v>
      </c>
      <c r="AZ47" s="7" t="s">
        <v>58</v>
      </c>
      <c r="BA47" s="5" t="s">
        <v>57</v>
      </c>
      <c r="BB47" s="8" t="s">
        <v>96</v>
      </c>
      <c r="BC47" s="5" t="s">
        <v>56</v>
      </c>
      <c r="BD47" s="5" t="s">
        <v>55</v>
      </c>
    </row>
    <row r="48" spans="1:59" ht="51" x14ac:dyDescent="0.25">
      <c r="A48" s="11" t="s">
        <v>54</v>
      </c>
      <c r="B48" s="12" t="s">
        <v>53</v>
      </c>
      <c r="C48" s="11" t="s">
        <v>97</v>
      </c>
      <c r="D48" s="11" t="s">
        <v>52</v>
      </c>
      <c r="E48" s="11" t="s">
        <v>51</v>
      </c>
      <c r="F48" s="11" t="s">
        <v>50</v>
      </c>
      <c r="G48" s="11" t="s">
        <v>49</v>
      </c>
      <c r="H48" s="11" t="s">
        <v>48</v>
      </c>
      <c r="I48" s="11" t="s">
        <v>47</v>
      </c>
      <c r="J48" s="49" t="s">
        <v>46</v>
      </c>
      <c r="K48" s="12" t="s">
        <v>45</v>
      </c>
      <c r="L48" s="12" t="s">
        <v>44</v>
      </c>
      <c r="M48" s="12" t="s">
        <v>43</v>
      </c>
      <c r="N48" s="12" t="s">
        <v>42</v>
      </c>
      <c r="O48" s="12" t="s">
        <v>210</v>
      </c>
      <c r="P48" s="12" t="s">
        <v>211</v>
      </c>
      <c r="Q48" s="12" t="s">
        <v>103</v>
      </c>
      <c r="R48" s="12" t="s">
        <v>40</v>
      </c>
      <c r="S48" s="12" t="s">
        <v>39</v>
      </c>
      <c r="T48" s="12" t="s">
        <v>38</v>
      </c>
      <c r="U48" s="12" t="s">
        <v>117</v>
      </c>
      <c r="V48" s="12" t="s">
        <v>37</v>
      </c>
      <c r="W48" s="12" t="s">
        <v>212</v>
      </c>
      <c r="X48" s="12" t="s">
        <v>36</v>
      </c>
      <c r="Y48" s="12" t="s">
        <v>35</v>
      </c>
      <c r="Z48" s="14" t="s">
        <v>34</v>
      </c>
      <c r="AA48" s="13" t="s">
        <v>24</v>
      </c>
      <c r="AB48" s="13" t="s">
        <v>33</v>
      </c>
      <c r="AC48" s="13" t="s">
        <v>32</v>
      </c>
      <c r="AD48" s="13" t="s">
        <v>31</v>
      </c>
      <c r="AE48" s="13" t="s">
        <v>23</v>
      </c>
      <c r="AF48" s="13" t="s">
        <v>30</v>
      </c>
      <c r="AG48" s="14" t="s">
        <v>29</v>
      </c>
      <c r="AH48" s="13" t="s">
        <v>28</v>
      </c>
      <c r="AI48" s="13" t="s">
        <v>27</v>
      </c>
      <c r="AJ48" s="13" t="s">
        <v>26</v>
      </c>
      <c r="AK48" s="14" t="s">
        <v>25</v>
      </c>
      <c r="AL48" s="13" t="s">
        <v>24</v>
      </c>
      <c r="AM48" s="13" t="s">
        <v>23</v>
      </c>
      <c r="AN48" s="13" t="s">
        <v>22</v>
      </c>
      <c r="AO48" s="13" t="s">
        <v>21</v>
      </c>
      <c r="AP48" s="13" t="s">
        <v>20</v>
      </c>
      <c r="AQ48" s="13" t="s">
        <v>19</v>
      </c>
      <c r="AR48" s="13" t="s">
        <v>18</v>
      </c>
      <c r="AS48" s="13" t="s">
        <v>17</v>
      </c>
      <c r="AT48" s="13" t="s">
        <v>16</v>
      </c>
      <c r="AU48" s="14" t="s">
        <v>15</v>
      </c>
      <c r="AV48" s="14" t="s">
        <v>14</v>
      </c>
      <c r="AW48" s="14" t="s">
        <v>13</v>
      </c>
      <c r="AX48" s="14"/>
      <c r="AY48" s="6"/>
      <c r="AZ48" s="15" t="s">
        <v>12</v>
      </c>
      <c r="BA48" s="5" t="s">
        <v>11</v>
      </c>
      <c r="BB48" s="8" t="s">
        <v>98</v>
      </c>
      <c r="BC48" s="5" t="s">
        <v>10</v>
      </c>
      <c r="BD48" s="5" t="s">
        <v>9</v>
      </c>
    </row>
    <row r="49" spans="1:59" s="30" customFormat="1" ht="15" customHeight="1" x14ac:dyDescent="0.25">
      <c r="A49" s="16">
        <v>24</v>
      </c>
      <c r="B49" s="17">
        <v>2412</v>
      </c>
      <c r="C49" s="17" t="s">
        <v>174</v>
      </c>
      <c r="D49" s="16" t="s">
        <v>202</v>
      </c>
      <c r="E49" s="18" t="s">
        <v>105</v>
      </c>
      <c r="F49" s="19">
        <v>45444</v>
      </c>
      <c r="G49" s="19">
        <v>45808</v>
      </c>
      <c r="H49" s="16"/>
      <c r="I49" s="20" t="s">
        <v>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>
        <v>429.7199999999998</v>
      </c>
      <c r="Y49" s="53"/>
      <c r="Z49" s="22"/>
      <c r="AA49" s="23"/>
      <c r="AB49" s="24"/>
      <c r="AC49" s="24"/>
      <c r="AD49" s="24"/>
      <c r="AE49" s="23"/>
      <c r="AF49" s="23"/>
      <c r="AG49" s="22"/>
      <c r="AH49" s="25"/>
      <c r="AI49" s="25"/>
      <c r="AJ49" s="25"/>
      <c r="AK49" s="22"/>
      <c r="AL49" s="23"/>
      <c r="AM49" s="23"/>
      <c r="AN49" s="23"/>
      <c r="AO49" s="23"/>
      <c r="AP49" s="23"/>
      <c r="AQ49" s="23"/>
      <c r="AR49" s="23"/>
      <c r="AS49" s="23"/>
      <c r="AT49" s="23"/>
      <c r="AU49" s="22"/>
      <c r="AV49" s="22"/>
      <c r="AW49" s="22"/>
      <c r="AX49" s="22"/>
      <c r="AY49" s="37">
        <f>-429.72</f>
        <v>-429.72</v>
      </c>
      <c r="AZ49" s="55" t="s">
        <v>213</v>
      </c>
      <c r="BA49" s="22"/>
      <c r="BB49" s="28"/>
      <c r="BC49" s="22"/>
      <c r="BD49" s="22"/>
      <c r="BG49" s="29"/>
    </row>
    <row r="50" spans="1:59" s="30" customFormat="1" ht="15" customHeight="1" x14ac:dyDescent="0.25">
      <c r="A50" s="16">
        <v>25</v>
      </c>
      <c r="B50" s="17">
        <v>2412</v>
      </c>
      <c r="C50" s="17" t="s">
        <v>175</v>
      </c>
      <c r="D50" s="51" t="s">
        <v>207</v>
      </c>
      <c r="E50" s="18" t="s">
        <v>106</v>
      </c>
      <c r="F50" s="19">
        <v>45444</v>
      </c>
      <c r="G50" s="19">
        <v>45808</v>
      </c>
      <c r="H50" s="16"/>
      <c r="I50" s="20" t="s">
        <v>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>
        <v>624.42000000000007</v>
      </c>
      <c r="Y50" s="53"/>
      <c r="Z50" s="22"/>
      <c r="AA50" s="23"/>
      <c r="AB50" s="24"/>
      <c r="AC50" s="24"/>
      <c r="AD50" s="24"/>
      <c r="AE50" s="23"/>
      <c r="AF50" s="23"/>
      <c r="AG50" s="22"/>
      <c r="AH50" s="25"/>
      <c r="AI50" s="25"/>
      <c r="AJ50" s="25"/>
      <c r="AK50" s="22"/>
      <c r="AL50" s="23"/>
      <c r="AM50" s="23"/>
      <c r="AN50" s="23"/>
      <c r="AO50" s="23"/>
      <c r="AP50" s="23"/>
      <c r="AQ50" s="23"/>
      <c r="AR50" s="23"/>
      <c r="AS50" s="23"/>
      <c r="AT50" s="23"/>
      <c r="AU50" s="22"/>
      <c r="AV50" s="22"/>
      <c r="AW50" s="22"/>
      <c r="AX50" s="22"/>
      <c r="AY50" s="37">
        <f>-624.42</f>
        <v>-624.41999999999996</v>
      </c>
      <c r="AZ50" s="55" t="s">
        <v>214</v>
      </c>
      <c r="BA50" s="22"/>
      <c r="BB50" s="28"/>
      <c r="BC50" s="22"/>
      <c r="BD50" s="22"/>
      <c r="BG50" s="29"/>
    </row>
    <row r="51" spans="1:59" s="30" customFormat="1" ht="15" customHeight="1" x14ac:dyDescent="0.25">
      <c r="A51" s="16">
        <v>26</v>
      </c>
      <c r="B51" s="17">
        <v>2412</v>
      </c>
      <c r="C51" s="17" t="s">
        <v>176</v>
      </c>
      <c r="D51" s="16" t="s">
        <v>135</v>
      </c>
      <c r="E51" s="18" t="s">
        <v>112</v>
      </c>
      <c r="F51" s="19">
        <v>45444</v>
      </c>
      <c r="G51" s="19">
        <v>45808</v>
      </c>
      <c r="H51" s="16"/>
      <c r="I51" s="20" t="s">
        <v>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>
        <v>53.080000000000382</v>
      </c>
      <c r="Y51" s="53"/>
      <c r="Z51" s="22"/>
      <c r="AA51" s="23"/>
      <c r="AB51" s="24"/>
      <c r="AC51" s="24"/>
      <c r="AD51" s="24"/>
      <c r="AE51" s="23"/>
      <c r="AF51" s="23"/>
      <c r="AG51" s="22"/>
      <c r="AH51" s="25"/>
      <c r="AI51" s="25"/>
      <c r="AJ51" s="25"/>
      <c r="AK51" s="22"/>
      <c r="AL51" s="23"/>
      <c r="AM51" s="23"/>
      <c r="AN51" s="23"/>
      <c r="AO51" s="23"/>
      <c r="AP51" s="23"/>
      <c r="AQ51" s="23"/>
      <c r="AR51" s="23"/>
      <c r="AS51" s="23"/>
      <c r="AT51" s="23"/>
      <c r="AU51" s="22"/>
      <c r="AV51" s="22"/>
      <c r="AW51" s="22"/>
      <c r="AX51" s="22"/>
      <c r="AY51" s="26">
        <f>-53.08</f>
        <v>-53.08</v>
      </c>
      <c r="AZ51" s="55" t="s">
        <v>215</v>
      </c>
      <c r="BA51" s="22"/>
      <c r="BB51" s="28"/>
      <c r="BC51" s="22"/>
      <c r="BD51" s="22"/>
      <c r="BG51" s="29"/>
    </row>
    <row r="52" spans="1:59" s="30" customFormat="1" ht="15" customHeight="1" x14ac:dyDescent="0.25">
      <c r="A52" s="16">
        <v>28</v>
      </c>
      <c r="B52" s="17">
        <v>2412</v>
      </c>
      <c r="C52" s="17" t="s">
        <v>178</v>
      </c>
      <c r="D52" s="16" t="s">
        <v>163</v>
      </c>
      <c r="E52" s="18" t="s">
        <v>164</v>
      </c>
      <c r="F52" s="19">
        <v>45444</v>
      </c>
      <c r="G52" s="19">
        <v>45808</v>
      </c>
      <c r="H52" s="16"/>
      <c r="I52" s="20" t="s">
        <v>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>
        <v>1119.3200000000002</v>
      </c>
      <c r="Y52" s="53"/>
      <c r="Z52" s="22"/>
      <c r="AA52" s="23"/>
      <c r="AB52" s="24"/>
      <c r="AC52" s="24"/>
      <c r="AD52" s="24"/>
      <c r="AE52" s="23"/>
      <c r="AF52" s="23"/>
      <c r="AG52" s="22"/>
      <c r="AH52" s="25"/>
      <c r="AI52" s="25"/>
      <c r="AJ52" s="25"/>
      <c r="AK52" s="22"/>
      <c r="AL52" s="23"/>
      <c r="AM52" s="23"/>
      <c r="AN52" s="23"/>
      <c r="AO52" s="23"/>
      <c r="AP52" s="23"/>
      <c r="AQ52" s="23"/>
      <c r="AR52" s="23"/>
      <c r="AS52" s="23"/>
      <c r="AT52" s="23"/>
      <c r="AU52" s="22"/>
      <c r="AV52" s="22"/>
      <c r="AW52" s="22"/>
      <c r="AX52" s="22"/>
      <c r="AY52" s="37">
        <f>-1119.32</f>
        <v>-1119.32</v>
      </c>
      <c r="AZ52" s="55" t="s">
        <v>216</v>
      </c>
      <c r="BA52" s="22"/>
      <c r="BB52" s="28"/>
      <c r="BC52" s="22"/>
      <c r="BD52" s="22"/>
      <c r="BG52" s="29"/>
    </row>
    <row r="53" spans="1:59" s="30" customFormat="1" ht="14.4" customHeight="1" x14ac:dyDescent="0.25">
      <c r="A53" s="16">
        <f t="shared" ref="A53" si="39">ROW()-2</f>
        <v>51</v>
      </c>
      <c r="B53" s="17">
        <v>2412</v>
      </c>
      <c r="C53" s="17" t="s">
        <v>180</v>
      </c>
      <c r="D53" s="16" t="s">
        <v>166</v>
      </c>
      <c r="E53" s="18" t="s">
        <v>167</v>
      </c>
      <c r="F53" s="19">
        <v>45444</v>
      </c>
      <c r="G53" s="19">
        <v>45808</v>
      </c>
      <c r="H53" s="16"/>
      <c r="I53" s="20" t="s">
        <v>0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>
        <v>585.32000000000016</v>
      </c>
      <c r="Y53" s="53"/>
      <c r="Z53" s="22"/>
      <c r="AA53" s="23"/>
      <c r="AB53" s="24"/>
      <c r="AC53" s="24"/>
      <c r="AD53" s="24"/>
      <c r="AE53" s="23"/>
      <c r="AF53" s="23"/>
      <c r="AG53" s="22"/>
      <c r="AH53" s="25"/>
      <c r="AI53" s="25"/>
      <c r="AJ53" s="25"/>
      <c r="AK53" s="22"/>
      <c r="AL53" s="23"/>
      <c r="AM53" s="23"/>
      <c r="AN53" s="23"/>
      <c r="AO53" s="23"/>
      <c r="AP53" s="23"/>
      <c r="AQ53" s="23"/>
      <c r="AR53" s="23"/>
      <c r="AS53" s="23"/>
      <c r="AT53" s="23"/>
      <c r="AU53" s="22"/>
      <c r="AV53" s="22"/>
      <c r="AW53" s="22"/>
      <c r="AX53" s="22"/>
      <c r="AY53" s="37">
        <f>-585.32</f>
        <v>-585.32000000000005</v>
      </c>
      <c r="AZ53" s="55" t="s">
        <v>217</v>
      </c>
      <c r="BA53" s="22"/>
      <c r="BB53" s="28"/>
      <c r="BC53" s="22"/>
      <c r="BD53" s="22"/>
      <c r="BG53" s="29"/>
    </row>
    <row r="54" spans="1:59" x14ac:dyDescent="0.25">
      <c r="AY54" s="41">
        <f>SUM(AY49:AY53)</f>
        <v>-2811.86</v>
      </c>
    </row>
  </sheetData>
  <autoFilter ref="A1:BG38" xr:uid="{31A74659-48EA-48F8-8022-73CEA0236F93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2">
    <mergeCell ref="M1:Y1"/>
    <mergeCell ref="M47:Y47"/>
  </mergeCells>
  <phoneticPr fontId="4" type="noConversion"/>
  <conditionalFormatting sqref="E47">
    <cfRule type="duplicateValues" dxfId="37" priority="37"/>
  </conditionalFormatting>
  <conditionalFormatting sqref="E47">
    <cfRule type="duplicateValues" dxfId="36" priority="38"/>
    <cfRule type="duplicateValues" dxfId="35" priority="39"/>
  </conditionalFormatting>
  <conditionalFormatting sqref="C47">
    <cfRule type="duplicateValues" dxfId="34" priority="31"/>
  </conditionalFormatting>
  <conditionalFormatting sqref="C47">
    <cfRule type="duplicateValues" dxfId="33" priority="32"/>
  </conditionalFormatting>
  <conditionalFormatting sqref="C47">
    <cfRule type="duplicateValues" dxfId="32" priority="33"/>
    <cfRule type="duplicateValues" dxfId="31" priority="34"/>
  </conditionalFormatting>
  <conditionalFormatting sqref="C47">
    <cfRule type="duplicateValues" dxfId="30" priority="35"/>
    <cfRule type="duplicateValues" dxfId="29" priority="36"/>
  </conditionalFormatting>
  <conditionalFormatting sqref="C48">
    <cfRule type="duplicateValues" dxfId="28" priority="28"/>
    <cfRule type="duplicateValues" dxfId="27" priority="29"/>
  </conditionalFormatting>
  <conditionalFormatting sqref="C48">
    <cfRule type="duplicateValues" dxfId="26" priority="30"/>
  </conditionalFormatting>
  <conditionalFormatting sqref="E48">
    <cfRule type="duplicateValues" dxfId="25" priority="40"/>
    <cfRule type="duplicateValues" dxfId="24" priority="41"/>
  </conditionalFormatting>
  <conditionalFormatting sqref="E48">
    <cfRule type="duplicateValues" dxfId="23" priority="42"/>
  </conditionalFormatting>
  <conditionalFormatting sqref="D1">
    <cfRule type="duplicateValues" dxfId="22" priority="19"/>
  </conditionalFormatting>
  <conditionalFormatting sqref="D1">
    <cfRule type="duplicateValues" dxfId="21" priority="20"/>
  </conditionalFormatting>
  <conditionalFormatting sqref="D1">
    <cfRule type="duplicateValues" dxfId="20" priority="21"/>
    <cfRule type="duplicateValues" dxfId="19" priority="22"/>
  </conditionalFormatting>
  <conditionalFormatting sqref="D1">
    <cfRule type="duplicateValues" dxfId="18" priority="23"/>
    <cfRule type="duplicateValues" dxfId="17" priority="24"/>
  </conditionalFormatting>
  <conditionalFormatting sqref="D2">
    <cfRule type="duplicateValues" dxfId="16" priority="16"/>
    <cfRule type="duplicateValues" dxfId="15" priority="17"/>
  </conditionalFormatting>
  <conditionalFormatting sqref="D2">
    <cfRule type="duplicateValues" dxfId="14" priority="18"/>
  </conditionalFormatting>
  <conditionalFormatting sqref="C1">
    <cfRule type="duplicateValues" dxfId="13" priority="10"/>
  </conditionalFormatting>
  <conditionalFormatting sqref="C1">
    <cfRule type="duplicateValues" dxfId="12" priority="11"/>
  </conditionalFormatting>
  <conditionalFormatting sqref="C1">
    <cfRule type="duplicateValues" dxfId="11" priority="12"/>
    <cfRule type="duplicateValues" dxfId="10" priority="13"/>
  </conditionalFormatting>
  <conditionalFormatting sqref="C1">
    <cfRule type="duplicateValues" dxfId="9" priority="14"/>
    <cfRule type="duplicateValues" dxfId="8" priority="15"/>
  </conditionalFormatting>
  <conditionalFormatting sqref="C2">
    <cfRule type="duplicateValues" dxfId="7" priority="7"/>
    <cfRule type="duplicateValues" dxfId="6" priority="8"/>
  </conditionalFormatting>
  <conditionalFormatting sqref="C2">
    <cfRule type="duplicateValues" dxfId="5" priority="9"/>
  </conditionalFormatting>
  <conditionalFormatting sqref="AL3:AL13">
    <cfRule type="cellIs" dxfId="4" priority="6" operator="lessThan">
      <formula>7384</formula>
    </cfRule>
  </conditionalFormatting>
  <conditionalFormatting sqref="AL14:AL16">
    <cfRule type="cellIs" dxfId="3" priority="5" operator="lessThan">
      <formula>7384</formula>
    </cfRule>
  </conditionalFormatting>
  <conditionalFormatting sqref="AL17:AL38">
    <cfRule type="cellIs" dxfId="2" priority="4" operator="lessThan">
      <formula>7384</formula>
    </cfRule>
  </conditionalFormatting>
  <conditionalFormatting sqref="AL49:AL52">
    <cfRule type="cellIs" dxfId="1" priority="3" operator="lessThan">
      <formula>7384</formula>
    </cfRule>
  </conditionalFormatting>
  <conditionalFormatting sqref="AL53">
    <cfRule type="cellIs" dxfId="0" priority="1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2023-05-09T05:52:51Z</dcterms:created>
  <dcterms:modified xsi:type="dcterms:W3CDTF">2024-12-30T06:02:06Z</dcterms:modified>
</cp:coreProperties>
</file>