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.luo\Desktop\电信工作\202412电信\"/>
    </mc:Choice>
  </mc:AlternateContent>
  <xr:revisionPtr revIDLastSave="0" documentId="13_ncr:1_{C4B539BD-2E57-426B-809D-32F6D863C98F}" xr6:coauthVersionLast="36" xr6:coauthVersionMax="36" xr10:uidLastSave="{00000000-0000-0000-0000-000000000000}"/>
  <bookViews>
    <workbookView xWindow="0" yWindow="0" windowWidth="23040" windowHeight="8892" activeTab="1" xr2:uid="{00000000-000D-0000-FFFF-FFFF00000000}"/>
  </bookViews>
  <sheets>
    <sheet name="202412" sheetId="1" r:id="rId1"/>
    <sheet name="对账单" sheetId="3" r:id="rId2"/>
    <sheet name="系统" sheetId="2" r:id="rId3"/>
  </sheets>
  <definedNames>
    <definedName name="_xlnm._FilterDatabase" localSheetId="0" hidden="1">'202412'!$A$2:$BE$27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3" l="1"/>
  <c r="B10" i="3"/>
  <c r="BA16" i="1"/>
  <c r="BA29" i="1"/>
  <c r="AW21" i="1"/>
  <c r="BA21" i="1" s="1"/>
  <c r="D7" i="3" l="1"/>
  <c r="B7" i="3"/>
  <c r="D3" i="3"/>
  <c r="D11" i="3" s="1"/>
  <c r="F9" i="3"/>
  <c r="F11" i="3" s="1"/>
  <c r="C7" i="3"/>
  <c r="H7" i="3" s="1"/>
  <c r="C5" i="3"/>
  <c r="H5" i="3" s="1"/>
  <c r="C4" i="3"/>
  <c r="I4" i="3" s="1"/>
  <c r="C2" i="3"/>
  <c r="B5" i="3"/>
  <c r="B4" i="3"/>
  <c r="B3" i="3"/>
  <c r="H2" i="3"/>
  <c r="H3" i="3"/>
  <c r="H4" i="3"/>
  <c r="H6" i="3"/>
  <c r="H8" i="3"/>
  <c r="H10" i="3"/>
  <c r="I10" i="3"/>
  <c r="I8" i="3"/>
  <c r="I6" i="3"/>
  <c r="I3" i="3"/>
  <c r="F13" i="3" l="1"/>
  <c r="F14" i="3" s="1"/>
  <c r="I5" i="3"/>
  <c r="I7" i="3"/>
  <c r="D13" i="3"/>
  <c r="C11" i="3"/>
  <c r="D14" i="3" l="1"/>
  <c r="C14" i="3"/>
  <c r="H48" i="2" l="1"/>
  <c r="F48" i="2"/>
  <c r="D48" i="2"/>
  <c r="AE41" i="2"/>
  <c r="AC41" i="2"/>
  <c r="X41" i="2"/>
  <c r="W41" i="2"/>
  <c r="U41" i="2"/>
  <c r="T41" i="2"/>
  <c r="S41" i="2"/>
  <c r="R41" i="2"/>
  <c r="Q41" i="2"/>
  <c r="P41" i="2"/>
  <c r="N41" i="2"/>
  <c r="M41" i="2"/>
  <c r="L41" i="2"/>
  <c r="K41" i="2"/>
  <c r="J41" i="2"/>
  <c r="I41" i="2"/>
  <c r="H41" i="2"/>
  <c r="E41" i="2"/>
  <c r="Y40" i="2"/>
  <c r="V40" i="2"/>
  <c r="O40" i="2"/>
  <c r="Y39" i="2"/>
  <c r="V39" i="2"/>
  <c r="O39" i="2"/>
  <c r="V38" i="2"/>
  <c r="O38" i="2"/>
  <c r="Y38" i="2" s="1"/>
  <c r="V37" i="2"/>
  <c r="O37" i="2"/>
  <c r="Y37" i="2" s="1"/>
  <c r="Y36" i="2"/>
  <c r="V36" i="2"/>
  <c r="O36" i="2"/>
  <c r="Y35" i="2"/>
  <c r="V35" i="2"/>
  <c r="O35" i="2"/>
  <c r="V34" i="2"/>
  <c r="O34" i="2"/>
  <c r="Y34" i="2" s="1"/>
  <c r="V33" i="2"/>
  <c r="O33" i="2"/>
  <c r="Y33" i="2" s="1"/>
  <c r="Y32" i="2"/>
  <c r="V32" i="2"/>
  <c r="O32" i="2"/>
  <c r="Y31" i="2"/>
  <c r="V31" i="2"/>
  <c r="O31" i="2"/>
  <c r="V30" i="2"/>
  <c r="O30" i="2"/>
  <c r="Y30" i="2" s="1"/>
  <c r="V29" i="2"/>
  <c r="O29" i="2"/>
  <c r="Y29" i="2" s="1"/>
  <c r="V28" i="2"/>
  <c r="O28" i="2"/>
  <c r="Y28" i="2" s="1"/>
  <c r="Y27" i="2"/>
  <c r="V27" i="2"/>
  <c r="O27" i="2"/>
  <c r="V26" i="2"/>
  <c r="Y26" i="2" s="1"/>
  <c r="O26" i="2"/>
  <c r="V25" i="2"/>
  <c r="O25" i="2"/>
  <c r="Y25" i="2" s="1"/>
  <c r="V24" i="2"/>
  <c r="O24" i="2"/>
  <c r="Y24" i="2" s="1"/>
  <c r="Y23" i="2"/>
  <c r="V23" i="2"/>
  <c r="O23" i="2"/>
  <c r="V22" i="2"/>
  <c r="Y22" i="2" s="1"/>
  <c r="O22" i="2"/>
  <c r="V21" i="2"/>
  <c r="O21" i="2"/>
  <c r="Y21" i="2" s="1"/>
  <c r="V20" i="2"/>
  <c r="O20" i="2"/>
  <c r="Y20" i="2" s="1"/>
  <c r="Y19" i="2"/>
  <c r="V19" i="2"/>
  <c r="O19" i="2"/>
  <c r="V18" i="2"/>
  <c r="Y18" i="2" s="1"/>
  <c r="O18" i="2"/>
  <c r="V17" i="2"/>
  <c r="O17" i="2"/>
  <c r="Y17" i="2" s="1"/>
  <c r="V16" i="2"/>
  <c r="V41" i="2" s="1"/>
  <c r="O16" i="2"/>
  <c r="Y16" i="2" s="1"/>
  <c r="Y41" i="2" s="1"/>
  <c r="O41" i="2" l="1"/>
  <c r="AV29" i="1" l="1"/>
  <c r="AV33" i="1" l="1"/>
  <c r="B9" i="3"/>
  <c r="G9" i="3" l="1"/>
  <c r="I9" i="3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G11" i="3" l="1"/>
  <c r="H9" i="3"/>
  <c r="AN4" i="1"/>
  <c r="AO4" i="1"/>
  <c r="AP4" i="1"/>
  <c r="AQ4" i="1"/>
  <c r="AS4" i="1"/>
  <c r="AT4" i="1"/>
  <c r="AN5" i="1"/>
  <c r="AP5" i="1"/>
  <c r="AQ5" i="1"/>
  <c r="AS5" i="1"/>
  <c r="AT5" i="1"/>
  <c r="AN6" i="1"/>
  <c r="AO6" i="1"/>
  <c r="AP6" i="1"/>
  <c r="AQ6" i="1"/>
  <c r="AS6" i="1"/>
  <c r="AT6" i="1"/>
  <c r="AN7" i="1"/>
  <c r="AP7" i="1"/>
  <c r="AQ7" i="1"/>
  <c r="AS7" i="1"/>
  <c r="AT7" i="1"/>
  <c r="AN8" i="1"/>
  <c r="AP8" i="1"/>
  <c r="AQ8" i="1"/>
  <c r="AS8" i="1"/>
  <c r="AT8" i="1"/>
  <c r="AN9" i="1"/>
  <c r="AO9" i="1"/>
  <c r="AP9" i="1"/>
  <c r="AQ9" i="1"/>
  <c r="AS9" i="1"/>
  <c r="AT9" i="1"/>
  <c r="AN10" i="1"/>
  <c r="AO10" i="1"/>
  <c r="AP10" i="1"/>
  <c r="AQ10" i="1"/>
  <c r="AS10" i="1"/>
  <c r="AT10" i="1"/>
  <c r="AN11" i="1"/>
  <c r="AO11" i="1"/>
  <c r="AP11" i="1"/>
  <c r="AQ11" i="1"/>
  <c r="AS11" i="1"/>
  <c r="AT11" i="1"/>
  <c r="AN12" i="1"/>
  <c r="AO12" i="1"/>
  <c r="AP12" i="1"/>
  <c r="AQ12" i="1"/>
  <c r="AS12" i="1"/>
  <c r="AT12" i="1"/>
  <c r="AN13" i="1"/>
  <c r="AO13" i="1"/>
  <c r="AP13" i="1"/>
  <c r="AQ13" i="1"/>
  <c r="AS13" i="1"/>
  <c r="AT13" i="1"/>
  <c r="AN14" i="1"/>
  <c r="AO14" i="1"/>
  <c r="AP14" i="1"/>
  <c r="AQ14" i="1"/>
  <c r="AS14" i="1"/>
  <c r="AT14" i="1"/>
  <c r="AN15" i="1"/>
  <c r="AO15" i="1"/>
  <c r="AP15" i="1"/>
  <c r="AQ15" i="1"/>
  <c r="AS15" i="1"/>
  <c r="AT15" i="1"/>
  <c r="AN16" i="1"/>
  <c r="AO16" i="1"/>
  <c r="AP16" i="1"/>
  <c r="AQ16" i="1"/>
  <c r="AS16" i="1"/>
  <c r="AT16" i="1"/>
  <c r="AN17" i="1"/>
  <c r="AP17" i="1"/>
  <c r="AQ17" i="1"/>
  <c r="AS17" i="1"/>
  <c r="AT17" i="1"/>
  <c r="AN18" i="1"/>
  <c r="AO18" i="1"/>
  <c r="AP18" i="1"/>
  <c r="AQ18" i="1"/>
  <c r="AS18" i="1"/>
  <c r="AT18" i="1"/>
  <c r="AN19" i="1"/>
  <c r="AO19" i="1"/>
  <c r="AP19" i="1"/>
  <c r="AQ19" i="1"/>
  <c r="AS19" i="1"/>
  <c r="AT19" i="1"/>
  <c r="AN20" i="1"/>
  <c r="AP20" i="1"/>
  <c r="AQ20" i="1"/>
  <c r="AS20" i="1"/>
  <c r="AT20" i="1"/>
  <c r="AN21" i="1"/>
  <c r="AO21" i="1"/>
  <c r="AP21" i="1"/>
  <c r="AQ21" i="1"/>
  <c r="AS21" i="1"/>
  <c r="AT21" i="1"/>
  <c r="AN22" i="1"/>
  <c r="AP22" i="1"/>
  <c r="AQ22" i="1"/>
  <c r="AS22" i="1"/>
  <c r="AT22" i="1"/>
  <c r="AN23" i="1"/>
  <c r="AO23" i="1"/>
  <c r="AP23" i="1"/>
  <c r="AQ23" i="1"/>
  <c r="AS23" i="1"/>
  <c r="AT23" i="1"/>
  <c r="AN24" i="1"/>
  <c r="AP24" i="1"/>
  <c r="AQ24" i="1"/>
  <c r="AS24" i="1"/>
  <c r="AT24" i="1"/>
  <c r="AN25" i="1"/>
  <c r="AP25" i="1"/>
  <c r="AQ25" i="1"/>
  <c r="AS25" i="1"/>
  <c r="AT25" i="1"/>
  <c r="AN26" i="1"/>
  <c r="AO26" i="1"/>
  <c r="AP26" i="1"/>
  <c r="AQ26" i="1"/>
  <c r="AS26" i="1"/>
  <c r="AT26" i="1"/>
  <c r="AN27" i="1"/>
  <c r="AP27" i="1"/>
  <c r="AQ27" i="1"/>
  <c r="AS27" i="1"/>
  <c r="AT27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G13" i="3" l="1"/>
  <c r="H11" i="3"/>
  <c r="AG10" i="1"/>
  <c r="AU13" i="1"/>
  <c r="AG25" i="1"/>
  <c r="AK25" i="1" s="1"/>
  <c r="AU10" i="1"/>
  <c r="AW10" i="1" s="1"/>
  <c r="BA10" i="1" s="1"/>
  <c r="BB10" i="1" s="1"/>
  <c r="BC10" i="1" s="1"/>
  <c r="AU21" i="1"/>
  <c r="BB21" i="1" s="1"/>
  <c r="BC21" i="1" s="1"/>
  <c r="AU25" i="1"/>
  <c r="AW25" i="1" s="1"/>
  <c r="BA25" i="1" s="1"/>
  <c r="BB25" i="1" s="1"/>
  <c r="BC25" i="1" s="1"/>
  <c r="AU17" i="1"/>
  <c r="AW17" i="1" s="1"/>
  <c r="BA17" i="1" s="1"/>
  <c r="BB17" i="1" s="1"/>
  <c r="BC17" i="1" s="1"/>
  <c r="AU7" i="1"/>
  <c r="AW7" i="1" s="1"/>
  <c r="BA7" i="1" s="1"/>
  <c r="BB7" i="1" s="1"/>
  <c r="BC7" i="1" s="1"/>
  <c r="AG27" i="1"/>
  <c r="AK27" i="1" s="1"/>
  <c r="AG24" i="1"/>
  <c r="AK24" i="1" s="1"/>
  <c r="AG23" i="1"/>
  <c r="AK23" i="1" s="1"/>
  <c r="AG20" i="1"/>
  <c r="AK20" i="1" s="1"/>
  <c r="AG19" i="1"/>
  <c r="AK19" i="1" s="1"/>
  <c r="AG16" i="1"/>
  <c r="AK16" i="1" s="1"/>
  <c r="AG15" i="1"/>
  <c r="AK15" i="1" s="1"/>
  <c r="AG12" i="1"/>
  <c r="AK12" i="1" s="1"/>
  <c r="AG9" i="1"/>
  <c r="AK9" i="1" s="1"/>
  <c r="AG6" i="1"/>
  <c r="AK6" i="1" s="1"/>
  <c r="AG5" i="1"/>
  <c r="AK5" i="1" s="1"/>
  <c r="AG14" i="1"/>
  <c r="AK14" i="1" s="1"/>
  <c r="AG11" i="1"/>
  <c r="AK11" i="1" s="1"/>
  <c r="AG8" i="1"/>
  <c r="AK8" i="1" s="1"/>
  <c r="AG4" i="1"/>
  <c r="AK4" i="1" s="1"/>
  <c r="AU27" i="1"/>
  <c r="AW27" i="1" s="1"/>
  <c r="BA27" i="1" s="1"/>
  <c r="AU26" i="1"/>
  <c r="AU24" i="1"/>
  <c r="AW24" i="1" s="1"/>
  <c r="BA24" i="1" s="1"/>
  <c r="BB24" i="1" s="1"/>
  <c r="BC24" i="1" s="1"/>
  <c r="AU23" i="1"/>
  <c r="AW23" i="1" s="1"/>
  <c r="BA23" i="1" s="1"/>
  <c r="AU22" i="1"/>
  <c r="AW22" i="1" s="1"/>
  <c r="BA22" i="1" s="1"/>
  <c r="AU20" i="1"/>
  <c r="AW20" i="1" s="1"/>
  <c r="BA20" i="1" s="1"/>
  <c r="BB20" i="1" s="1"/>
  <c r="BC20" i="1" s="1"/>
  <c r="AU19" i="1"/>
  <c r="AW19" i="1" s="1"/>
  <c r="BA19" i="1" s="1"/>
  <c r="AU18" i="1"/>
  <c r="AW18" i="1" s="1"/>
  <c r="BA18" i="1" s="1"/>
  <c r="AU16" i="1"/>
  <c r="AW16" i="1" s="1"/>
  <c r="AU15" i="1"/>
  <c r="AW15" i="1" s="1"/>
  <c r="BA15" i="1" s="1"/>
  <c r="AU14" i="1"/>
  <c r="AW14" i="1" s="1"/>
  <c r="BA14" i="1" s="1"/>
  <c r="BB14" i="1" s="1"/>
  <c r="AU12" i="1"/>
  <c r="AW12" i="1" s="1"/>
  <c r="BA12" i="1" s="1"/>
  <c r="BB12" i="1" s="1"/>
  <c r="BC12" i="1" s="1"/>
  <c r="AU11" i="1"/>
  <c r="AW11" i="1" s="1"/>
  <c r="BA11" i="1" s="1"/>
  <c r="AU9" i="1"/>
  <c r="AW9" i="1" s="1"/>
  <c r="BA9" i="1" s="1"/>
  <c r="BB9" i="1" s="1"/>
  <c r="BC9" i="1" s="1"/>
  <c r="AU8" i="1"/>
  <c r="AW8" i="1" s="1"/>
  <c r="BA8" i="1" s="1"/>
  <c r="AU6" i="1"/>
  <c r="AW6" i="1" s="1"/>
  <c r="BA6" i="1" s="1"/>
  <c r="BB6" i="1" s="1"/>
  <c r="BC6" i="1" s="1"/>
  <c r="AU5" i="1"/>
  <c r="AW5" i="1" s="1"/>
  <c r="BA5" i="1" s="1"/>
  <c r="AU4" i="1"/>
  <c r="AW4" i="1" s="1"/>
  <c r="BA4" i="1" s="1"/>
  <c r="BB4" i="1" s="1"/>
  <c r="AG26" i="1"/>
  <c r="AK26" i="1" s="1"/>
  <c r="AG22" i="1"/>
  <c r="AK22" i="1" s="1"/>
  <c r="AG18" i="1"/>
  <c r="AK18" i="1" s="1"/>
  <c r="AG21" i="1"/>
  <c r="AK21" i="1" s="1"/>
  <c r="AG17" i="1"/>
  <c r="AK17" i="1" s="1"/>
  <c r="AG13" i="1"/>
  <c r="AK13" i="1" s="1"/>
  <c r="AG7" i="1"/>
  <c r="AK7" i="1" s="1"/>
  <c r="AK10" i="1"/>
  <c r="AW13" i="1"/>
  <c r="AX29" i="1"/>
  <c r="BB16" i="1" l="1"/>
  <c r="BC16" i="1" s="1"/>
  <c r="BA13" i="1"/>
  <c r="BB13" i="1" s="1"/>
  <c r="BC13" i="1" s="1"/>
  <c r="G14" i="3"/>
  <c r="H14" i="3" s="1"/>
  <c r="H13" i="3"/>
  <c r="AW26" i="1"/>
  <c r="BA26" i="1" s="1"/>
  <c r="BB26" i="1" s="1"/>
  <c r="BC26" i="1" s="1"/>
  <c r="BB5" i="1"/>
  <c r="BC5" i="1" s="1"/>
  <c r="BB19" i="1"/>
  <c r="BC19" i="1" s="1"/>
  <c r="BB11" i="1"/>
  <c r="BC11" i="1" s="1"/>
  <c r="BB15" i="1"/>
  <c r="BC15" i="1" s="1"/>
  <c r="BB8" i="1"/>
  <c r="BC8" i="1" s="1"/>
  <c r="BB22" i="1"/>
  <c r="BC22" i="1" s="1"/>
  <c r="BB27" i="1"/>
  <c r="BC27" i="1" s="1"/>
  <c r="BB18" i="1"/>
  <c r="BC18" i="1" s="1"/>
  <c r="BB23" i="1"/>
  <c r="BC23" i="1" s="1"/>
  <c r="BC14" i="1"/>
  <c r="BC4" i="1"/>
  <c r="AO3" i="1"/>
  <c r="A3" i="1" l="1"/>
  <c r="AZ29" i="1" l="1"/>
  <c r="AP3" i="1" l="1"/>
  <c r="AT3" i="1" l="1"/>
  <c r="AG3" i="1" l="1"/>
  <c r="AG29" i="1" l="1"/>
  <c r="Z3" i="1"/>
  <c r="AN3" i="1"/>
  <c r="AQ3" i="1"/>
  <c r="AS3" i="1"/>
  <c r="Z29" i="1" l="1"/>
  <c r="AK3" i="1"/>
  <c r="AU3" i="1"/>
  <c r="AW3" i="1" s="1"/>
  <c r="AK29" i="1" l="1"/>
  <c r="AU29" i="1"/>
  <c r="AW29" i="1"/>
  <c r="BA3" i="1" l="1"/>
  <c r="BB3" i="1" l="1"/>
  <c r="BB29" i="1" s="1"/>
  <c r="B11" i="3" s="1"/>
  <c r="B14" i="3" s="1"/>
  <c r="H15" i="3" s="1"/>
  <c r="H16" i="3" s="1"/>
  <c r="H17" i="3" s="1"/>
  <c r="BC3" i="1"/>
  <c r="BC29" i="1" s="1"/>
  <c r="I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CE3172BF-1BFB-4F7A-B9B7-803427472A61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7A4253C3-A167-486F-83F0-DBEEA5BE8BC2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<sst xmlns="http://schemas.openxmlformats.org/spreadsheetml/2006/main" count="510" uniqueCount="332">
  <si>
    <t>上海</t>
  </si>
  <si>
    <t>Subtotal</t>
  </si>
  <si>
    <t>VAT</t>
  </si>
  <si>
    <t>Service Fee</t>
  </si>
  <si>
    <t>Social Security remark</t>
  </si>
  <si>
    <t>Payment Total</t>
  </si>
  <si>
    <t>Union Fee</t>
  </si>
  <si>
    <t>Total Amount of Social Insurance(ER)</t>
  </si>
  <si>
    <t xml:space="preserve">
Disabled people&amp;Back pay Fund</t>
    <phoneticPr fontId="4" type="noConversion"/>
  </si>
  <si>
    <t>Housing Fund Employer</t>
  </si>
  <si>
    <t>Maternity Insurance Employer</t>
  </si>
  <si>
    <t>Injury Employer</t>
  </si>
  <si>
    <t>Umemployment Employer</t>
  </si>
  <si>
    <t>Medical Employer</t>
  </si>
  <si>
    <t>Pension Employer</t>
  </si>
  <si>
    <t>Housing Fund Base</t>
  </si>
  <si>
    <t>Social Insurance Base</t>
  </si>
  <si>
    <t xml:space="preserve">After-tax total Income </t>
  </si>
  <si>
    <t>Reduction After-tax payment</t>
    <phoneticPr fontId="4" type="noConversion"/>
  </si>
  <si>
    <t>Increase After-tax payment</t>
    <phoneticPr fontId="4" type="noConversion"/>
  </si>
  <si>
    <t>Personal Income Tax</t>
  </si>
  <si>
    <t>Total Amount of Social Insurance(EE)</t>
  </si>
  <si>
    <t>Housing Fund Employee</t>
  </si>
  <si>
    <t>Umemployment Employee</t>
  </si>
  <si>
    <t>Medical Employee</t>
  </si>
  <si>
    <t>Pension Employee</t>
  </si>
  <si>
    <t>Pre-tax Total</t>
  </si>
  <si>
    <t>其他扣款</t>
  </si>
  <si>
    <t>保障补差</t>
  </si>
  <si>
    <t>补发费用</t>
  </si>
  <si>
    <t>保险费</t>
  </si>
  <si>
    <t>独生子女奖励</t>
  </si>
  <si>
    <t>伙食补贴</t>
  </si>
  <si>
    <t>支局专项</t>
  </si>
  <si>
    <t>Quantifying costs</t>
    <phoneticPr fontId="4" type="noConversion"/>
  </si>
  <si>
    <t>Assessment fees</t>
    <phoneticPr fontId="4" type="noConversion"/>
  </si>
  <si>
    <t>Contract Salary</t>
  </si>
  <si>
    <t>Social Insurance City</t>
  </si>
  <si>
    <t>Exit Date</t>
  </si>
  <si>
    <t>Contract Expiry Date</t>
  </si>
  <si>
    <t>Contract Starting Date</t>
  </si>
  <si>
    <t>ID No.</t>
  </si>
  <si>
    <t>Name</t>
  </si>
  <si>
    <t>Salary Cycle</t>
  </si>
  <si>
    <t>NO.</t>
  </si>
  <si>
    <t>总计</t>
  </si>
  <si>
    <t>增值税</t>
    <phoneticPr fontId="4" type="noConversion"/>
  </si>
  <si>
    <t>外包服务费</t>
    <phoneticPr fontId="4" type="noConversion"/>
  </si>
  <si>
    <t>社保备注</t>
  </si>
  <si>
    <t>代收付合计</t>
  </si>
  <si>
    <t>工会费</t>
    <phoneticPr fontId="4" type="noConversion"/>
  </si>
  <si>
    <t>企业五险一金合计</t>
  </si>
  <si>
    <t>残保金</t>
    <phoneticPr fontId="4" type="noConversion"/>
  </si>
  <si>
    <t>公积金</t>
  </si>
  <si>
    <t>生育保险</t>
  </si>
  <si>
    <t>工伤保险</t>
  </si>
  <si>
    <t>失业保险</t>
  </si>
  <si>
    <t>医疗缴费</t>
  </si>
  <si>
    <t>养老缴费</t>
  </si>
  <si>
    <t>公积金基数</t>
  </si>
  <si>
    <t>社保基数</t>
  </si>
  <si>
    <t>员工实发合计</t>
  </si>
  <si>
    <t>税后扣减</t>
  </si>
  <si>
    <t>税后增加</t>
  </si>
  <si>
    <t>本月个人所得税-系统导出</t>
    <phoneticPr fontId="4" type="noConversion"/>
  </si>
  <si>
    <t>员工五险一金合计</t>
  </si>
  <si>
    <t>住房公积金(个人)</t>
  </si>
  <si>
    <t>公积金基数(个人)</t>
  </si>
  <si>
    <t>失业保险(个人)</t>
  </si>
  <si>
    <t>医疗保险(个人)</t>
  </si>
  <si>
    <t>养老保险(个人)</t>
  </si>
  <si>
    <t>社保基数(个人)</t>
  </si>
  <si>
    <t>当月税前工资合计</t>
  </si>
  <si>
    <t>专项费用</t>
    <phoneticPr fontId="4" type="noConversion"/>
  </si>
  <si>
    <t>量化费用</t>
    <phoneticPr fontId="4" type="noConversion"/>
  </si>
  <si>
    <t>考核费用</t>
    <phoneticPr fontId="4" type="noConversion"/>
  </si>
  <si>
    <t>星级费用</t>
    <phoneticPr fontId="4" type="noConversion"/>
  </si>
  <si>
    <t>社保缴纳地</t>
  </si>
  <si>
    <t>离职日期</t>
  </si>
  <si>
    <t>劳动合同结束日期</t>
  </si>
  <si>
    <t>劳动合同起始日期</t>
  </si>
  <si>
    <t>身份证号</t>
  </si>
  <si>
    <t>姓名</t>
  </si>
  <si>
    <t>计薪
周期</t>
  </si>
  <si>
    <t>序号</t>
  </si>
  <si>
    <t>工号</t>
  </si>
  <si>
    <t>税前项合计</t>
    <phoneticPr fontId="4" type="noConversion"/>
  </si>
  <si>
    <t>Employee No.</t>
  </si>
  <si>
    <t>Total</t>
    <phoneticPr fontId="4" type="noConversion"/>
  </si>
  <si>
    <t>高温费及清凉饮料费
（6-9月）</t>
  </si>
  <si>
    <t>劳防用品</t>
  </si>
  <si>
    <t>实际结算</t>
    <phoneticPr fontId="6" type="noConversion"/>
  </si>
  <si>
    <t>差额下月补</t>
    <phoneticPr fontId="6" type="noConversion"/>
  </si>
  <si>
    <t>供应商补差</t>
    <phoneticPr fontId="6" type="noConversion"/>
  </si>
  <si>
    <t>合计</t>
    <phoneticPr fontId="6" type="noConversion"/>
  </si>
  <si>
    <t>部门加奖</t>
    <phoneticPr fontId="6" type="noConversion"/>
  </si>
  <si>
    <t>效能补贴</t>
    <phoneticPr fontId="6" type="noConversion"/>
  </si>
  <si>
    <t>陈翔宇</t>
    <phoneticPr fontId="6" type="noConversion"/>
  </si>
  <si>
    <t>421024199409102039</t>
    <phoneticPr fontId="6" type="noConversion"/>
  </si>
  <si>
    <t>WB023742</t>
    <phoneticPr fontId="6" type="noConversion"/>
  </si>
  <si>
    <t>汪思思</t>
  </si>
  <si>
    <t>362334198307140025</t>
  </si>
  <si>
    <t>颜双徐</t>
  </si>
  <si>
    <t>31010919920227201X</t>
  </si>
  <si>
    <t>曾娓</t>
  </si>
  <si>
    <t>362529198711200026</t>
  </si>
  <si>
    <t>顾杰</t>
  </si>
  <si>
    <t>310225198410064814</t>
  </si>
  <si>
    <t>赵俊</t>
  </si>
  <si>
    <t>310102198712184475</t>
  </si>
  <si>
    <t>陈斌</t>
  </si>
  <si>
    <t>310106198410231614</t>
  </si>
  <si>
    <t>胡颖琦</t>
  </si>
  <si>
    <t>310101197211151615</t>
  </si>
  <si>
    <t>陈敏</t>
  </si>
  <si>
    <t>330327198311300617</t>
  </si>
  <si>
    <t>黄晓菲</t>
  </si>
  <si>
    <t>310114198604103821</t>
  </si>
  <si>
    <t>万珺</t>
  </si>
  <si>
    <t>310104199005144025</t>
  </si>
  <si>
    <t>王俊</t>
  </si>
  <si>
    <t>310107197803012414</t>
  </si>
  <si>
    <t>诸振</t>
  </si>
  <si>
    <t>310104198909022851</t>
  </si>
  <si>
    <t>李斌</t>
  </si>
  <si>
    <t>310107197703162810</t>
  </si>
  <si>
    <t>李亮</t>
  </si>
  <si>
    <t>341222198207144154</t>
  </si>
  <si>
    <t>王永其</t>
  </si>
  <si>
    <t>310114199401273219</t>
  </si>
  <si>
    <t>张弘开</t>
  </si>
  <si>
    <t>310102199503181635</t>
  </si>
  <si>
    <t>周浩帆</t>
  </si>
  <si>
    <t>440582198302042610</t>
  </si>
  <si>
    <t>高妮彬</t>
  </si>
  <si>
    <t>310107197911290905</t>
  </si>
  <si>
    <t>顾恺凯</t>
  </si>
  <si>
    <t>310105198204080011</t>
  </si>
  <si>
    <t>许晓春</t>
  </si>
  <si>
    <t>310104198302137214</t>
  </si>
  <si>
    <t>张英</t>
  </si>
  <si>
    <t>310226197901044123</t>
  </si>
  <si>
    <t>黄良剑</t>
  </si>
  <si>
    <t>362321198304151616</t>
  </si>
  <si>
    <t>张渊然</t>
  </si>
  <si>
    <t>310102197903070054</t>
  </si>
  <si>
    <t>WB053401</t>
  </si>
  <si>
    <t>WB002504</t>
  </si>
  <si>
    <t>WB047229</t>
  </si>
  <si>
    <t>WB019304</t>
  </si>
  <si>
    <t>WB038424</t>
  </si>
  <si>
    <t>WB013461</t>
  </si>
  <si>
    <t>WB050221</t>
  </si>
  <si>
    <t>WB003568</t>
  </si>
  <si>
    <t>WB019309</t>
  </si>
  <si>
    <t>WB002502</t>
  </si>
  <si>
    <t>WB025262</t>
  </si>
  <si>
    <t>WB002503</t>
  </si>
  <si>
    <t>WB053339</t>
  </si>
  <si>
    <t>WB053251</t>
  </si>
  <si>
    <t>WB029437</t>
  </si>
  <si>
    <t>WB002497</t>
  </si>
  <si>
    <t>WB002499</t>
  </si>
  <si>
    <t>WB044167</t>
  </si>
  <si>
    <t>WB013277</t>
  </si>
  <si>
    <t>WB025394</t>
  </si>
  <si>
    <t>WB013289</t>
  </si>
  <si>
    <t>WB040885</t>
  </si>
  <si>
    <t>WB063833</t>
  </si>
  <si>
    <t>郑克铭</t>
    <phoneticPr fontId="6" type="noConversion"/>
  </si>
  <si>
    <t>31010119770301561X</t>
  </si>
  <si>
    <t>WB050054</t>
    <phoneticPr fontId="6" type="noConversion"/>
  </si>
  <si>
    <t>其他费用</t>
    <phoneticPr fontId="6" type="noConversion"/>
  </si>
  <si>
    <t>体检费用</t>
    <phoneticPr fontId="4" type="noConversion"/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</si>
  <si>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</si>
  <si>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</si>
  <si>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</si>
  <si>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</si>
  <si>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</si>
  <si>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</si>
  <si>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</si>
  <si>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2024年12月</t>
  </si>
  <si>
    <t>公司名称：中国电信股份有限公司上海分公司</t>
  </si>
  <si>
    <t>帐单号：202412CH6596104</t>
  </si>
  <si>
    <t>发生年月</t>
  </si>
  <si>
    <t>入职日期</t>
  </si>
  <si>
    <t>管理费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</si>
  <si>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</si>
  <si>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</si>
  <si>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</si>
  <si>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</si>
  <si>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</si>
  <si>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</si>
  <si>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</si>
  <si>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</si>
  <si>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</si>
  <si>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</si>
  <si>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</si>
  <si>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</si>
  <si>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</si>
  <si>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</si>
  <si>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</si>
  <si>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增值税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</si>
  <si>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</si>
  <si>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</si>
  <si>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</si>
  <si>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</si>
  <si>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</si>
  <si>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</si>
  <si>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</si>
  <si>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</si>
  <si>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</si>
  <si>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</si>
  <si>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</si>
  <si>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</si>
  <si>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</si>
  <si>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</si>
  <si>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</si>
  <si>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</si>
  <si>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</si>
  <si>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Total</t>
  </si>
  <si>
    <t>Remarks</t>
  </si>
  <si>
    <t>SFSC ID</t>
  </si>
  <si>
    <t>ID Card</t>
  </si>
  <si>
    <t>Taxable Amount</t>
  </si>
  <si>
    <t>Tax Rate</t>
  </si>
  <si>
    <t>202412</t>
  </si>
  <si>
    <t>2024-06-01</t>
  </si>
  <si>
    <t>5570941</t>
  </si>
  <si>
    <t>6%</t>
  </si>
  <si>
    <t>5543037</t>
  </si>
  <si>
    <t>陈翔宇</t>
  </si>
  <si>
    <t>2024-04-01</t>
  </si>
  <si>
    <t>5687584</t>
  </si>
  <si>
    <t>421024199409102039</t>
  </si>
  <si>
    <t>5545659</t>
  </si>
  <si>
    <t>5570939</t>
  </si>
  <si>
    <t>5545661</t>
  </si>
  <si>
    <t>D05847</t>
  </si>
  <si>
    <t>5780654</t>
  </si>
  <si>
    <t>5543034</t>
  </si>
  <si>
    <t>5571016</t>
  </si>
  <si>
    <t>5566064</t>
  </si>
  <si>
    <t>5543035</t>
  </si>
  <si>
    <t>5578735</t>
  </si>
  <si>
    <t>726873</t>
  </si>
  <si>
    <t>5543042</t>
  </si>
  <si>
    <t>5545657</t>
  </si>
  <si>
    <t>5543038</t>
  </si>
  <si>
    <t>5570940</t>
  </si>
  <si>
    <t>5543039</t>
  </si>
  <si>
    <t>5545660</t>
  </si>
  <si>
    <t>5922349</t>
  </si>
  <si>
    <t>5570942</t>
  </si>
  <si>
    <t>郑克铭</t>
  </si>
  <si>
    <t>2024-07-01</t>
  </si>
  <si>
    <t>5570943</t>
  </si>
  <si>
    <t>5543040</t>
  </si>
  <si>
    <t>5543036</t>
  </si>
  <si>
    <t>合计（RMB）</t>
  </si>
  <si>
    <t>总计（RMB）已包含历月补收人民币贰拾柒万陆仟壹佰叁拾肆圆叁角伍分</t>
  </si>
  <si>
    <t>其他费用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</si>
  <si>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</si>
  <si>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</si>
  <si>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</si>
  <si>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</si>
  <si>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</si>
  <si>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</si>
  <si>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</si>
  <si>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</si>
  <si>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</si>
  <si>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</si>
  <si>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</si>
  <si>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</si>
  <si>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本次价税合计(RMB):人民币贰拾柒万陆仟壹佰叁拾肆圆叁角伍分</t>
  </si>
  <si>
    <t>本月价税合计（RMB）：276134.35 其中已开票276134.35</t>
  </si>
  <si>
    <t>本月总计（RMB）人民币贰拾柒万陆仟壹佰叁拾肆圆叁角伍分                ￥276134.35</t>
  </si>
  <si>
    <t>制单人：</t>
  </si>
  <si>
    <t>制单日期：2024-12-20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</si>
  <si>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</si>
  <si>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</si>
  <si>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</si>
  <si>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</si>
  <si>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</si>
  <si>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</si>
  <si>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</si>
  <si>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</si>
  <si>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</si>
  <si>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</si>
  <si>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</si>
  <si>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</si>
  <si>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</si>
  <si>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</si>
  <si>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</si>
  <si>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</si>
  <si>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</si>
  <si>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</si>
  <si>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</si>
  <si>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</si>
  <si>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</si>
  <si>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</si>
  <si>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</si>
  <si>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</si>
  <si>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</si>
  <si>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</si>
  <si>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</si>
  <si>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</si>
  <si>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</si>
  <si>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</si>
  <si>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</si>
  <si>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</si>
  <si>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</si>
  <si>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科目</t>
  </si>
  <si>
    <t>手工账单</t>
  </si>
  <si>
    <t>系统已有金额（不做一次性）</t>
    <phoneticPr fontId="4" type="noConversion"/>
  </si>
  <si>
    <t>4-11月工会费</t>
    <phoneticPr fontId="4" type="noConversion"/>
  </si>
  <si>
    <t>12月工会费</t>
    <phoneticPr fontId="4" type="noConversion"/>
  </si>
  <si>
    <t>合计</t>
  </si>
  <si>
    <t>差异</t>
    <phoneticPr fontId="4" type="noConversion"/>
  </si>
  <si>
    <t>风险费</t>
  </si>
  <si>
    <t>个人四金</t>
  </si>
  <si>
    <t>公司四金</t>
  </si>
  <si>
    <t>残保金</t>
  </si>
  <si>
    <t>代发工资</t>
  </si>
  <si>
    <t>上月垫付</t>
    <phoneticPr fontId="4" type="noConversion"/>
  </si>
  <si>
    <t>小计</t>
  </si>
  <si>
    <t>附加税</t>
  </si>
  <si>
    <t>给客户账单金额</t>
  </si>
  <si>
    <t>差异</t>
  </si>
  <si>
    <t>不含税差异</t>
  </si>
  <si>
    <t>速创账单</t>
    <phoneticPr fontId="6" type="noConversion"/>
  </si>
  <si>
    <t>备注（工会费已+，差风险金）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</si>
</sst>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_ "/>
    <numFmt numFmtId="178" formatCode="0.00_ "/>
    <numFmt numFmtId="179" formatCode="0_);[Red]\(0\)"/>
  </numFmts>
  <fonts count="32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8"/>
      <name val="阿里巴巴普惠体 R"/>
      <family val="1"/>
      <charset val="134"/>
    </font>
    <font>
      <sz val="9"/>
      <name val="阿里巴巴普惠体 R"/>
      <family val="1"/>
      <charset val="134"/>
    </font>
    <font>
      <sz val="7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10"/>
      <color rgb="FF000000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/>
    <xf numFmtId="0" fontId="1" fillId="0" borderId="0"/>
    <xf numFmtId="0" fontId="7" fillId="0" borderId="0">
      <alignment vertical="center"/>
    </xf>
  </cellStyleXfs>
  <cellXfs count="105">
    <xf numFmtId="0" fontId="0" fillId="0" borderId="0" xfId="0">
      <alignment vertical="center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9" fillId="7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/>
    <xf numFmtId="2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7" borderId="1" xfId="0" applyNumberFormat="1" applyFont="1" applyFill="1" applyBorder="1" applyAlignment="1" applyProtection="1">
      <alignment horizontal="center" vertical="center" wrapText="1"/>
      <protection locked="0"/>
    </xf>
    <xf numFmtId="2" fontId="1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/>
    </xf>
    <xf numFmtId="0" fontId="9" fillId="0" borderId="1" xfId="2" applyFont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49" fontId="9" fillId="0" borderId="1" xfId="2" applyNumberFormat="1" applyFont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8" fillId="2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43" fontId="13" fillId="0" borderId="0" xfId="3" applyFont="1">
      <alignment vertical="center"/>
    </xf>
    <xf numFmtId="43" fontId="13" fillId="5" borderId="0" xfId="3" applyFont="1" applyFill="1">
      <alignment vertical="center"/>
    </xf>
    <xf numFmtId="176" fontId="13" fillId="0" borderId="0" xfId="0" applyNumberFormat="1" applyFont="1">
      <alignment vertical="center"/>
    </xf>
    <xf numFmtId="0" fontId="13" fillId="6" borderId="0" xfId="0" applyFont="1" applyFill="1">
      <alignment vertical="center"/>
    </xf>
    <xf numFmtId="43" fontId="13" fillId="0" borderId="0" xfId="0" applyNumberFormat="1" applyFont="1">
      <alignment vertical="center"/>
    </xf>
    <xf numFmtId="177" fontId="8" fillId="0" borderId="1" xfId="0" applyNumberFormat="1" applyFont="1" applyFill="1" applyBorder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178" fontId="16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49" fontId="19" fillId="0" borderId="0" xfId="0" applyNumberFormat="1" applyFont="1" applyAlignment="1">
      <alignment horizontal="center" vertical="center"/>
    </xf>
    <xf numFmtId="178" fontId="19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left" vertical="center"/>
    </xf>
    <xf numFmtId="49" fontId="20" fillId="0" borderId="5" xfId="0" applyNumberFormat="1" applyFont="1" applyBorder="1" applyAlignment="1">
      <alignment horizontal="center" wrapText="1"/>
    </xf>
    <xf numFmtId="178" fontId="20" fillId="0" borderId="5" xfId="0" applyNumberFormat="1" applyFont="1" applyBorder="1" applyAlignment="1">
      <alignment horizontal="center" wrapText="1"/>
    </xf>
    <xf numFmtId="178" fontId="20" fillId="0" borderId="5" xfId="0" applyNumberFormat="1" applyFont="1" applyBorder="1" applyAlignment="1">
      <alignment horizontal="center" vertical="top" wrapText="1"/>
    </xf>
    <xf numFmtId="178" fontId="21" fillId="0" borderId="5" xfId="0" applyNumberFormat="1" applyFont="1" applyBorder="1" applyAlignment="1">
      <alignment horizontal="center" wrapText="1"/>
    </xf>
    <xf numFmtId="49" fontId="20" fillId="0" borderId="6" xfId="0" applyNumberFormat="1" applyFont="1" applyBorder="1" applyAlignment="1">
      <alignment horizontal="center" vertical="top" wrapText="1"/>
    </xf>
    <xf numFmtId="178" fontId="20" fillId="0" borderId="6" xfId="0" applyNumberFormat="1" applyFont="1" applyBorder="1" applyAlignment="1">
      <alignment horizontal="center" vertical="top" wrapText="1"/>
    </xf>
    <xf numFmtId="178" fontId="20" fillId="0" borderId="1" xfId="0" applyNumberFormat="1" applyFont="1" applyBorder="1" applyAlignment="1">
      <alignment horizontal="center" vertical="top" wrapText="1"/>
    </xf>
    <xf numFmtId="178" fontId="21" fillId="0" borderId="6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178" fontId="22" fillId="0" borderId="1" xfId="0" applyNumberFormat="1" applyFont="1" applyBorder="1" applyAlignment="1">
      <alignment horizontal="right" vertical="center"/>
    </xf>
    <xf numFmtId="178" fontId="23" fillId="0" borderId="1" xfId="0" applyNumberFormat="1" applyFont="1" applyBorder="1" applyAlignment="1">
      <alignment horizontal="right" vertical="center"/>
    </xf>
    <xf numFmtId="178" fontId="22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left" vertical="center"/>
    </xf>
    <xf numFmtId="7" fontId="23" fillId="0" borderId="1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49" fontId="24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178" fontId="22" fillId="0" borderId="0" xfId="0" applyNumberFormat="1" applyFont="1" applyAlignment="1">
      <alignment horizontal="center" vertical="center"/>
    </xf>
    <xf numFmtId="178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>
      <alignment horizontal="center" wrapText="1"/>
    </xf>
    <xf numFmtId="178" fontId="20" fillId="0" borderId="0" xfId="0" applyNumberFormat="1" applyFont="1" applyAlignment="1">
      <alignment horizontal="center" vertical="top" wrapText="1"/>
    </xf>
    <xf numFmtId="49" fontId="20" fillId="0" borderId="0" xfId="0" applyNumberFormat="1" applyFont="1" applyAlignment="1">
      <alignment horizontal="center" vertical="top" wrapText="1"/>
    </xf>
    <xf numFmtId="7" fontId="22" fillId="0" borderId="1" xfId="0" applyNumberFormat="1" applyFont="1" applyBorder="1" applyAlignment="1">
      <alignment horizontal="right" vertical="center"/>
    </xf>
    <xf numFmtId="7" fontId="22" fillId="0" borderId="2" xfId="0" applyNumberFormat="1" applyFont="1" applyBorder="1" applyAlignment="1">
      <alignment horizontal="center" vertical="center"/>
    </xf>
    <xf numFmtId="49" fontId="22" fillId="0" borderId="0" xfId="0" applyNumberFormat="1" applyFont="1" applyAlignment="1">
      <alignment horizontal="left" vertical="center"/>
    </xf>
    <xf numFmtId="7" fontId="22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178" fontId="2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8" fontId="15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27" fillId="0" borderId="1" xfId="0" applyFont="1" applyFill="1" applyBorder="1" applyAlignment="1">
      <alignment horizontal="center" vertical="center"/>
    </xf>
    <xf numFmtId="43" fontId="27" fillId="0" borderId="1" xfId="0" applyNumberFormat="1" applyFont="1" applyFill="1" applyBorder="1" applyAlignment="1">
      <alignment horizontal="center" vertical="center"/>
    </xf>
    <xf numFmtId="43" fontId="27" fillId="0" borderId="7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27" fillId="5" borderId="1" xfId="0" applyNumberFormat="1" applyFont="1" applyFill="1" applyBorder="1" applyAlignment="1">
      <alignment horizontal="center" vertical="center"/>
    </xf>
    <xf numFmtId="43" fontId="27" fillId="0" borderId="1" xfId="3" applyFont="1" applyFill="1" applyBorder="1" applyAlignment="1">
      <alignment horizontal="center" vertical="center"/>
    </xf>
    <xf numFmtId="43" fontId="27" fillId="0" borderId="1" xfId="0" applyNumberFormat="1" applyFont="1" applyFill="1" applyBorder="1" applyAlignment="1">
      <alignment horizontal="right" vertical="center"/>
    </xf>
    <xf numFmtId="0" fontId="28" fillId="5" borderId="1" xfId="0" applyFont="1" applyFill="1" applyBorder="1" applyAlignment="1">
      <alignment horizontal="center" vertical="center"/>
    </xf>
    <xf numFmtId="43" fontId="28" fillId="5" borderId="1" xfId="0" applyNumberFormat="1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43" fontId="28" fillId="8" borderId="1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4" borderId="3" xfId="0" applyFont="1" applyFill="1" applyBorder="1" applyAlignment="1" applyProtection="1">
      <alignment horizontal="center" vertical="center" wrapText="1"/>
      <protection locked="0"/>
    </xf>
    <xf numFmtId="0" fontId="8" fillId="4" borderId="2" xfId="0" applyFont="1" applyFill="1" applyBorder="1" applyAlignment="1" applyProtection="1">
      <alignment horizontal="center" vertical="center" wrapText="1"/>
      <protection locked="0"/>
    </xf>
    <xf numFmtId="49" fontId="22" fillId="0" borderId="4" xfId="0" applyNumberFormat="1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178" fontId="20" fillId="0" borderId="4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49" fontId="25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3" fontId="14" fillId="0" borderId="0" xfId="0" applyNumberFormat="1" applyFont="1">
      <alignment vertical="center"/>
    </xf>
  </cellXfs>
  <cellStyles count="8">
    <cellStyle name="常规" xfId="0" builtinId="0"/>
    <cellStyle name="常规 10" xfId="1" xr:uid="{00000000-0005-0000-0000-000001000000}"/>
    <cellStyle name="常规 2" xfId="2" xr:uid="{00000000-0005-0000-0000-000002000000}"/>
    <cellStyle name="常规 3" xfId="4" xr:uid="{00000000-0005-0000-0000-000003000000}"/>
    <cellStyle name="常规 3 3 2" xfId="7" xr:uid="{5830D9FF-70BD-48BE-8FB9-1F8E09A2D4C7}"/>
    <cellStyle name="常规 4" xfId="5" xr:uid="{00000000-0005-0000-0000-000004000000}"/>
    <cellStyle name="常规 5" xfId="6" xr:uid="{00000000-0005-0000-0000-000005000000}"/>
    <cellStyle name="千位分隔" xfId="3" builtinId="3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8"/>
  <sheetViews>
    <sheetView zoomScale="93" zoomScaleNormal="93" workbookViewId="0">
      <pane xSplit="5" ySplit="2" topLeftCell="AR13" activePane="bottomRight" state="frozen"/>
      <selection activeCell="E28" sqref="E28"/>
      <selection pane="topRight" activeCell="E28" sqref="E28"/>
      <selection pane="bottomLeft" activeCell="E28" sqref="E28"/>
      <selection pane="bottomRight" activeCell="AV30" sqref="AV30"/>
    </sheetView>
  </sheetViews>
  <sheetFormatPr defaultColWidth="8.6640625" defaultRowHeight="16.2" x14ac:dyDescent="0.25"/>
  <cols>
    <col min="1" max="1" width="7.33203125" style="34" customWidth="1"/>
    <col min="2" max="2" width="5.33203125" style="34" bestFit="1" customWidth="1"/>
    <col min="3" max="3" width="8.5546875" style="34" bestFit="1" customWidth="1"/>
    <col min="4" max="4" width="6.5546875" style="34" bestFit="1" customWidth="1"/>
    <col min="5" max="5" width="20.44140625" style="34" bestFit="1" customWidth="1"/>
    <col min="6" max="6" width="7.6640625" style="34" bestFit="1" customWidth="1"/>
    <col min="7" max="7" width="8.44140625" style="34" bestFit="1" customWidth="1"/>
    <col min="8" max="8" width="10.109375" style="34" bestFit="1" customWidth="1"/>
    <col min="9" max="9" width="7.5546875" style="34" bestFit="1" customWidth="1"/>
    <col min="10" max="10" width="6.33203125" style="34" bestFit="1" customWidth="1"/>
    <col min="11" max="11" width="8.109375" style="34" bestFit="1" customWidth="1"/>
    <col min="12" max="12" width="7.6640625" style="34" bestFit="1" customWidth="1"/>
    <col min="13" max="13" width="9" style="34" customWidth="1"/>
    <col min="14" max="14" width="5.33203125" style="34" bestFit="1" customWidth="1"/>
    <col min="15" max="15" width="7.33203125" style="34" bestFit="1" customWidth="1"/>
    <col min="16" max="16" width="6.21875" style="34" customWidth="1"/>
    <col min="17" max="17" width="8" style="34" bestFit="1" customWidth="1"/>
    <col min="18" max="18" width="6.6640625" style="34" bestFit="1" customWidth="1"/>
    <col min="19" max="19" width="8" style="34" bestFit="1" customWidth="1"/>
    <col min="20" max="20" width="8.44140625" style="34" customWidth="1"/>
    <col min="21" max="21" width="10.44140625" style="34" customWidth="1"/>
    <col min="22" max="22" width="6.6640625" style="34" bestFit="1" customWidth="1"/>
    <col min="23" max="23" width="6.44140625" style="34" bestFit="1" customWidth="1"/>
    <col min="24" max="24" width="7.33203125" style="34" bestFit="1" customWidth="1"/>
    <col min="25" max="25" width="7.88671875" style="34" bestFit="1" customWidth="1"/>
    <col min="26" max="26" width="13.6640625" style="34" bestFit="1" customWidth="1"/>
    <col min="27" max="27" width="8.109375" style="34" bestFit="1" customWidth="1"/>
    <col min="28" max="29" width="7.5546875" style="34" bestFit="1" customWidth="1"/>
    <col min="30" max="30" width="8.21875" style="34" bestFit="1" customWidth="1"/>
    <col min="31" max="32" width="8.5546875" style="34" bestFit="1" customWidth="1"/>
    <col min="33" max="33" width="15.33203125" style="34" bestFit="1" customWidth="1"/>
    <col min="34" max="34" width="10" style="34" bestFit="1" customWidth="1"/>
    <col min="35" max="35" width="7" style="34" bestFit="1" customWidth="1"/>
    <col min="36" max="36" width="7.77734375" style="34" bestFit="1" customWidth="1"/>
    <col min="37" max="37" width="17.109375" style="34" bestFit="1" customWidth="1"/>
    <col min="38" max="38" width="8.109375" style="34" bestFit="1" customWidth="1"/>
    <col min="39" max="39" width="8.5546875" style="34" bestFit="1" customWidth="1"/>
    <col min="40" max="41" width="7.33203125" style="34" bestFit="1" customWidth="1"/>
    <col min="42" max="42" width="8.21875" style="34" bestFit="1" customWidth="1"/>
    <col min="43" max="43" width="6.109375" style="34" bestFit="1" customWidth="1"/>
    <col min="44" max="44" width="7.5546875" style="34" bestFit="1" customWidth="1"/>
    <col min="45" max="45" width="7.33203125" style="34" bestFit="1" customWidth="1"/>
    <col min="46" max="46" width="16" style="34" bestFit="1" customWidth="1"/>
    <col min="47" max="47" width="15.33203125" style="34" bestFit="1" customWidth="1"/>
    <col min="48" max="48" width="12.21875" style="34" customWidth="1"/>
    <col min="49" max="49" width="13.6640625" style="34" bestFit="1" customWidth="1"/>
    <col min="50" max="50" width="11" style="34" bestFit="1" customWidth="1"/>
    <col min="51" max="51" width="47" style="34" bestFit="1" customWidth="1"/>
    <col min="52" max="52" width="11.88671875" style="34" bestFit="1" customWidth="1"/>
    <col min="53" max="53" width="13.6640625" style="34" bestFit="1" customWidth="1"/>
    <col min="54" max="54" width="12.33203125" style="34" bestFit="1" customWidth="1"/>
    <col min="55" max="55" width="13.6640625" style="34" bestFit="1" customWidth="1"/>
    <col min="56" max="16384" width="8.6640625" style="34"/>
  </cols>
  <sheetData>
    <row r="1" spans="1:57" s="10" customFormat="1" ht="26.1" customHeight="1" x14ac:dyDescent="0.3">
      <c r="A1" s="1" t="s">
        <v>84</v>
      </c>
      <c r="B1" s="2" t="s">
        <v>83</v>
      </c>
      <c r="C1" s="3" t="s">
        <v>85</v>
      </c>
      <c r="D1" s="3" t="s">
        <v>82</v>
      </c>
      <c r="E1" s="3" t="s">
        <v>81</v>
      </c>
      <c r="F1" s="1" t="s">
        <v>80</v>
      </c>
      <c r="G1" s="1" t="s">
        <v>79</v>
      </c>
      <c r="H1" s="1" t="s">
        <v>78</v>
      </c>
      <c r="I1" s="1" t="s">
        <v>77</v>
      </c>
      <c r="J1" s="4" t="s">
        <v>76</v>
      </c>
      <c r="K1" s="1" t="s">
        <v>75</v>
      </c>
      <c r="L1" s="1" t="s">
        <v>74</v>
      </c>
      <c r="M1" s="94" t="s">
        <v>73</v>
      </c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6"/>
      <c r="Z1" s="5" t="s">
        <v>72</v>
      </c>
      <c r="AA1" s="4" t="s">
        <v>71</v>
      </c>
      <c r="AB1" s="4" t="s">
        <v>70</v>
      </c>
      <c r="AC1" s="4" t="s">
        <v>69</v>
      </c>
      <c r="AD1" s="4" t="s">
        <v>68</v>
      </c>
      <c r="AE1" s="4" t="s">
        <v>67</v>
      </c>
      <c r="AF1" s="4" t="s">
        <v>66</v>
      </c>
      <c r="AG1" s="5" t="s">
        <v>65</v>
      </c>
      <c r="AH1" s="4" t="s">
        <v>64</v>
      </c>
      <c r="AI1" s="4" t="s">
        <v>63</v>
      </c>
      <c r="AJ1" s="4" t="s">
        <v>62</v>
      </c>
      <c r="AK1" s="5" t="s">
        <v>61</v>
      </c>
      <c r="AL1" s="4" t="s">
        <v>60</v>
      </c>
      <c r="AM1" s="4" t="s">
        <v>59</v>
      </c>
      <c r="AN1" s="4" t="s">
        <v>58</v>
      </c>
      <c r="AO1" s="4" t="s">
        <v>57</v>
      </c>
      <c r="AP1" s="4" t="s">
        <v>56</v>
      </c>
      <c r="AQ1" s="4" t="s">
        <v>55</v>
      </c>
      <c r="AR1" s="4" t="s">
        <v>54</v>
      </c>
      <c r="AS1" s="4" t="s">
        <v>53</v>
      </c>
      <c r="AT1" s="4" t="s">
        <v>52</v>
      </c>
      <c r="AU1" s="5" t="s">
        <v>51</v>
      </c>
      <c r="AV1" s="5" t="s">
        <v>50</v>
      </c>
      <c r="AW1" s="6" t="s">
        <v>49</v>
      </c>
      <c r="AX1" s="7" t="s">
        <v>93</v>
      </c>
      <c r="AY1" s="8" t="s">
        <v>48</v>
      </c>
      <c r="AZ1" s="6" t="s">
        <v>47</v>
      </c>
      <c r="BA1" s="9" t="s">
        <v>86</v>
      </c>
      <c r="BB1" s="6" t="s">
        <v>46</v>
      </c>
      <c r="BC1" s="6" t="s">
        <v>45</v>
      </c>
    </row>
    <row r="2" spans="1:57" s="17" customFormat="1" ht="30.6" x14ac:dyDescent="0.25">
      <c r="A2" s="11" t="s">
        <v>44</v>
      </c>
      <c r="B2" s="12" t="s">
        <v>43</v>
      </c>
      <c r="C2" s="11" t="s">
        <v>87</v>
      </c>
      <c r="D2" s="11" t="s">
        <v>42</v>
      </c>
      <c r="E2" s="11" t="s">
        <v>41</v>
      </c>
      <c r="F2" s="11" t="s">
        <v>40</v>
      </c>
      <c r="G2" s="11" t="s">
        <v>39</v>
      </c>
      <c r="H2" s="11" t="s">
        <v>38</v>
      </c>
      <c r="I2" s="11" t="s">
        <v>37</v>
      </c>
      <c r="J2" s="13" t="s">
        <v>36</v>
      </c>
      <c r="K2" s="11" t="s">
        <v>35</v>
      </c>
      <c r="L2" s="11" t="s">
        <v>34</v>
      </c>
      <c r="M2" s="11" t="s">
        <v>33</v>
      </c>
      <c r="N2" s="11" t="s">
        <v>95</v>
      </c>
      <c r="O2" s="11" t="s">
        <v>172</v>
      </c>
      <c r="P2" s="11" t="s">
        <v>96</v>
      </c>
      <c r="Q2" s="11" t="s">
        <v>89</v>
      </c>
      <c r="R2" s="11" t="s">
        <v>32</v>
      </c>
      <c r="S2" s="11" t="s">
        <v>31</v>
      </c>
      <c r="T2" s="11" t="s">
        <v>30</v>
      </c>
      <c r="U2" s="11" t="s">
        <v>173</v>
      </c>
      <c r="V2" s="11" t="s">
        <v>29</v>
      </c>
      <c r="W2" s="11" t="s">
        <v>90</v>
      </c>
      <c r="X2" s="11" t="s">
        <v>28</v>
      </c>
      <c r="Y2" s="11" t="s">
        <v>27</v>
      </c>
      <c r="Z2" s="14" t="s">
        <v>26</v>
      </c>
      <c r="AA2" s="13" t="s">
        <v>16</v>
      </c>
      <c r="AB2" s="13" t="s">
        <v>25</v>
      </c>
      <c r="AC2" s="13" t="s">
        <v>24</v>
      </c>
      <c r="AD2" s="13" t="s">
        <v>23</v>
      </c>
      <c r="AE2" s="13" t="s">
        <v>15</v>
      </c>
      <c r="AF2" s="13" t="s">
        <v>22</v>
      </c>
      <c r="AG2" s="14" t="s">
        <v>21</v>
      </c>
      <c r="AH2" s="13" t="s">
        <v>20</v>
      </c>
      <c r="AI2" s="13" t="s">
        <v>19</v>
      </c>
      <c r="AJ2" s="13" t="s">
        <v>18</v>
      </c>
      <c r="AK2" s="14" t="s">
        <v>17</v>
      </c>
      <c r="AL2" s="13" t="s">
        <v>16</v>
      </c>
      <c r="AM2" s="13" t="s">
        <v>15</v>
      </c>
      <c r="AN2" s="13" t="s">
        <v>14</v>
      </c>
      <c r="AO2" s="13" t="s">
        <v>13</v>
      </c>
      <c r="AP2" s="13" t="s">
        <v>12</v>
      </c>
      <c r="AQ2" s="13" t="s">
        <v>11</v>
      </c>
      <c r="AR2" s="13" t="s">
        <v>10</v>
      </c>
      <c r="AS2" s="13" t="s">
        <v>9</v>
      </c>
      <c r="AT2" s="13" t="s">
        <v>8</v>
      </c>
      <c r="AU2" s="14" t="s">
        <v>7</v>
      </c>
      <c r="AV2" s="14" t="s">
        <v>6</v>
      </c>
      <c r="AW2" s="14" t="s">
        <v>5</v>
      </c>
      <c r="AX2" s="15"/>
      <c r="AY2" s="16" t="s">
        <v>4</v>
      </c>
      <c r="AZ2" s="6" t="s">
        <v>3</v>
      </c>
      <c r="BA2" s="9" t="s">
        <v>88</v>
      </c>
      <c r="BB2" s="6" t="s">
        <v>2</v>
      </c>
      <c r="BC2" s="6" t="s">
        <v>1</v>
      </c>
    </row>
    <row r="3" spans="1:57" s="33" customFormat="1" ht="15" customHeight="1" x14ac:dyDescent="0.25">
      <c r="A3" s="18">
        <f t="shared" ref="A3:A27" si="0">ROW()-2</f>
        <v>1</v>
      </c>
      <c r="B3" s="19">
        <v>2412</v>
      </c>
      <c r="C3" s="19" t="s">
        <v>99</v>
      </c>
      <c r="D3" s="18" t="s">
        <v>97</v>
      </c>
      <c r="E3" s="20" t="s">
        <v>98</v>
      </c>
      <c r="F3" s="21">
        <v>45383</v>
      </c>
      <c r="G3" s="21">
        <v>45747</v>
      </c>
      <c r="H3" s="18"/>
      <c r="I3" s="22" t="s">
        <v>0</v>
      </c>
      <c r="J3" s="23">
        <v>1510</v>
      </c>
      <c r="K3" s="24">
        <v>1048.5</v>
      </c>
      <c r="L3" s="24">
        <v>798.07</v>
      </c>
      <c r="M3" s="24"/>
      <c r="N3" s="24"/>
      <c r="O3" s="24">
        <v>0</v>
      </c>
      <c r="P3" s="24"/>
      <c r="Q3" s="24"/>
      <c r="R3" s="24">
        <v>630</v>
      </c>
      <c r="S3" s="24"/>
      <c r="T3" s="24"/>
      <c r="U3" s="24">
        <v>0</v>
      </c>
      <c r="V3" s="24"/>
      <c r="W3" s="24">
        <v>150</v>
      </c>
      <c r="X3" s="24">
        <v>602.75</v>
      </c>
      <c r="Y3" s="24">
        <v>-83</v>
      </c>
      <c r="Z3" s="25">
        <f t="shared" ref="Z3" si="1">SUM(J3:Y3)</f>
        <v>4656.32</v>
      </c>
      <c r="AA3" s="27">
        <v>7384</v>
      </c>
      <c r="AB3" s="27">
        <v>590.72</v>
      </c>
      <c r="AC3" s="27">
        <v>147.68</v>
      </c>
      <c r="AD3" s="27">
        <v>36.92</v>
      </c>
      <c r="AE3" s="27">
        <v>5865</v>
      </c>
      <c r="AF3" s="27">
        <v>411</v>
      </c>
      <c r="AG3" s="25">
        <f t="shared" ref="AG3" si="2">AB3+AC3+AD3+AF3</f>
        <v>1186.3200000000002</v>
      </c>
      <c r="AH3" s="28"/>
      <c r="AI3" s="29"/>
      <c r="AJ3" s="29"/>
      <c r="AK3" s="25">
        <f t="shared" ref="AK3:AK27" si="3">Z3-AG3-AH3</f>
        <v>3469.9999999999995</v>
      </c>
      <c r="AL3" s="26">
        <v>7384</v>
      </c>
      <c r="AM3" s="26">
        <v>5865</v>
      </c>
      <c r="AN3" s="26">
        <f t="shared" ref="AN3" si="4">ROUND(AL3*16%,2)</f>
        <v>1181.44</v>
      </c>
      <c r="AO3" s="26">
        <f>ROUND(AL3*9%,2)</f>
        <v>664.56</v>
      </c>
      <c r="AP3" s="26">
        <f t="shared" ref="AP3:AP27" si="5">ROUND(AL3*0.5%,2)</f>
        <v>36.92</v>
      </c>
      <c r="AQ3" s="26">
        <f t="shared" ref="AQ3:AQ27" si="6">ROUND(AL3*0.256%,2)</f>
        <v>18.899999999999999</v>
      </c>
      <c r="AR3" s="26"/>
      <c r="AS3" s="26">
        <f t="shared" ref="AS3:AS27" si="7">ROUND(AM3*7%,0)</f>
        <v>411</v>
      </c>
      <c r="AT3" s="26">
        <f t="shared" ref="AT3:AT27" si="8">ROUND(IF(AL3&lt;22792,AL3*1.5%,22792*1.5%),2)</f>
        <v>110.76</v>
      </c>
      <c r="AU3" s="25">
        <f t="shared" ref="AU3:AU27" si="9">SUM(AN3:AT3)</f>
        <v>2423.5800000000004</v>
      </c>
      <c r="AV3" s="25">
        <v>78</v>
      </c>
      <c r="AW3" s="25">
        <f t="shared" ref="AW3:AW27" si="10">AU3+Z3+AI3-AJ3+AV3</f>
        <v>7157.9</v>
      </c>
      <c r="AX3" s="30"/>
      <c r="AY3" s="40"/>
      <c r="AZ3" s="25">
        <v>255</v>
      </c>
      <c r="BA3" s="31">
        <f t="shared" ref="BA3" si="11">ROUND(AW3+AZ3+AX3,2)</f>
        <v>7412.9</v>
      </c>
      <c r="BB3" s="25">
        <f t="shared" ref="BB3:BB27" si="12">ROUND(BA3*6%,2)</f>
        <v>444.77</v>
      </c>
      <c r="BC3" s="25">
        <f>ROUND(SUM(BA3:BB3),2)</f>
        <v>7857.67</v>
      </c>
      <c r="BD3" s="32"/>
      <c r="BE3" s="32"/>
    </row>
    <row r="4" spans="1:57" s="33" customFormat="1" ht="15" customHeight="1" x14ac:dyDescent="0.25">
      <c r="A4" s="18">
        <f t="shared" si="0"/>
        <v>2</v>
      </c>
      <c r="B4" s="19">
        <v>2412</v>
      </c>
      <c r="C4" s="19" t="s">
        <v>146</v>
      </c>
      <c r="D4" s="18" t="s">
        <v>100</v>
      </c>
      <c r="E4" s="20" t="s">
        <v>101</v>
      </c>
      <c r="F4" s="21">
        <v>45444</v>
      </c>
      <c r="G4" s="21">
        <v>45808</v>
      </c>
      <c r="H4" s="18"/>
      <c r="I4" s="22" t="s">
        <v>0</v>
      </c>
      <c r="J4" s="23">
        <v>900</v>
      </c>
      <c r="K4" s="24">
        <v>2446.56</v>
      </c>
      <c r="L4" s="24">
        <v>848.78</v>
      </c>
      <c r="M4" s="24"/>
      <c r="N4" s="24"/>
      <c r="O4" s="24">
        <v>989.43</v>
      </c>
      <c r="P4" s="24"/>
      <c r="Q4" s="24"/>
      <c r="R4" s="24">
        <v>630</v>
      </c>
      <c r="S4" s="24"/>
      <c r="T4" s="24"/>
      <c r="U4" s="24">
        <v>0</v>
      </c>
      <c r="V4" s="24"/>
      <c r="W4" s="24">
        <v>150</v>
      </c>
      <c r="X4" s="24">
        <v>0</v>
      </c>
      <c r="Y4" s="24">
        <v>0</v>
      </c>
      <c r="Z4" s="25">
        <f t="shared" ref="Z4:Z27" si="13">SUM(J4:Y4)</f>
        <v>5964.77</v>
      </c>
      <c r="AA4" s="27">
        <v>7384</v>
      </c>
      <c r="AB4" s="27">
        <v>590.72</v>
      </c>
      <c r="AC4" s="27">
        <v>147.68</v>
      </c>
      <c r="AD4" s="27">
        <v>36.92</v>
      </c>
      <c r="AE4" s="27">
        <v>6776</v>
      </c>
      <c r="AF4" s="27">
        <v>474</v>
      </c>
      <c r="AG4" s="25">
        <f t="shared" ref="AG4:AG27" si="14">AB4+AC4+AD4+AF4</f>
        <v>1249.3200000000002</v>
      </c>
      <c r="AH4" s="28"/>
      <c r="AI4" s="29"/>
      <c r="AJ4" s="29"/>
      <c r="AK4" s="25">
        <f t="shared" si="3"/>
        <v>4715.4500000000007</v>
      </c>
      <c r="AL4" s="26">
        <v>7384</v>
      </c>
      <c r="AM4" s="26">
        <v>6776</v>
      </c>
      <c r="AN4" s="26">
        <f t="shared" ref="AN4:AN27" si="15">ROUND(AL4*16%,2)</f>
        <v>1181.44</v>
      </c>
      <c r="AO4" s="26">
        <f t="shared" ref="AO4:AO26" si="16">ROUND(AL4*9%,2)</f>
        <v>664.56</v>
      </c>
      <c r="AP4" s="26">
        <f t="shared" si="5"/>
        <v>36.92</v>
      </c>
      <c r="AQ4" s="26">
        <f t="shared" si="6"/>
        <v>18.899999999999999</v>
      </c>
      <c r="AR4" s="26"/>
      <c r="AS4" s="26">
        <f t="shared" si="7"/>
        <v>474</v>
      </c>
      <c r="AT4" s="26">
        <f t="shared" si="8"/>
        <v>110.76</v>
      </c>
      <c r="AU4" s="25">
        <f t="shared" si="9"/>
        <v>2486.5800000000004</v>
      </c>
      <c r="AV4" s="25">
        <v>104</v>
      </c>
      <c r="AW4" s="25">
        <f t="shared" si="10"/>
        <v>8555.35</v>
      </c>
      <c r="AX4" s="30"/>
      <c r="AY4" s="40"/>
      <c r="AZ4" s="25">
        <v>255</v>
      </c>
      <c r="BA4" s="31">
        <f t="shared" ref="BA4:BA27" si="17">ROUND(AW4+AZ4+AX4,2)</f>
        <v>8810.35</v>
      </c>
      <c r="BB4" s="25">
        <f t="shared" si="12"/>
        <v>528.62</v>
      </c>
      <c r="BC4" s="25">
        <f t="shared" ref="BC4:BC27" si="18">ROUND(SUM(BA4:BB4),2)</f>
        <v>9338.9699999999993</v>
      </c>
      <c r="BD4" s="32"/>
      <c r="BE4" s="32"/>
    </row>
    <row r="5" spans="1:57" s="33" customFormat="1" ht="15" customHeight="1" x14ac:dyDescent="0.25">
      <c r="A5" s="18">
        <f t="shared" si="0"/>
        <v>3</v>
      </c>
      <c r="B5" s="19">
        <v>2412</v>
      </c>
      <c r="C5" s="19" t="s">
        <v>147</v>
      </c>
      <c r="D5" s="18" t="s">
        <v>102</v>
      </c>
      <c r="E5" s="20" t="s">
        <v>103</v>
      </c>
      <c r="F5" s="21">
        <v>45444</v>
      </c>
      <c r="G5" s="21">
        <v>45808</v>
      </c>
      <c r="H5" s="18"/>
      <c r="I5" s="22" t="s">
        <v>0</v>
      </c>
      <c r="J5" s="23">
        <v>1030</v>
      </c>
      <c r="K5" s="24">
        <v>2016</v>
      </c>
      <c r="L5" s="24">
        <v>1146.5</v>
      </c>
      <c r="M5" s="24"/>
      <c r="N5" s="24"/>
      <c r="O5" s="24">
        <v>989.43</v>
      </c>
      <c r="P5" s="24"/>
      <c r="Q5" s="24"/>
      <c r="R5" s="24">
        <v>630</v>
      </c>
      <c r="S5" s="24"/>
      <c r="T5" s="24"/>
      <c r="U5" s="24">
        <v>0</v>
      </c>
      <c r="V5" s="24"/>
      <c r="W5" s="24">
        <v>150</v>
      </c>
      <c r="X5" s="24">
        <v>995.5</v>
      </c>
      <c r="Y5" s="24">
        <v>-45</v>
      </c>
      <c r="Z5" s="25">
        <f t="shared" si="13"/>
        <v>6912.43</v>
      </c>
      <c r="AA5" s="27">
        <v>14019</v>
      </c>
      <c r="AB5" s="27">
        <v>1121.52</v>
      </c>
      <c r="AC5" s="27">
        <v>280.38</v>
      </c>
      <c r="AD5" s="27">
        <v>70.099999999999994</v>
      </c>
      <c r="AE5" s="27">
        <v>14019</v>
      </c>
      <c r="AF5" s="27">
        <v>981</v>
      </c>
      <c r="AG5" s="25">
        <f t="shared" si="14"/>
        <v>2453</v>
      </c>
      <c r="AH5" s="28"/>
      <c r="AI5" s="29"/>
      <c r="AJ5" s="29"/>
      <c r="AK5" s="25">
        <f t="shared" si="3"/>
        <v>4459.43</v>
      </c>
      <c r="AL5" s="26">
        <v>14019</v>
      </c>
      <c r="AM5" s="26">
        <v>14019</v>
      </c>
      <c r="AN5" s="26">
        <f t="shared" si="15"/>
        <v>2243.04</v>
      </c>
      <c r="AO5" s="26">
        <v>1261.72</v>
      </c>
      <c r="AP5" s="26">
        <f t="shared" si="5"/>
        <v>70.099999999999994</v>
      </c>
      <c r="AQ5" s="26">
        <f t="shared" si="6"/>
        <v>35.89</v>
      </c>
      <c r="AR5" s="26"/>
      <c r="AS5" s="26">
        <f t="shared" si="7"/>
        <v>981</v>
      </c>
      <c r="AT5" s="26">
        <f t="shared" si="8"/>
        <v>210.29</v>
      </c>
      <c r="AU5" s="25">
        <f t="shared" si="9"/>
        <v>4802.04</v>
      </c>
      <c r="AV5" s="25">
        <v>123</v>
      </c>
      <c r="AW5" s="25">
        <f t="shared" si="10"/>
        <v>11837.470000000001</v>
      </c>
      <c r="AX5" s="30"/>
      <c r="AY5" s="40"/>
      <c r="AZ5" s="25">
        <v>255</v>
      </c>
      <c r="BA5" s="31">
        <f t="shared" si="17"/>
        <v>12092.47</v>
      </c>
      <c r="BB5" s="25">
        <f t="shared" si="12"/>
        <v>725.55</v>
      </c>
      <c r="BC5" s="25">
        <f t="shared" si="18"/>
        <v>12818.02</v>
      </c>
      <c r="BD5" s="32"/>
      <c r="BE5" s="32"/>
    </row>
    <row r="6" spans="1:57" s="33" customFormat="1" ht="15" customHeight="1" x14ac:dyDescent="0.25">
      <c r="A6" s="18">
        <f t="shared" si="0"/>
        <v>4</v>
      </c>
      <c r="B6" s="19">
        <v>2412</v>
      </c>
      <c r="C6" s="19" t="s">
        <v>148</v>
      </c>
      <c r="D6" s="18" t="s">
        <v>104</v>
      </c>
      <c r="E6" s="20" t="s">
        <v>105</v>
      </c>
      <c r="F6" s="21">
        <v>45444</v>
      </c>
      <c r="G6" s="21">
        <v>45808</v>
      </c>
      <c r="H6" s="18"/>
      <c r="I6" s="22" t="s">
        <v>0</v>
      </c>
      <c r="J6" s="23">
        <v>1030</v>
      </c>
      <c r="K6" s="24">
        <v>2520</v>
      </c>
      <c r="L6" s="24">
        <v>1948.35</v>
      </c>
      <c r="M6" s="24"/>
      <c r="N6" s="24"/>
      <c r="O6" s="24">
        <v>989.43</v>
      </c>
      <c r="P6" s="24"/>
      <c r="Q6" s="24"/>
      <c r="R6" s="24">
        <v>630</v>
      </c>
      <c r="S6" s="24"/>
      <c r="T6" s="24"/>
      <c r="U6" s="24">
        <v>0</v>
      </c>
      <c r="V6" s="24"/>
      <c r="W6" s="24">
        <v>150</v>
      </c>
      <c r="X6" s="24">
        <v>0</v>
      </c>
      <c r="Y6" s="24">
        <v>0</v>
      </c>
      <c r="Z6" s="25">
        <f t="shared" si="13"/>
        <v>7267.7800000000007</v>
      </c>
      <c r="AA6" s="27">
        <v>10618</v>
      </c>
      <c r="AB6" s="27">
        <v>849.44</v>
      </c>
      <c r="AC6" s="27">
        <v>212.36</v>
      </c>
      <c r="AD6" s="27">
        <v>53.09</v>
      </c>
      <c r="AE6" s="27">
        <v>10618</v>
      </c>
      <c r="AF6" s="27">
        <v>743</v>
      </c>
      <c r="AG6" s="25">
        <f t="shared" si="14"/>
        <v>1857.89</v>
      </c>
      <c r="AH6" s="28"/>
      <c r="AI6" s="29"/>
      <c r="AJ6" s="29"/>
      <c r="AK6" s="25">
        <f t="shared" si="3"/>
        <v>5409.89</v>
      </c>
      <c r="AL6" s="26">
        <v>10618</v>
      </c>
      <c r="AM6" s="26">
        <v>10618</v>
      </c>
      <c r="AN6" s="26">
        <f t="shared" si="15"/>
        <v>1698.88</v>
      </c>
      <c r="AO6" s="26">
        <f t="shared" si="16"/>
        <v>955.62</v>
      </c>
      <c r="AP6" s="26">
        <f t="shared" si="5"/>
        <v>53.09</v>
      </c>
      <c r="AQ6" s="26">
        <f t="shared" si="6"/>
        <v>27.18</v>
      </c>
      <c r="AR6" s="26"/>
      <c r="AS6" s="26">
        <f t="shared" si="7"/>
        <v>743</v>
      </c>
      <c r="AT6" s="26">
        <f t="shared" si="8"/>
        <v>159.27000000000001</v>
      </c>
      <c r="AU6" s="25">
        <f t="shared" si="9"/>
        <v>3637.04</v>
      </c>
      <c r="AV6" s="25">
        <v>130</v>
      </c>
      <c r="AW6" s="25">
        <f t="shared" si="10"/>
        <v>11034.82</v>
      </c>
      <c r="AX6" s="30"/>
      <c r="AY6" s="40"/>
      <c r="AZ6" s="25">
        <v>255</v>
      </c>
      <c r="BA6" s="31">
        <f t="shared" si="17"/>
        <v>11289.82</v>
      </c>
      <c r="BB6" s="25">
        <f t="shared" si="12"/>
        <v>677.39</v>
      </c>
      <c r="BC6" s="25">
        <f t="shared" si="18"/>
        <v>11967.21</v>
      </c>
      <c r="BD6" s="32"/>
      <c r="BE6" s="32"/>
    </row>
    <row r="7" spans="1:57" s="33" customFormat="1" ht="15" customHeight="1" x14ac:dyDescent="0.25">
      <c r="A7" s="18">
        <f t="shared" si="0"/>
        <v>5</v>
      </c>
      <c r="B7" s="19">
        <v>2412</v>
      </c>
      <c r="C7" s="19" t="s">
        <v>149</v>
      </c>
      <c r="D7" s="18" t="s">
        <v>106</v>
      </c>
      <c r="E7" s="20" t="s">
        <v>107</v>
      </c>
      <c r="F7" s="21">
        <v>45444</v>
      </c>
      <c r="G7" s="21">
        <v>45808</v>
      </c>
      <c r="H7" s="18"/>
      <c r="I7" s="22" t="s">
        <v>0</v>
      </c>
      <c r="J7" s="23">
        <v>1300</v>
      </c>
      <c r="K7" s="24">
        <v>8820</v>
      </c>
      <c r="L7" s="24">
        <v>1583.01</v>
      </c>
      <c r="M7" s="24"/>
      <c r="N7" s="24"/>
      <c r="O7" s="24">
        <v>989.43</v>
      </c>
      <c r="P7" s="24"/>
      <c r="Q7" s="24"/>
      <c r="R7" s="24">
        <v>630</v>
      </c>
      <c r="S7" s="24"/>
      <c r="T7" s="24"/>
      <c r="U7" s="24">
        <v>0</v>
      </c>
      <c r="V7" s="24"/>
      <c r="W7" s="24">
        <v>150</v>
      </c>
      <c r="X7" s="24">
        <v>0</v>
      </c>
      <c r="Y7" s="24">
        <v>0</v>
      </c>
      <c r="Z7" s="25">
        <f t="shared" si="13"/>
        <v>13472.44</v>
      </c>
      <c r="AA7" s="27">
        <v>18333</v>
      </c>
      <c r="AB7" s="27">
        <v>1466.64</v>
      </c>
      <c r="AC7" s="27">
        <v>366.66</v>
      </c>
      <c r="AD7" s="27">
        <v>91.67</v>
      </c>
      <c r="AE7" s="27">
        <v>18333</v>
      </c>
      <c r="AF7" s="27">
        <v>1283</v>
      </c>
      <c r="AG7" s="25">
        <f t="shared" si="14"/>
        <v>3207.9700000000003</v>
      </c>
      <c r="AH7" s="28"/>
      <c r="AI7" s="29"/>
      <c r="AJ7" s="29"/>
      <c r="AK7" s="25">
        <f t="shared" si="3"/>
        <v>10264.470000000001</v>
      </c>
      <c r="AL7" s="26">
        <v>18333</v>
      </c>
      <c r="AM7" s="26">
        <v>18333</v>
      </c>
      <c r="AN7" s="26">
        <f t="shared" si="15"/>
        <v>2933.28</v>
      </c>
      <c r="AO7" s="26">
        <v>1649.98</v>
      </c>
      <c r="AP7" s="26">
        <f t="shared" si="5"/>
        <v>91.67</v>
      </c>
      <c r="AQ7" s="26">
        <f t="shared" si="6"/>
        <v>46.93</v>
      </c>
      <c r="AR7" s="26"/>
      <c r="AS7" s="26">
        <f t="shared" si="7"/>
        <v>1283</v>
      </c>
      <c r="AT7" s="26">
        <f t="shared" si="8"/>
        <v>275</v>
      </c>
      <c r="AU7" s="25">
        <f t="shared" si="9"/>
        <v>6279.8600000000006</v>
      </c>
      <c r="AV7" s="25">
        <v>254</v>
      </c>
      <c r="AW7" s="25">
        <f t="shared" si="10"/>
        <v>20006.300000000003</v>
      </c>
      <c r="AX7" s="30"/>
      <c r="AY7" s="40"/>
      <c r="AZ7" s="25">
        <v>255</v>
      </c>
      <c r="BA7" s="31">
        <f t="shared" si="17"/>
        <v>20261.3</v>
      </c>
      <c r="BB7" s="25">
        <f t="shared" si="12"/>
        <v>1215.68</v>
      </c>
      <c r="BC7" s="25">
        <f t="shared" si="18"/>
        <v>21476.98</v>
      </c>
      <c r="BD7" s="32"/>
      <c r="BE7" s="32"/>
    </row>
    <row r="8" spans="1:57" s="33" customFormat="1" ht="15" customHeight="1" x14ac:dyDescent="0.25">
      <c r="A8" s="18">
        <f t="shared" si="0"/>
        <v>6</v>
      </c>
      <c r="B8" s="19">
        <v>2412</v>
      </c>
      <c r="C8" s="19" t="s">
        <v>150</v>
      </c>
      <c r="D8" s="18" t="s">
        <v>108</v>
      </c>
      <c r="E8" s="20" t="s">
        <v>109</v>
      </c>
      <c r="F8" s="21">
        <v>45444</v>
      </c>
      <c r="G8" s="21">
        <v>45808</v>
      </c>
      <c r="H8" s="18"/>
      <c r="I8" s="22" t="s">
        <v>0</v>
      </c>
      <c r="J8" s="23">
        <v>1030</v>
      </c>
      <c r="K8" s="24">
        <v>2736</v>
      </c>
      <c r="L8" s="24">
        <v>1713.95</v>
      </c>
      <c r="M8" s="24"/>
      <c r="N8" s="24"/>
      <c r="O8" s="24">
        <v>989.43</v>
      </c>
      <c r="P8" s="24"/>
      <c r="Q8" s="24"/>
      <c r="R8" s="24">
        <v>630</v>
      </c>
      <c r="S8" s="24"/>
      <c r="T8" s="24"/>
      <c r="U8" s="24">
        <v>0</v>
      </c>
      <c r="V8" s="24"/>
      <c r="W8" s="24">
        <v>150</v>
      </c>
      <c r="X8" s="24">
        <v>0</v>
      </c>
      <c r="Y8" s="24">
        <v>-118.4</v>
      </c>
      <c r="Z8" s="25">
        <f t="shared" si="13"/>
        <v>7130.9800000000005</v>
      </c>
      <c r="AA8" s="27">
        <v>10115</v>
      </c>
      <c r="AB8" s="27">
        <v>809.2</v>
      </c>
      <c r="AC8" s="27">
        <v>202.3</v>
      </c>
      <c r="AD8" s="27">
        <v>50.58</v>
      </c>
      <c r="AE8" s="27">
        <v>10115</v>
      </c>
      <c r="AF8" s="27">
        <v>708</v>
      </c>
      <c r="AG8" s="25">
        <f t="shared" si="14"/>
        <v>1770.08</v>
      </c>
      <c r="AH8" s="28"/>
      <c r="AI8" s="29"/>
      <c r="AJ8" s="29"/>
      <c r="AK8" s="25">
        <f t="shared" si="3"/>
        <v>5360.9000000000005</v>
      </c>
      <c r="AL8" s="26">
        <v>10115</v>
      </c>
      <c r="AM8" s="26">
        <v>10115</v>
      </c>
      <c r="AN8" s="26">
        <f t="shared" si="15"/>
        <v>1618.4</v>
      </c>
      <c r="AO8" s="26">
        <v>910.36</v>
      </c>
      <c r="AP8" s="26">
        <f t="shared" si="5"/>
        <v>50.58</v>
      </c>
      <c r="AQ8" s="26">
        <f t="shared" si="6"/>
        <v>25.89</v>
      </c>
      <c r="AR8" s="26"/>
      <c r="AS8" s="26">
        <f t="shared" si="7"/>
        <v>708</v>
      </c>
      <c r="AT8" s="26">
        <f t="shared" si="8"/>
        <v>151.72999999999999</v>
      </c>
      <c r="AU8" s="25">
        <f t="shared" si="9"/>
        <v>3464.96</v>
      </c>
      <c r="AV8" s="25">
        <v>127</v>
      </c>
      <c r="AW8" s="25">
        <f t="shared" si="10"/>
        <v>10722.94</v>
      </c>
      <c r="AX8" s="30"/>
      <c r="AY8" s="40"/>
      <c r="AZ8" s="25">
        <v>255</v>
      </c>
      <c r="BA8" s="31">
        <f t="shared" si="17"/>
        <v>10977.94</v>
      </c>
      <c r="BB8" s="25">
        <f t="shared" si="12"/>
        <v>658.68</v>
      </c>
      <c r="BC8" s="25">
        <f t="shared" si="18"/>
        <v>11636.62</v>
      </c>
      <c r="BD8" s="32"/>
      <c r="BE8" s="32"/>
    </row>
    <row r="9" spans="1:57" s="33" customFormat="1" ht="15" customHeight="1" x14ac:dyDescent="0.25">
      <c r="A9" s="18">
        <f t="shared" si="0"/>
        <v>7</v>
      </c>
      <c r="B9" s="19">
        <v>2412</v>
      </c>
      <c r="C9" s="19" t="s">
        <v>151</v>
      </c>
      <c r="D9" s="18" t="s">
        <v>110</v>
      </c>
      <c r="E9" s="20" t="s">
        <v>111</v>
      </c>
      <c r="F9" s="21">
        <v>45444</v>
      </c>
      <c r="G9" s="21">
        <v>45808</v>
      </c>
      <c r="H9" s="18"/>
      <c r="I9" s="22" t="s">
        <v>0</v>
      </c>
      <c r="J9" s="23">
        <v>1030</v>
      </c>
      <c r="K9" s="24">
        <v>1368</v>
      </c>
      <c r="L9" s="24">
        <v>565.20000000000005</v>
      </c>
      <c r="M9" s="24"/>
      <c r="N9" s="24"/>
      <c r="O9" s="24">
        <v>575.88</v>
      </c>
      <c r="P9" s="24"/>
      <c r="Q9" s="24"/>
      <c r="R9" s="24">
        <v>630</v>
      </c>
      <c r="S9" s="24"/>
      <c r="T9" s="24"/>
      <c r="U9" s="24">
        <v>0</v>
      </c>
      <c r="V9" s="24"/>
      <c r="W9" s="24">
        <v>150</v>
      </c>
      <c r="X9" s="24">
        <v>886.12</v>
      </c>
      <c r="Y9" s="24">
        <v>0</v>
      </c>
      <c r="Z9" s="25">
        <f t="shared" si="13"/>
        <v>5205.2</v>
      </c>
      <c r="AA9" s="27">
        <v>7384</v>
      </c>
      <c r="AB9" s="27">
        <v>590.72</v>
      </c>
      <c r="AC9" s="27">
        <v>147.68</v>
      </c>
      <c r="AD9" s="27">
        <v>36.92</v>
      </c>
      <c r="AE9" s="27">
        <v>5487</v>
      </c>
      <c r="AF9" s="27">
        <v>384</v>
      </c>
      <c r="AG9" s="25">
        <f t="shared" si="14"/>
        <v>1159.3200000000002</v>
      </c>
      <c r="AH9" s="28"/>
      <c r="AI9" s="29"/>
      <c r="AJ9" s="29"/>
      <c r="AK9" s="25">
        <f t="shared" si="3"/>
        <v>4045.8799999999997</v>
      </c>
      <c r="AL9" s="26">
        <v>7384</v>
      </c>
      <c r="AM9" s="26">
        <v>5487</v>
      </c>
      <c r="AN9" s="26">
        <f t="shared" si="15"/>
        <v>1181.44</v>
      </c>
      <c r="AO9" s="26">
        <f t="shared" si="16"/>
        <v>664.56</v>
      </c>
      <c r="AP9" s="26">
        <f t="shared" si="5"/>
        <v>36.92</v>
      </c>
      <c r="AQ9" s="26">
        <f t="shared" si="6"/>
        <v>18.899999999999999</v>
      </c>
      <c r="AR9" s="26"/>
      <c r="AS9" s="26">
        <f t="shared" si="7"/>
        <v>384</v>
      </c>
      <c r="AT9" s="26">
        <f t="shared" si="8"/>
        <v>110.76</v>
      </c>
      <c r="AU9" s="25">
        <f t="shared" si="9"/>
        <v>2396.5800000000004</v>
      </c>
      <c r="AV9" s="25">
        <v>89</v>
      </c>
      <c r="AW9" s="25">
        <f t="shared" si="10"/>
        <v>7690.7800000000007</v>
      </c>
      <c r="AX9" s="30"/>
      <c r="AY9" s="40"/>
      <c r="AZ9" s="25">
        <v>255</v>
      </c>
      <c r="BA9" s="31">
        <f t="shared" si="17"/>
        <v>7945.78</v>
      </c>
      <c r="BB9" s="25">
        <f t="shared" si="12"/>
        <v>476.75</v>
      </c>
      <c r="BC9" s="25">
        <f t="shared" si="18"/>
        <v>8422.5300000000007</v>
      </c>
      <c r="BD9" s="32"/>
      <c r="BE9" s="32"/>
    </row>
    <row r="10" spans="1:57" s="33" customFormat="1" ht="15" customHeight="1" x14ac:dyDescent="0.25">
      <c r="A10" s="18">
        <f t="shared" si="0"/>
        <v>8</v>
      </c>
      <c r="B10" s="19">
        <v>2412</v>
      </c>
      <c r="C10" s="19" t="s">
        <v>152</v>
      </c>
      <c r="D10" s="18" t="s">
        <v>112</v>
      </c>
      <c r="E10" s="20" t="s">
        <v>113</v>
      </c>
      <c r="F10" s="21">
        <v>45444</v>
      </c>
      <c r="G10" s="21">
        <v>45808</v>
      </c>
      <c r="H10" s="18"/>
      <c r="I10" s="22" t="s">
        <v>0</v>
      </c>
      <c r="J10" s="23">
        <v>950</v>
      </c>
      <c r="K10" s="24">
        <v>1080</v>
      </c>
      <c r="L10" s="24">
        <v>2008.2</v>
      </c>
      <c r="M10" s="24"/>
      <c r="N10" s="24"/>
      <c r="O10" s="24">
        <v>0</v>
      </c>
      <c r="P10" s="24"/>
      <c r="Q10" s="24"/>
      <c r="R10" s="24">
        <v>630</v>
      </c>
      <c r="S10" s="24"/>
      <c r="T10" s="24"/>
      <c r="U10" s="24">
        <v>0</v>
      </c>
      <c r="V10" s="24"/>
      <c r="W10" s="24">
        <v>150</v>
      </c>
      <c r="X10" s="24">
        <v>0</v>
      </c>
      <c r="Y10" s="24">
        <v>0</v>
      </c>
      <c r="Z10" s="25">
        <f t="shared" si="13"/>
        <v>4818.2</v>
      </c>
      <c r="AA10" s="27">
        <v>7384</v>
      </c>
      <c r="AB10" s="27">
        <v>590.72</v>
      </c>
      <c r="AC10" s="27">
        <v>147.68</v>
      </c>
      <c r="AD10" s="27">
        <v>36.92</v>
      </c>
      <c r="AE10" s="27">
        <v>7234</v>
      </c>
      <c r="AF10" s="27">
        <v>506</v>
      </c>
      <c r="AG10" s="25">
        <f t="shared" si="14"/>
        <v>1281.3200000000002</v>
      </c>
      <c r="AH10" s="28"/>
      <c r="AI10" s="29"/>
      <c r="AJ10" s="29"/>
      <c r="AK10" s="25">
        <f t="shared" si="3"/>
        <v>3536.8799999999997</v>
      </c>
      <c r="AL10" s="26">
        <v>7384</v>
      </c>
      <c r="AM10" s="26">
        <v>7234</v>
      </c>
      <c r="AN10" s="26">
        <f t="shared" si="15"/>
        <v>1181.44</v>
      </c>
      <c r="AO10" s="26">
        <f t="shared" si="16"/>
        <v>664.56</v>
      </c>
      <c r="AP10" s="26">
        <f t="shared" si="5"/>
        <v>36.92</v>
      </c>
      <c r="AQ10" s="26">
        <f t="shared" si="6"/>
        <v>18.899999999999999</v>
      </c>
      <c r="AR10" s="26"/>
      <c r="AS10" s="26">
        <f t="shared" si="7"/>
        <v>506</v>
      </c>
      <c r="AT10" s="26">
        <f t="shared" si="8"/>
        <v>110.76</v>
      </c>
      <c r="AU10" s="25">
        <f t="shared" si="9"/>
        <v>2518.5800000000004</v>
      </c>
      <c r="AV10" s="25">
        <v>81</v>
      </c>
      <c r="AW10" s="25">
        <f t="shared" si="10"/>
        <v>7417.7800000000007</v>
      </c>
      <c r="AX10" s="30"/>
      <c r="AY10" s="40"/>
      <c r="AZ10" s="25">
        <v>255</v>
      </c>
      <c r="BA10" s="31">
        <f t="shared" si="17"/>
        <v>7672.78</v>
      </c>
      <c r="BB10" s="25">
        <f t="shared" si="12"/>
        <v>460.37</v>
      </c>
      <c r="BC10" s="25">
        <f t="shared" si="18"/>
        <v>8133.15</v>
      </c>
      <c r="BD10" s="32"/>
      <c r="BE10" s="32"/>
    </row>
    <row r="11" spans="1:57" s="33" customFormat="1" ht="15" customHeight="1" x14ac:dyDescent="0.25">
      <c r="A11" s="18">
        <f t="shared" si="0"/>
        <v>9</v>
      </c>
      <c r="B11" s="19">
        <v>2412</v>
      </c>
      <c r="C11" s="19" t="s">
        <v>153</v>
      </c>
      <c r="D11" s="18" t="s">
        <v>114</v>
      </c>
      <c r="E11" s="20" t="s">
        <v>115</v>
      </c>
      <c r="F11" s="21">
        <v>45444</v>
      </c>
      <c r="G11" s="21">
        <v>45808</v>
      </c>
      <c r="H11" s="18"/>
      <c r="I11" s="22" t="s">
        <v>0</v>
      </c>
      <c r="J11" s="23">
        <v>1030</v>
      </c>
      <c r="K11" s="24">
        <v>2424</v>
      </c>
      <c r="L11" s="24">
        <v>1197.8599999999999</v>
      </c>
      <c r="M11" s="24"/>
      <c r="N11" s="24"/>
      <c r="O11" s="24">
        <v>0</v>
      </c>
      <c r="P11" s="24"/>
      <c r="Q11" s="24"/>
      <c r="R11" s="24">
        <v>630</v>
      </c>
      <c r="S11" s="24"/>
      <c r="T11" s="24"/>
      <c r="U11" s="24">
        <v>0</v>
      </c>
      <c r="V11" s="24"/>
      <c r="W11" s="24">
        <v>150</v>
      </c>
      <c r="X11" s="24">
        <v>0</v>
      </c>
      <c r="Y11" s="24">
        <v>-231.26</v>
      </c>
      <c r="Z11" s="25">
        <f t="shared" si="13"/>
        <v>5200.5999999999995</v>
      </c>
      <c r="AA11" s="27">
        <v>7384</v>
      </c>
      <c r="AB11" s="27">
        <v>590.72</v>
      </c>
      <c r="AC11" s="27">
        <v>147.68</v>
      </c>
      <c r="AD11" s="27">
        <v>36.92</v>
      </c>
      <c r="AE11" s="27">
        <v>6812</v>
      </c>
      <c r="AF11" s="27">
        <v>477</v>
      </c>
      <c r="AG11" s="25">
        <f t="shared" si="14"/>
        <v>1252.3200000000002</v>
      </c>
      <c r="AH11" s="28"/>
      <c r="AI11" s="29"/>
      <c r="AJ11" s="29"/>
      <c r="AK11" s="25">
        <f t="shared" si="3"/>
        <v>3948.2799999999993</v>
      </c>
      <c r="AL11" s="26">
        <v>7384</v>
      </c>
      <c r="AM11" s="26">
        <v>6812</v>
      </c>
      <c r="AN11" s="26">
        <f t="shared" si="15"/>
        <v>1181.44</v>
      </c>
      <c r="AO11" s="26">
        <f t="shared" si="16"/>
        <v>664.56</v>
      </c>
      <c r="AP11" s="26">
        <f t="shared" si="5"/>
        <v>36.92</v>
      </c>
      <c r="AQ11" s="26">
        <f t="shared" si="6"/>
        <v>18.899999999999999</v>
      </c>
      <c r="AR11" s="26"/>
      <c r="AS11" s="26">
        <f t="shared" si="7"/>
        <v>477</v>
      </c>
      <c r="AT11" s="26">
        <f t="shared" si="8"/>
        <v>110.76</v>
      </c>
      <c r="AU11" s="25">
        <f t="shared" si="9"/>
        <v>2489.5800000000004</v>
      </c>
      <c r="AV11" s="25">
        <v>88</v>
      </c>
      <c r="AW11" s="25">
        <f t="shared" si="10"/>
        <v>7778.18</v>
      </c>
      <c r="AX11" s="30"/>
      <c r="AY11" s="40"/>
      <c r="AZ11" s="25">
        <v>255</v>
      </c>
      <c r="BA11" s="31">
        <f t="shared" si="17"/>
        <v>8033.18</v>
      </c>
      <c r="BB11" s="25">
        <f t="shared" si="12"/>
        <v>481.99</v>
      </c>
      <c r="BC11" s="25">
        <f t="shared" si="18"/>
        <v>8515.17</v>
      </c>
      <c r="BD11" s="32"/>
      <c r="BE11" s="32"/>
    </row>
    <row r="12" spans="1:57" s="33" customFormat="1" ht="15" customHeight="1" x14ac:dyDescent="0.25">
      <c r="A12" s="18">
        <f t="shared" si="0"/>
        <v>10</v>
      </c>
      <c r="B12" s="19">
        <v>2412</v>
      </c>
      <c r="C12" s="19" t="s">
        <v>154</v>
      </c>
      <c r="D12" s="18" t="s">
        <v>116</v>
      </c>
      <c r="E12" s="20" t="s">
        <v>117</v>
      </c>
      <c r="F12" s="21">
        <v>45444</v>
      </c>
      <c r="G12" s="21">
        <v>45808</v>
      </c>
      <c r="H12" s="18"/>
      <c r="I12" s="22" t="s">
        <v>0</v>
      </c>
      <c r="J12" s="23">
        <v>1300</v>
      </c>
      <c r="K12" s="24">
        <v>11960</v>
      </c>
      <c r="L12" s="24">
        <v>4610.4399999999996</v>
      </c>
      <c r="M12" s="24"/>
      <c r="N12" s="24"/>
      <c r="O12" s="24">
        <v>989.43</v>
      </c>
      <c r="P12" s="24"/>
      <c r="Q12" s="24"/>
      <c r="R12" s="24">
        <v>630</v>
      </c>
      <c r="S12" s="24"/>
      <c r="T12" s="24"/>
      <c r="U12" s="24">
        <v>0</v>
      </c>
      <c r="V12" s="24"/>
      <c r="W12" s="24">
        <v>150</v>
      </c>
      <c r="X12" s="24">
        <v>0</v>
      </c>
      <c r="Y12" s="24">
        <v>-42.16</v>
      </c>
      <c r="Z12" s="25">
        <f t="shared" si="13"/>
        <v>19597.71</v>
      </c>
      <c r="AA12" s="27">
        <v>19290</v>
      </c>
      <c r="AB12" s="27">
        <v>1543.2</v>
      </c>
      <c r="AC12" s="27">
        <v>385.8</v>
      </c>
      <c r="AD12" s="27">
        <v>96.45</v>
      </c>
      <c r="AE12" s="27">
        <v>19290</v>
      </c>
      <c r="AF12" s="27">
        <v>1350</v>
      </c>
      <c r="AG12" s="25">
        <f t="shared" si="14"/>
        <v>3375.45</v>
      </c>
      <c r="AH12" s="28"/>
      <c r="AI12" s="29"/>
      <c r="AJ12" s="29"/>
      <c r="AK12" s="25">
        <f t="shared" si="3"/>
        <v>16222.259999999998</v>
      </c>
      <c r="AL12" s="26">
        <v>19290</v>
      </c>
      <c r="AM12" s="26">
        <v>19290</v>
      </c>
      <c r="AN12" s="26">
        <f t="shared" si="15"/>
        <v>3086.4</v>
      </c>
      <c r="AO12" s="26">
        <f t="shared" si="16"/>
        <v>1736.1</v>
      </c>
      <c r="AP12" s="26">
        <f t="shared" si="5"/>
        <v>96.45</v>
      </c>
      <c r="AQ12" s="26">
        <f t="shared" si="6"/>
        <v>49.38</v>
      </c>
      <c r="AR12" s="26"/>
      <c r="AS12" s="26">
        <f t="shared" si="7"/>
        <v>1350</v>
      </c>
      <c r="AT12" s="26">
        <f t="shared" si="8"/>
        <v>289.35000000000002</v>
      </c>
      <c r="AU12" s="25">
        <f t="shared" si="9"/>
        <v>6607.68</v>
      </c>
      <c r="AV12" s="25">
        <v>376</v>
      </c>
      <c r="AW12" s="25">
        <f t="shared" si="10"/>
        <v>26581.39</v>
      </c>
      <c r="AX12" s="30"/>
      <c r="AY12" s="40"/>
      <c r="AZ12" s="25">
        <v>255</v>
      </c>
      <c r="BA12" s="31">
        <f t="shared" si="17"/>
        <v>26836.39</v>
      </c>
      <c r="BB12" s="25">
        <f t="shared" si="12"/>
        <v>1610.18</v>
      </c>
      <c r="BC12" s="25">
        <f t="shared" si="18"/>
        <v>28446.57</v>
      </c>
      <c r="BD12" s="32"/>
      <c r="BE12" s="32"/>
    </row>
    <row r="13" spans="1:57" s="33" customFormat="1" ht="15" customHeight="1" x14ac:dyDescent="0.25">
      <c r="A13" s="18">
        <f t="shared" si="0"/>
        <v>11</v>
      </c>
      <c r="B13" s="19">
        <v>2412</v>
      </c>
      <c r="C13" s="19" t="s">
        <v>155</v>
      </c>
      <c r="D13" s="18" t="s">
        <v>118</v>
      </c>
      <c r="E13" s="20" t="s">
        <v>119</v>
      </c>
      <c r="F13" s="21">
        <v>45444</v>
      </c>
      <c r="G13" s="21">
        <v>45808</v>
      </c>
      <c r="H13" s="18"/>
      <c r="I13" s="22" t="s">
        <v>0</v>
      </c>
      <c r="J13" s="23">
        <v>1030</v>
      </c>
      <c r="K13" s="24">
        <v>2520</v>
      </c>
      <c r="L13" s="24">
        <v>1121.48</v>
      </c>
      <c r="M13" s="24"/>
      <c r="N13" s="24"/>
      <c r="O13" s="24">
        <v>989.43</v>
      </c>
      <c r="P13" s="24"/>
      <c r="Q13" s="24"/>
      <c r="R13" s="24">
        <v>630</v>
      </c>
      <c r="S13" s="24"/>
      <c r="T13" s="24"/>
      <c r="U13" s="24">
        <v>0</v>
      </c>
      <c r="V13" s="24"/>
      <c r="W13" s="24">
        <v>150</v>
      </c>
      <c r="X13" s="24">
        <v>0</v>
      </c>
      <c r="Y13" s="24">
        <v>-390.82</v>
      </c>
      <c r="Z13" s="25">
        <f t="shared" si="13"/>
        <v>6050.09</v>
      </c>
      <c r="AA13" s="27">
        <v>7384</v>
      </c>
      <c r="AB13" s="27">
        <v>590.72</v>
      </c>
      <c r="AC13" s="27">
        <v>147.68</v>
      </c>
      <c r="AD13" s="27">
        <v>36.92</v>
      </c>
      <c r="AE13" s="27">
        <v>6424</v>
      </c>
      <c r="AF13" s="27">
        <v>450</v>
      </c>
      <c r="AG13" s="25">
        <f t="shared" si="14"/>
        <v>1225.3200000000002</v>
      </c>
      <c r="AH13" s="28"/>
      <c r="AI13" s="29"/>
      <c r="AJ13" s="29"/>
      <c r="AK13" s="25">
        <f t="shared" si="3"/>
        <v>4824.7700000000004</v>
      </c>
      <c r="AL13" s="26">
        <v>7384</v>
      </c>
      <c r="AM13" s="26">
        <v>6424</v>
      </c>
      <c r="AN13" s="26">
        <f t="shared" si="15"/>
        <v>1181.44</v>
      </c>
      <c r="AO13" s="26">
        <f t="shared" si="16"/>
        <v>664.56</v>
      </c>
      <c r="AP13" s="26">
        <f t="shared" si="5"/>
        <v>36.92</v>
      </c>
      <c r="AQ13" s="26">
        <f t="shared" si="6"/>
        <v>18.899999999999999</v>
      </c>
      <c r="AR13" s="26"/>
      <c r="AS13" s="26">
        <f t="shared" si="7"/>
        <v>450</v>
      </c>
      <c r="AT13" s="26">
        <f t="shared" si="8"/>
        <v>110.76</v>
      </c>
      <c r="AU13" s="25">
        <f t="shared" si="9"/>
        <v>2462.5800000000004</v>
      </c>
      <c r="AV13" s="25">
        <v>105</v>
      </c>
      <c r="AW13" s="25">
        <f t="shared" si="10"/>
        <v>8617.67</v>
      </c>
      <c r="AX13" s="30"/>
      <c r="AY13" s="40"/>
      <c r="AZ13" s="25">
        <v>255</v>
      </c>
      <c r="BA13" s="31">
        <f>ROUND(AW13+AZ13+AX13,2)</f>
        <v>8872.67</v>
      </c>
      <c r="BB13" s="25">
        <f t="shared" si="12"/>
        <v>532.36</v>
      </c>
      <c r="BC13" s="25">
        <f t="shared" si="18"/>
        <v>9405.0300000000007</v>
      </c>
      <c r="BD13" s="32"/>
      <c r="BE13" s="32"/>
    </row>
    <row r="14" spans="1:57" s="33" customFormat="1" ht="15" customHeight="1" x14ac:dyDescent="0.25">
      <c r="A14" s="18">
        <f t="shared" si="0"/>
        <v>12</v>
      </c>
      <c r="B14" s="19">
        <v>2412</v>
      </c>
      <c r="C14" s="19" t="s">
        <v>156</v>
      </c>
      <c r="D14" s="18" t="s">
        <v>120</v>
      </c>
      <c r="E14" s="20" t="s">
        <v>121</v>
      </c>
      <c r="F14" s="21">
        <v>45444</v>
      </c>
      <c r="G14" s="21">
        <v>45808</v>
      </c>
      <c r="H14" s="18"/>
      <c r="I14" s="22" t="s">
        <v>0</v>
      </c>
      <c r="J14" s="23">
        <v>1030</v>
      </c>
      <c r="K14" s="24">
        <v>3024</v>
      </c>
      <c r="L14" s="24">
        <v>2226.35</v>
      </c>
      <c r="M14" s="24"/>
      <c r="N14" s="24"/>
      <c r="O14" s="24">
        <v>989.43</v>
      </c>
      <c r="P14" s="24"/>
      <c r="Q14" s="24"/>
      <c r="R14" s="24">
        <v>630</v>
      </c>
      <c r="S14" s="24"/>
      <c r="T14" s="24"/>
      <c r="U14" s="24">
        <v>0</v>
      </c>
      <c r="V14" s="24"/>
      <c r="W14" s="24">
        <v>150</v>
      </c>
      <c r="X14" s="24">
        <v>0</v>
      </c>
      <c r="Y14" s="24">
        <v>-2</v>
      </c>
      <c r="Z14" s="25">
        <f t="shared" si="13"/>
        <v>8047.7800000000007</v>
      </c>
      <c r="AA14" s="27">
        <v>7384</v>
      </c>
      <c r="AB14" s="27">
        <v>590.72</v>
      </c>
      <c r="AC14" s="27">
        <v>147.68</v>
      </c>
      <c r="AD14" s="27">
        <v>36.92</v>
      </c>
      <c r="AE14" s="27">
        <v>5565</v>
      </c>
      <c r="AF14" s="27">
        <v>390</v>
      </c>
      <c r="AG14" s="25">
        <f t="shared" si="14"/>
        <v>1165.3200000000002</v>
      </c>
      <c r="AH14" s="28"/>
      <c r="AI14" s="29"/>
      <c r="AJ14" s="29"/>
      <c r="AK14" s="25">
        <f t="shared" si="3"/>
        <v>6882.4600000000009</v>
      </c>
      <c r="AL14" s="26">
        <v>7384</v>
      </c>
      <c r="AM14" s="26">
        <v>5565</v>
      </c>
      <c r="AN14" s="26">
        <f t="shared" si="15"/>
        <v>1181.44</v>
      </c>
      <c r="AO14" s="26">
        <f t="shared" si="16"/>
        <v>664.56</v>
      </c>
      <c r="AP14" s="26">
        <f t="shared" si="5"/>
        <v>36.92</v>
      </c>
      <c r="AQ14" s="26">
        <f t="shared" si="6"/>
        <v>18.899999999999999</v>
      </c>
      <c r="AR14" s="26"/>
      <c r="AS14" s="26">
        <f t="shared" si="7"/>
        <v>390</v>
      </c>
      <c r="AT14" s="26">
        <f t="shared" si="8"/>
        <v>110.76</v>
      </c>
      <c r="AU14" s="25">
        <f t="shared" si="9"/>
        <v>2402.5800000000004</v>
      </c>
      <c r="AV14" s="25">
        <v>145</v>
      </c>
      <c r="AW14" s="25">
        <f t="shared" si="10"/>
        <v>10595.36</v>
      </c>
      <c r="AX14" s="30"/>
      <c r="AY14" s="40"/>
      <c r="AZ14" s="25">
        <v>255</v>
      </c>
      <c r="BA14" s="31">
        <f t="shared" si="17"/>
        <v>10850.36</v>
      </c>
      <c r="BB14" s="25">
        <f t="shared" si="12"/>
        <v>651.02</v>
      </c>
      <c r="BC14" s="25">
        <f t="shared" si="18"/>
        <v>11501.38</v>
      </c>
      <c r="BD14" s="32"/>
      <c r="BE14" s="32"/>
    </row>
    <row r="15" spans="1:57" s="33" customFormat="1" ht="15" customHeight="1" x14ac:dyDescent="0.25">
      <c r="A15" s="18">
        <f t="shared" si="0"/>
        <v>13</v>
      </c>
      <c r="B15" s="19">
        <v>2412</v>
      </c>
      <c r="C15" s="19" t="s">
        <v>157</v>
      </c>
      <c r="D15" s="18" t="s">
        <v>122</v>
      </c>
      <c r="E15" s="20" t="s">
        <v>123</v>
      </c>
      <c r="F15" s="21">
        <v>45444</v>
      </c>
      <c r="G15" s="21">
        <v>45808</v>
      </c>
      <c r="H15" s="18"/>
      <c r="I15" s="22" t="s">
        <v>0</v>
      </c>
      <c r="J15" s="23">
        <v>1030</v>
      </c>
      <c r="K15" s="24">
        <v>2124</v>
      </c>
      <c r="L15" s="24">
        <v>969.92</v>
      </c>
      <c r="M15" s="24"/>
      <c r="N15" s="24"/>
      <c r="O15" s="24">
        <v>0</v>
      </c>
      <c r="P15" s="24"/>
      <c r="Q15" s="24"/>
      <c r="R15" s="24">
        <v>630</v>
      </c>
      <c r="S15" s="24"/>
      <c r="T15" s="24"/>
      <c r="U15" s="24">
        <v>0</v>
      </c>
      <c r="V15" s="24"/>
      <c r="W15" s="24">
        <v>150</v>
      </c>
      <c r="X15" s="24">
        <v>61.36</v>
      </c>
      <c r="Y15" s="24">
        <v>-248.96</v>
      </c>
      <c r="Z15" s="25">
        <f t="shared" si="13"/>
        <v>4716.32</v>
      </c>
      <c r="AA15" s="27">
        <v>7384</v>
      </c>
      <c r="AB15" s="27">
        <v>590.72</v>
      </c>
      <c r="AC15" s="27">
        <v>147.68</v>
      </c>
      <c r="AD15" s="27">
        <v>36.92</v>
      </c>
      <c r="AE15" s="27">
        <v>6727</v>
      </c>
      <c r="AF15" s="27">
        <v>471</v>
      </c>
      <c r="AG15" s="25">
        <f t="shared" si="14"/>
        <v>1246.3200000000002</v>
      </c>
      <c r="AH15" s="28"/>
      <c r="AI15" s="29"/>
      <c r="AJ15" s="29"/>
      <c r="AK15" s="25">
        <f t="shared" si="3"/>
        <v>3469.9999999999995</v>
      </c>
      <c r="AL15" s="26">
        <v>7384</v>
      </c>
      <c r="AM15" s="26">
        <v>6727</v>
      </c>
      <c r="AN15" s="26">
        <f t="shared" si="15"/>
        <v>1181.44</v>
      </c>
      <c r="AO15" s="26">
        <f t="shared" si="16"/>
        <v>664.56</v>
      </c>
      <c r="AP15" s="26">
        <f t="shared" si="5"/>
        <v>36.92</v>
      </c>
      <c r="AQ15" s="26">
        <f t="shared" si="6"/>
        <v>18.899999999999999</v>
      </c>
      <c r="AR15" s="26"/>
      <c r="AS15" s="26">
        <f t="shared" si="7"/>
        <v>471</v>
      </c>
      <c r="AT15" s="26">
        <f t="shared" si="8"/>
        <v>110.76</v>
      </c>
      <c r="AU15" s="25">
        <f t="shared" si="9"/>
        <v>2483.5800000000004</v>
      </c>
      <c r="AV15" s="25">
        <v>79</v>
      </c>
      <c r="AW15" s="25">
        <f t="shared" si="10"/>
        <v>7278.9</v>
      </c>
      <c r="AX15" s="30"/>
      <c r="AY15" s="40"/>
      <c r="AZ15" s="25">
        <v>255</v>
      </c>
      <c r="BA15" s="31">
        <f t="shared" si="17"/>
        <v>7533.9</v>
      </c>
      <c r="BB15" s="25">
        <f t="shared" si="12"/>
        <v>452.03</v>
      </c>
      <c r="BC15" s="25">
        <f t="shared" si="18"/>
        <v>7985.93</v>
      </c>
      <c r="BD15" s="32"/>
      <c r="BE15" s="32"/>
    </row>
    <row r="16" spans="1:57" s="33" customFormat="1" ht="15" customHeight="1" x14ac:dyDescent="0.25">
      <c r="A16" s="18">
        <f t="shared" si="0"/>
        <v>14</v>
      </c>
      <c r="B16" s="19">
        <v>2412</v>
      </c>
      <c r="C16" s="19" t="s">
        <v>158</v>
      </c>
      <c r="D16" s="18" t="s">
        <v>124</v>
      </c>
      <c r="E16" s="20" t="s">
        <v>125</v>
      </c>
      <c r="F16" s="21">
        <v>45444</v>
      </c>
      <c r="G16" s="21">
        <v>45808</v>
      </c>
      <c r="H16" s="18"/>
      <c r="I16" s="22" t="s">
        <v>0</v>
      </c>
      <c r="J16" s="23">
        <v>900</v>
      </c>
      <c r="K16" s="24">
        <v>1878</v>
      </c>
      <c r="L16" s="24">
        <v>902.58</v>
      </c>
      <c r="M16" s="24"/>
      <c r="N16" s="24"/>
      <c r="O16" s="24">
        <v>989.43</v>
      </c>
      <c r="P16" s="24"/>
      <c r="Q16" s="24"/>
      <c r="R16" s="24">
        <v>630</v>
      </c>
      <c r="S16" s="24"/>
      <c r="T16" s="24"/>
      <c r="U16" s="24">
        <v>0</v>
      </c>
      <c r="V16" s="24"/>
      <c r="W16" s="24">
        <v>150</v>
      </c>
      <c r="X16" s="24">
        <v>220.74</v>
      </c>
      <c r="Y16" s="24">
        <v>0</v>
      </c>
      <c r="Z16" s="25">
        <f t="shared" si="13"/>
        <v>5670.75</v>
      </c>
      <c r="AA16" s="27">
        <v>7384</v>
      </c>
      <c r="AB16" s="27">
        <v>590.72</v>
      </c>
      <c r="AC16" s="27">
        <v>147.68</v>
      </c>
      <c r="AD16" s="27">
        <v>36.92</v>
      </c>
      <c r="AE16" s="27">
        <v>6228</v>
      </c>
      <c r="AF16" s="27">
        <v>436</v>
      </c>
      <c r="AG16" s="25">
        <f t="shared" si="14"/>
        <v>1211.3200000000002</v>
      </c>
      <c r="AH16" s="28"/>
      <c r="AI16" s="29"/>
      <c r="AJ16" s="29"/>
      <c r="AK16" s="25">
        <f t="shared" si="3"/>
        <v>4459.43</v>
      </c>
      <c r="AL16" s="26">
        <v>7384</v>
      </c>
      <c r="AM16" s="26">
        <v>6228</v>
      </c>
      <c r="AN16" s="26">
        <f t="shared" si="15"/>
        <v>1181.44</v>
      </c>
      <c r="AO16" s="26">
        <f t="shared" si="16"/>
        <v>664.56</v>
      </c>
      <c r="AP16" s="26">
        <f t="shared" si="5"/>
        <v>36.92</v>
      </c>
      <c r="AQ16" s="26">
        <f t="shared" si="6"/>
        <v>18.899999999999999</v>
      </c>
      <c r="AR16" s="26"/>
      <c r="AS16" s="26">
        <f t="shared" si="7"/>
        <v>436</v>
      </c>
      <c r="AT16" s="26">
        <f t="shared" si="8"/>
        <v>110.76</v>
      </c>
      <c r="AU16" s="25">
        <f t="shared" si="9"/>
        <v>2448.5800000000004</v>
      </c>
      <c r="AV16" s="25">
        <v>98</v>
      </c>
      <c r="AW16" s="25">
        <f t="shared" si="10"/>
        <v>8217.33</v>
      </c>
      <c r="AX16" s="30"/>
      <c r="AY16" s="40"/>
      <c r="AZ16" s="25">
        <v>255</v>
      </c>
      <c r="BA16" s="31">
        <f>ROUND(AW16+AZ16+AX16,2)</f>
        <v>8472.33</v>
      </c>
      <c r="BB16" s="25">
        <f t="shared" si="12"/>
        <v>508.34</v>
      </c>
      <c r="BC16" s="25">
        <f t="shared" si="18"/>
        <v>8980.67</v>
      </c>
      <c r="BD16" s="32"/>
      <c r="BE16" s="32"/>
    </row>
    <row r="17" spans="1:57" s="33" customFormat="1" ht="15" customHeight="1" x14ac:dyDescent="0.25">
      <c r="A17" s="18">
        <f t="shared" si="0"/>
        <v>15</v>
      </c>
      <c r="B17" s="19">
        <v>2412</v>
      </c>
      <c r="C17" s="19" t="s">
        <v>159</v>
      </c>
      <c r="D17" s="18" t="s">
        <v>126</v>
      </c>
      <c r="E17" s="20" t="s">
        <v>127</v>
      </c>
      <c r="F17" s="21">
        <v>45444</v>
      </c>
      <c r="G17" s="21">
        <v>45808</v>
      </c>
      <c r="H17" s="18"/>
      <c r="I17" s="22" t="s">
        <v>0</v>
      </c>
      <c r="J17" s="23">
        <v>900</v>
      </c>
      <c r="K17" s="24">
        <v>2322.7199999999998</v>
      </c>
      <c r="L17" s="24">
        <v>2223.4</v>
      </c>
      <c r="M17" s="24"/>
      <c r="N17" s="24"/>
      <c r="O17" s="24">
        <v>989.43</v>
      </c>
      <c r="P17" s="24"/>
      <c r="Q17" s="24"/>
      <c r="R17" s="24">
        <v>630</v>
      </c>
      <c r="S17" s="24"/>
      <c r="T17" s="24"/>
      <c r="U17" s="24">
        <v>0</v>
      </c>
      <c r="V17" s="24"/>
      <c r="W17" s="24">
        <v>150</v>
      </c>
      <c r="X17" s="24">
        <v>60.65</v>
      </c>
      <c r="Y17" s="24">
        <v>0</v>
      </c>
      <c r="Z17" s="25">
        <f t="shared" si="13"/>
        <v>7276.2</v>
      </c>
      <c r="AA17" s="27">
        <v>16093</v>
      </c>
      <c r="AB17" s="27">
        <v>1287.44</v>
      </c>
      <c r="AC17" s="27">
        <v>321.86</v>
      </c>
      <c r="AD17" s="27">
        <v>80.47</v>
      </c>
      <c r="AE17" s="27">
        <v>16093</v>
      </c>
      <c r="AF17" s="27">
        <v>1127</v>
      </c>
      <c r="AG17" s="25">
        <f t="shared" si="14"/>
        <v>2816.7700000000004</v>
      </c>
      <c r="AH17" s="28"/>
      <c r="AI17" s="29"/>
      <c r="AJ17" s="29"/>
      <c r="AK17" s="25">
        <f t="shared" si="3"/>
        <v>4459.4299999999994</v>
      </c>
      <c r="AL17" s="26">
        <v>16093</v>
      </c>
      <c r="AM17" s="26">
        <v>16093</v>
      </c>
      <c r="AN17" s="26">
        <f t="shared" si="15"/>
        <v>2574.88</v>
      </c>
      <c r="AO17" s="26">
        <v>1448.38</v>
      </c>
      <c r="AP17" s="26">
        <f t="shared" si="5"/>
        <v>80.47</v>
      </c>
      <c r="AQ17" s="26">
        <f t="shared" si="6"/>
        <v>41.2</v>
      </c>
      <c r="AR17" s="26"/>
      <c r="AS17" s="26">
        <f t="shared" si="7"/>
        <v>1127</v>
      </c>
      <c r="AT17" s="26">
        <f t="shared" si="8"/>
        <v>241.4</v>
      </c>
      <c r="AU17" s="25">
        <f t="shared" si="9"/>
        <v>5513.33</v>
      </c>
      <c r="AV17" s="25">
        <v>130</v>
      </c>
      <c r="AW17" s="25">
        <f t="shared" si="10"/>
        <v>12919.529999999999</v>
      </c>
      <c r="AX17" s="30"/>
      <c r="AY17" s="40"/>
      <c r="AZ17" s="25">
        <v>255</v>
      </c>
      <c r="BA17" s="31">
        <f t="shared" si="17"/>
        <v>13174.53</v>
      </c>
      <c r="BB17" s="25">
        <f t="shared" si="12"/>
        <v>790.47</v>
      </c>
      <c r="BC17" s="25">
        <f t="shared" si="18"/>
        <v>13965</v>
      </c>
      <c r="BD17" s="32"/>
      <c r="BE17" s="32"/>
    </row>
    <row r="18" spans="1:57" s="33" customFormat="1" ht="15" customHeight="1" x14ac:dyDescent="0.25">
      <c r="A18" s="18">
        <f t="shared" si="0"/>
        <v>16</v>
      </c>
      <c r="B18" s="19">
        <v>2412</v>
      </c>
      <c r="C18" s="19" t="s">
        <v>160</v>
      </c>
      <c r="D18" s="18" t="s">
        <v>128</v>
      </c>
      <c r="E18" s="20" t="s">
        <v>129</v>
      </c>
      <c r="F18" s="21">
        <v>45444</v>
      </c>
      <c r="G18" s="21">
        <v>45808</v>
      </c>
      <c r="H18" s="18"/>
      <c r="I18" s="22" t="s">
        <v>0</v>
      </c>
      <c r="J18" s="23">
        <v>1030</v>
      </c>
      <c r="K18" s="24">
        <v>1897.5</v>
      </c>
      <c r="L18" s="24">
        <v>1176.3900000000001</v>
      </c>
      <c r="M18" s="24"/>
      <c r="N18" s="24"/>
      <c r="O18" s="24">
        <v>0</v>
      </c>
      <c r="P18" s="24"/>
      <c r="Q18" s="24"/>
      <c r="R18" s="24">
        <v>630</v>
      </c>
      <c r="S18" s="24"/>
      <c r="T18" s="24"/>
      <c r="U18" s="24">
        <v>0</v>
      </c>
      <c r="V18" s="24"/>
      <c r="W18" s="24">
        <v>150</v>
      </c>
      <c r="X18" s="24">
        <v>0</v>
      </c>
      <c r="Y18" s="24">
        <v>-157.5</v>
      </c>
      <c r="Z18" s="25">
        <f t="shared" si="13"/>
        <v>4726.3900000000003</v>
      </c>
      <c r="AA18" s="27">
        <v>7384</v>
      </c>
      <c r="AB18" s="27">
        <v>590.72</v>
      </c>
      <c r="AC18" s="27">
        <v>147.68</v>
      </c>
      <c r="AD18" s="27">
        <v>36.92</v>
      </c>
      <c r="AE18" s="27">
        <v>6661</v>
      </c>
      <c r="AF18" s="27">
        <v>466</v>
      </c>
      <c r="AG18" s="25">
        <f t="shared" si="14"/>
        <v>1241.3200000000002</v>
      </c>
      <c r="AH18" s="28"/>
      <c r="AI18" s="29"/>
      <c r="AJ18" s="29"/>
      <c r="AK18" s="25">
        <f t="shared" si="3"/>
        <v>3485.07</v>
      </c>
      <c r="AL18" s="26">
        <v>7384</v>
      </c>
      <c r="AM18" s="26">
        <v>6661</v>
      </c>
      <c r="AN18" s="26">
        <f t="shared" si="15"/>
        <v>1181.44</v>
      </c>
      <c r="AO18" s="26">
        <f t="shared" si="16"/>
        <v>664.56</v>
      </c>
      <c r="AP18" s="26">
        <f t="shared" si="5"/>
        <v>36.92</v>
      </c>
      <c r="AQ18" s="26">
        <f t="shared" si="6"/>
        <v>18.899999999999999</v>
      </c>
      <c r="AR18" s="26"/>
      <c r="AS18" s="26">
        <f t="shared" si="7"/>
        <v>466</v>
      </c>
      <c r="AT18" s="26">
        <f t="shared" si="8"/>
        <v>110.76</v>
      </c>
      <c r="AU18" s="25">
        <f t="shared" si="9"/>
        <v>2478.5800000000004</v>
      </c>
      <c r="AV18" s="25">
        <v>79</v>
      </c>
      <c r="AW18" s="25">
        <f t="shared" si="10"/>
        <v>7283.9700000000012</v>
      </c>
      <c r="AX18" s="30"/>
      <c r="AY18" s="40"/>
      <c r="AZ18" s="25">
        <v>255</v>
      </c>
      <c r="BA18" s="31">
        <f t="shared" si="17"/>
        <v>7538.97</v>
      </c>
      <c r="BB18" s="25">
        <f t="shared" si="12"/>
        <v>452.34</v>
      </c>
      <c r="BC18" s="25">
        <f t="shared" si="18"/>
        <v>7991.31</v>
      </c>
      <c r="BD18" s="32"/>
      <c r="BE18" s="32"/>
    </row>
    <row r="19" spans="1:57" s="33" customFormat="1" ht="15" customHeight="1" x14ac:dyDescent="0.25">
      <c r="A19" s="18">
        <f t="shared" si="0"/>
        <v>17</v>
      </c>
      <c r="B19" s="19">
        <v>2412</v>
      </c>
      <c r="C19" s="19" t="s">
        <v>161</v>
      </c>
      <c r="D19" s="18" t="s">
        <v>130</v>
      </c>
      <c r="E19" s="20" t="s">
        <v>131</v>
      </c>
      <c r="F19" s="21">
        <v>45444</v>
      </c>
      <c r="G19" s="21">
        <v>45808</v>
      </c>
      <c r="H19" s="18"/>
      <c r="I19" s="22" t="s">
        <v>0</v>
      </c>
      <c r="J19" s="23">
        <v>950</v>
      </c>
      <c r="K19" s="24">
        <v>1905</v>
      </c>
      <c r="L19" s="24">
        <v>973.38</v>
      </c>
      <c r="M19" s="24"/>
      <c r="N19" s="24"/>
      <c r="O19" s="24">
        <v>0</v>
      </c>
      <c r="P19" s="24"/>
      <c r="Q19" s="24"/>
      <c r="R19" s="24">
        <v>630</v>
      </c>
      <c r="S19" s="24"/>
      <c r="T19" s="24"/>
      <c r="U19" s="24">
        <v>0</v>
      </c>
      <c r="V19" s="24"/>
      <c r="W19" s="24">
        <v>150</v>
      </c>
      <c r="X19" s="24">
        <v>265.8</v>
      </c>
      <c r="Y19" s="24">
        <v>-162.86000000000001</v>
      </c>
      <c r="Z19" s="25">
        <f t="shared" si="13"/>
        <v>4711.3200000000006</v>
      </c>
      <c r="AA19" s="27">
        <v>7384</v>
      </c>
      <c r="AB19" s="27">
        <v>590.72</v>
      </c>
      <c r="AC19" s="27">
        <v>147.68</v>
      </c>
      <c r="AD19" s="27">
        <v>36.92</v>
      </c>
      <c r="AE19" s="27">
        <v>6654</v>
      </c>
      <c r="AF19" s="27">
        <v>466</v>
      </c>
      <c r="AG19" s="25">
        <f t="shared" si="14"/>
        <v>1241.3200000000002</v>
      </c>
      <c r="AH19" s="28"/>
      <c r="AI19" s="29"/>
      <c r="AJ19" s="29"/>
      <c r="AK19" s="25">
        <f t="shared" si="3"/>
        <v>3470.0000000000005</v>
      </c>
      <c r="AL19" s="26">
        <v>7384</v>
      </c>
      <c r="AM19" s="26">
        <v>6654</v>
      </c>
      <c r="AN19" s="26">
        <f t="shared" si="15"/>
        <v>1181.44</v>
      </c>
      <c r="AO19" s="26">
        <f t="shared" si="16"/>
        <v>664.56</v>
      </c>
      <c r="AP19" s="26">
        <f t="shared" si="5"/>
        <v>36.92</v>
      </c>
      <c r="AQ19" s="26">
        <f t="shared" si="6"/>
        <v>18.899999999999999</v>
      </c>
      <c r="AR19" s="26"/>
      <c r="AS19" s="26">
        <f t="shared" si="7"/>
        <v>466</v>
      </c>
      <c r="AT19" s="26">
        <f t="shared" si="8"/>
        <v>110.76</v>
      </c>
      <c r="AU19" s="25">
        <f t="shared" si="9"/>
        <v>2478.5800000000004</v>
      </c>
      <c r="AV19" s="25">
        <v>79</v>
      </c>
      <c r="AW19" s="25">
        <f t="shared" si="10"/>
        <v>7268.9000000000015</v>
      </c>
      <c r="AX19" s="30"/>
      <c r="AY19" s="40"/>
      <c r="AZ19" s="25">
        <v>255</v>
      </c>
      <c r="BA19" s="31">
        <f t="shared" si="17"/>
        <v>7523.9</v>
      </c>
      <c r="BB19" s="25">
        <f t="shared" si="12"/>
        <v>451.43</v>
      </c>
      <c r="BC19" s="25">
        <f t="shared" si="18"/>
        <v>7975.33</v>
      </c>
      <c r="BD19" s="32"/>
      <c r="BE19" s="32"/>
    </row>
    <row r="20" spans="1:57" s="33" customFormat="1" ht="15" customHeight="1" x14ac:dyDescent="0.25">
      <c r="A20" s="18">
        <f t="shared" si="0"/>
        <v>18</v>
      </c>
      <c r="B20" s="19">
        <v>2412</v>
      </c>
      <c r="C20" s="19" t="s">
        <v>162</v>
      </c>
      <c r="D20" s="18" t="s">
        <v>132</v>
      </c>
      <c r="E20" s="20" t="s">
        <v>133</v>
      </c>
      <c r="F20" s="21">
        <v>45444</v>
      </c>
      <c r="G20" s="21">
        <v>45808</v>
      </c>
      <c r="H20" s="18"/>
      <c r="I20" s="22" t="s">
        <v>0</v>
      </c>
      <c r="J20" s="23">
        <v>1200</v>
      </c>
      <c r="K20" s="24">
        <v>5860</v>
      </c>
      <c r="L20" s="24">
        <v>1148.74</v>
      </c>
      <c r="M20" s="24"/>
      <c r="N20" s="24"/>
      <c r="O20" s="24">
        <v>0</v>
      </c>
      <c r="P20" s="24"/>
      <c r="Q20" s="24"/>
      <c r="R20" s="24">
        <v>630</v>
      </c>
      <c r="S20" s="24"/>
      <c r="T20" s="24"/>
      <c r="U20" s="24">
        <v>0</v>
      </c>
      <c r="V20" s="24"/>
      <c r="W20" s="24">
        <v>150</v>
      </c>
      <c r="X20" s="24">
        <v>0</v>
      </c>
      <c r="Y20" s="24">
        <v>-275.2</v>
      </c>
      <c r="Z20" s="25">
        <f t="shared" si="13"/>
        <v>8713.5399999999991</v>
      </c>
      <c r="AA20" s="27">
        <v>7923</v>
      </c>
      <c r="AB20" s="27">
        <v>633.84</v>
      </c>
      <c r="AC20" s="27">
        <v>158.46</v>
      </c>
      <c r="AD20" s="27">
        <v>39.619999999999997</v>
      </c>
      <c r="AE20" s="27">
        <v>7923</v>
      </c>
      <c r="AF20" s="27">
        <v>555</v>
      </c>
      <c r="AG20" s="25">
        <f t="shared" si="14"/>
        <v>1386.92</v>
      </c>
      <c r="AH20" s="28"/>
      <c r="AI20" s="29"/>
      <c r="AJ20" s="29"/>
      <c r="AK20" s="25">
        <f t="shared" si="3"/>
        <v>7326.619999999999</v>
      </c>
      <c r="AL20" s="26">
        <v>7923</v>
      </c>
      <c r="AM20" s="26">
        <v>7923</v>
      </c>
      <c r="AN20" s="26">
        <f t="shared" si="15"/>
        <v>1267.68</v>
      </c>
      <c r="AO20" s="26">
        <v>713.08</v>
      </c>
      <c r="AP20" s="26">
        <f t="shared" si="5"/>
        <v>39.619999999999997</v>
      </c>
      <c r="AQ20" s="26">
        <f t="shared" si="6"/>
        <v>20.28</v>
      </c>
      <c r="AR20" s="26"/>
      <c r="AS20" s="26">
        <f t="shared" si="7"/>
        <v>555</v>
      </c>
      <c r="AT20" s="26">
        <f t="shared" si="8"/>
        <v>118.85</v>
      </c>
      <c r="AU20" s="25">
        <f t="shared" si="9"/>
        <v>2714.5099999999998</v>
      </c>
      <c r="AV20" s="25">
        <v>159</v>
      </c>
      <c r="AW20" s="25">
        <f t="shared" si="10"/>
        <v>11587.05</v>
      </c>
      <c r="AX20" s="30"/>
      <c r="AY20" s="40"/>
      <c r="AZ20" s="25">
        <v>255</v>
      </c>
      <c r="BA20" s="31">
        <f t="shared" si="17"/>
        <v>11842.05</v>
      </c>
      <c r="BB20" s="25">
        <f t="shared" si="12"/>
        <v>710.52</v>
      </c>
      <c r="BC20" s="25">
        <f t="shared" si="18"/>
        <v>12552.57</v>
      </c>
      <c r="BD20" s="32"/>
      <c r="BE20" s="32"/>
    </row>
    <row r="21" spans="1:57" s="33" customFormat="1" ht="15" customHeight="1" x14ac:dyDescent="0.25">
      <c r="A21" s="18">
        <f t="shared" si="0"/>
        <v>19</v>
      </c>
      <c r="B21" s="19">
        <v>2412</v>
      </c>
      <c r="C21" s="19" t="s">
        <v>163</v>
      </c>
      <c r="D21" s="18" t="s">
        <v>134</v>
      </c>
      <c r="E21" s="20" t="s">
        <v>135</v>
      </c>
      <c r="F21" s="21">
        <v>45444</v>
      </c>
      <c r="G21" s="21">
        <v>45808</v>
      </c>
      <c r="H21" s="18"/>
      <c r="I21" s="22" t="s">
        <v>0</v>
      </c>
      <c r="J21" s="23">
        <v>1030</v>
      </c>
      <c r="K21" s="24">
        <v>2548.8000000000002</v>
      </c>
      <c r="L21" s="24">
        <v>1399.86</v>
      </c>
      <c r="M21" s="24"/>
      <c r="N21" s="24"/>
      <c r="O21" s="24">
        <v>0</v>
      </c>
      <c r="P21" s="24"/>
      <c r="Q21" s="24"/>
      <c r="R21" s="24">
        <v>630</v>
      </c>
      <c r="S21" s="24"/>
      <c r="T21" s="24"/>
      <c r="U21" s="24">
        <v>0</v>
      </c>
      <c r="V21" s="24"/>
      <c r="W21" s="24">
        <v>150</v>
      </c>
      <c r="X21" s="24">
        <v>0</v>
      </c>
      <c r="Y21" s="24">
        <v>-361.16</v>
      </c>
      <c r="Z21" s="25">
        <f t="shared" si="13"/>
        <v>5397.5</v>
      </c>
      <c r="AA21" s="27">
        <v>7670</v>
      </c>
      <c r="AB21" s="27">
        <v>613.6</v>
      </c>
      <c r="AC21" s="27">
        <v>153.4</v>
      </c>
      <c r="AD21" s="27">
        <v>38.35</v>
      </c>
      <c r="AE21" s="27">
        <v>7670</v>
      </c>
      <c r="AF21" s="27">
        <v>537</v>
      </c>
      <c r="AG21" s="25">
        <f t="shared" si="14"/>
        <v>1342.35</v>
      </c>
      <c r="AH21" s="28"/>
      <c r="AI21" s="29"/>
      <c r="AJ21" s="29"/>
      <c r="AK21" s="25">
        <f t="shared" si="3"/>
        <v>4055.15</v>
      </c>
      <c r="AL21" s="26">
        <v>7670</v>
      </c>
      <c r="AM21" s="26">
        <v>7670</v>
      </c>
      <c r="AN21" s="26">
        <f t="shared" si="15"/>
        <v>1227.2</v>
      </c>
      <c r="AO21" s="26">
        <f t="shared" si="16"/>
        <v>690.3</v>
      </c>
      <c r="AP21" s="26">
        <f t="shared" si="5"/>
        <v>38.35</v>
      </c>
      <c r="AQ21" s="26">
        <f t="shared" si="6"/>
        <v>19.64</v>
      </c>
      <c r="AR21" s="26"/>
      <c r="AS21" s="26">
        <f t="shared" si="7"/>
        <v>537</v>
      </c>
      <c r="AT21" s="26">
        <f t="shared" si="8"/>
        <v>115.05</v>
      </c>
      <c r="AU21" s="25">
        <f t="shared" si="9"/>
        <v>2627.54</v>
      </c>
      <c r="AV21" s="25">
        <v>92</v>
      </c>
      <c r="AW21" s="25">
        <f>AU21+Z21+AI21-AJ21+AV21</f>
        <v>8117.04</v>
      </c>
      <c r="AX21" s="30"/>
      <c r="AY21" s="40"/>
      <c r="AZ21" s="25">
        <v>255</v>
      </c>
      <c r="BA21" s="31">
        <f>ROUND(AW21+AZ21+AX21,2)</f>
        <v>8372.0400000000009</v>
      </c>
      <c r="BB21" s="25">
        <f t="shared" si="12"/>
        <v>502.32</v>
      </c>
      <c r="BC21" s="25">
        <f t="shared" si="18"/>
        <v>8874.36</v>
      </c>
      <c r="BD21" s="32"/>
      <c r="BE21" s="32"/>
    </row>
    <row r="22" spans="1:57" s="33" customFormat="1" ht="15" customHeight="1" x14ac:dyDescent="0.25">
      <c r="A22" s="18">
        <f t="shared" si="0"/>
        <v>20</v>
      </c>
      <c r="B22" s="19">
        <v>2412</v>
      </c>
      <c r="C22" s="19" t="s">
        <v>164</v>
      </c>
      <c r="D22" s="18" t="s">
        <v>136</v>
      </c>
      <c r="E22" s="20" t="s">
        <v>137</v>
      </c>
      <c r="F22" s="21">
        <v>45444</v>
      </c>
      <c r="G22" s="21">
        <v>45808</v>
      </c>
      <c r="H22" s="18"/>
      <c r="I22" s="22" t="s">
        <v>0</v>
      </c>
      <c r="J22" s="23">
        <v>1300</v>
      </c>
      <c r="K22" s="24">
        <v>6760</v>
      </c>
      <c r="L22" s="24">
        <v>701.86</v>
      </c>
      <c r="M22" s="24"/>
      <c r="N22" s="24"/>
      <c r="O22" s="24">
        <v>0</v>
      </c>
      <c r="P22" s="24"/>
      <c r="Q22" s="24"/>
      <c r="R22" s="24">
        <v>630</v>
      </c>
      <c r="S22" s="24"/>
      <c r="T22" s="24"/>
      <c r="U22" s="24">
        <v>600</v>
      </c>
      <c r="V22" s="24"/>
      <c r="W22" s="24">
        <v>150</v>
      </c>
      <c r="X22" s="24">
        <v>0</v>
      </c>
      <c r="Y22" s="24">
        <v>-798.96</v>
      </c>
      <c r="Z22" s="25">
        <f t="shared" si="13"/>
        <v>9342.9000000000015</v>
      </c>
      <c r="AA22" s="27">
        <v>9323</v>
      </c>
      <c r="AB22" s="27">
        <v>745.84</v>
      </c>
      <c r="AC22" s="27">
        <v>186.46</v>
      </c>
      <c r="AD22" s="27">
        <v>46.62</v>
      </c>
      <c r="AE22" s="27">
        <v>9323</v>
      </c>
      <c r="AF22" s="27">
        <v>653</v>
      </c>
      <c r="AG22" s="25">
        <f t="shared" si="14"/>
        <v>1631.92</v>
      </c>
      <c r="AH22" s="28"/>
      <c r="AI22" s="29"/>
      <c r="AJ22" s="29"/>
      <c r="AK22" s="25">
        <f t="shared" si="3"/>
        <v>7710.9800000000014</v>
      </c>
      <c r="AL22" s="26">
        <v>9323</v>
      </c>
      <c r="AM22" s="26">
        <v>9323</v>
      </c>
      <c r="AN22" s="26">
        <f t="shared" si="15"/>
        <v>1491.68</v>
      </c>
      <c r="AO22" s="26">
        <v>839.08</v>
      </c>
      <c r="AP22" s="26">
        <f t="shared" si="5"/>
        <v>46.62</v>
      </c>
      <c r="AQ22" s="26">
        <f t="shared" si="6"/>
        <v>23.87</v>
      </c>
      <c r="AR22" s="26"/>
      <c r="AS22" s="26">
        <f t="shared" si="7"/>
        <v>653</v>
      </c>
      <c r="AT22" s="26">
        <f t="shared" si="8"/>
        <v>139.85</v>
      </c>
      <c r="AU22" s="25">
        <f t="shared" si="9"/>
        <v>3194.1</v>
      </c>
      <c r="AV22" s="25">
        <v>171</v>
      </c>
      <c r="AW22" s="25">
        <f t="shared" si="10"/>
        <v>12708.000000000002</v>
      </c>
      <c r="AX22" s="30"/>
      <c r="AY22" s="40"/>
      <c r="AZ22" s="25">
        <v>255</v>
      </c>
      <c r="BA22" s="31">
        <f t="shared" si="17"/>
        <v>12963</v>
      </c>
      <c r="BB22" s="25">
        <f t="shared" si="12"/>
        <v>777.78</v>
      </c>
      <c r="BC22" s="25">
        <f t="shared" si="18"/>
        <v>13740.78</v>
      </c>
      <c r="BD22" s="32"/>
      <c r="BE22" s="32"/>
    </row>
    <row r="23" spans="1:57" s="33" customFormat="1" ht="15" customHeight="1" x14ac:dyDescent="0.25">
      <c r="A23" s="18">
        <f t="shared" si="0"/>
        <v>21</v>
      </c>
      <c r="B23" s="19">
        <v>2412</v>
      </c>
      <c r="C23" s="19" t="s">
        <v>165</v>
      </c>
      <c r="D23" s="18" t="s">
        <v>138</v>
      </c>
      <c r="E23" s="20" t="s">
        <v>139</v>
      </c>
      <c r="F23" s="21">
        <v>45444</v>
      </c>
      <c r="G23" s="21">
        <v>45808</v>
      </c>
      <c r="H23" s="18"/>
      <c r="I23" s="22" t="s">
        <v>0</v>
      </c>
      <c r="J23" s="23">
        <v>1000</v>
      </c>
      <c r="K23" s="24">
        <v>2026.8</v>
      </c>
      <c r="L23" s="24">
        <v>1362.63</v>
      </c>
      <c r="M23" s="24"/>
      <c r="N23" s="24"/>
      <c r="O23" s="24">
        <v>0</v>
      </c>
      <c r="P23" s="24"/>
      <c r="Q23" s="24"/>
      <c r="R23" s="24">
        <v>630</v>
      </c>
      <c r="S23" s="24"/>
      <c r="T23" s="24"/>
      <c r="U23" s="24">
        <v>800</v>
      </c>
      <c r="V23" s="24"/>
      <c r="W23" s="24">
        <v>150</v>
      </c>
      <c r="X23" s="24">
        <v>0</v>
      </c>
      <c r="Y23" s="24">
        <v>-293.5</v>
      </c>
      <c r="Z23" s="25">
        <f t="shared" si="13"/>
        <v>5675.93</v>
      </c>
      <c r="AA23" s="27">
        <v>7384</v>
      </c>
      <c r="AB23" s="27">
        <v>590.72</v>
      </c>
      <c r="AC23" s="27">
        <v>147.68</v>
      </c>
      <c r="AD23" s="27">
        <v>36.92</v>
      </c>
      <c r="AE23" s="27">
        <v>7055</v>
      </c>
      <c r="AF23" s="27">
        <v>494</v>
      </c>
      <c r="AG23" s="25">
        <f t="shared" si="14"/>
        <v>1269.3200000000002</v>
      </c>
      <c r="AH23" s="28"/>
      <c r="AI23" s="29"/>
      <c r="AJ23" s="29"/>
      <c r="AK23" s="25">
        <f t="shared" si="3"/>
        <v>4406.6100000000006</v>
      </c>
      <c r="AL23" s="26">
        <v>7384</v>
      </c>
      <c r="AM23" s="26">
        <v>7055</v>
      </c>
      <c r="AN23" s="26">
        <f t="shared" si="15"/>
        <v>1181.44</v>
      </c>
      <c r="AO23" s="26">
        <f t="shared" si="16"/>
        <v>664.56</v>
      </c>
      <c r="AP23" s="26">
        <f t="shared" si="5"/>
        <v>36.92</v>
      </c>
      <c r="AQ23" s="26">
        <f t="shared" si="6"/>
        <v>18.899999999999999</v>
      </c>
      <c r="AR23" s="26"/>
      <c r="AS23" s="26">
        <f t="shared" si="7"/>
        <v>494</v>
      </c>
      <c r="AT23" s="26">
        <f t="shared" si="8"/>
        <v>110.76</v>
      </c>
      <c r="AU23" s="25">
        <f t="shared" si="9"/>
        <v>2506.5800000000004</v>
      </c>
      <c r="AV23" s="25">
        <v>98</v>
      </c>
      <c r="AW23" s="25">
        <f t="shared" si="10"/>
        <v>8280.51</v>
      </c>
      <c r="AX23" s="30"/>
      <c r="AY23" s="40"/>
      <c r="AZ23" s="25">
        <v>255</v>
      </c>
      <c r="BA23" s="31">
        <f t="shared" si="17"/>
        <v>8535.51</v>
      </c>
      <c r="BB23" s="25">
        <f t="shared" si="12"/>
        <v>512.13</v>
      </c>
      <c r="BC23" s="25">
        <f t="shared" si="18"/>
        <v>9047.64</v>
      </c>
      <c r="BD23" s="32"/>
      <c r="BE23" s="32"/>
    </row>
    <row r="24" spans="1:57" s="33" customFormat="1" ht="15" customHeight="1" x14ac:dyDescent="0.25">
      <c r="A24" s="18">
        <f t="shared" si="0"/>
        <v>22</v>
      </c>
      <c r="B24" s="19">
        <v>2412</v>
      </c>
      <c r="C24" s="19" t="s">
        <v>166</v>
      </c>
      <c r="D24" s="18" t="s">
        <v>140</v>
      </c>
      <c r="E24" s="20" t="s">
        <v>141</v>
      </c>
      <c r="F24" s="21">
        <v>45444</v>
      </c>
      <c r="G24" s="21">
        <v>45808</v>
      </c>
      <c r="H24" s="18"/>
      <c r="I24" s="22" t="s">
        <v>0</v>
      </c>
      <c r="J24" s="23">
        <v>1300</v>
      </c>
      <c r="K24" s="24">
        <v>2808</v>
      </c>
      <c r="L24" s="24">
        <v>1261.72</v>
      </c>
      <c r="M24" s="24"/>
      <c r="N24" s="24"/>
      <c r="O24" s="24">
        <v>0</v>
      </c>
      <c r="P24" s="24"/>
      <c r="Q24" s="24"/>
      <c r="R24" s="24">
        <v>630</v>
      </c>
      <c r="S24" s="24"/>
      <c r="T24" s="24"/>
      <c r="U24" s="24">
        <v>1000</v>
      </c>
      <c r="V24" s="24"/>
      <c r="W24" s="24">
        <v>150</v>
      </c>
      <c r="X24" s="24">
        <v>0</v>
      </c>
      <c r="Y24" s="24">
        <v>-336.27</v>
      </c>
      <c r="Z24" s="25">
        <f t="shared" si="13"/>
        <v>6813.4500000000007</v>
      </c>
      <c r="AA24" s="27">
        <v>14011</v>
      </c>
      <c r="AB24" s="27">
        <v>1120.8800000000001</v>
      </c>
      <c r="AC24" s="27">
        <v>280.22000000000003</v>
      </c>
      <c r="AD24" s="27">
        <v>70.06</v>
      </c>
      <c r="AE24" s="27">
        <v>14011</v>
      </c>
      <c r="AF24" s="27">
        <v>981</v>
      </c>
      <c r="AG24" s="25">
        <f t="shared" si="14"/>
        <v>2452.16</v>
      </c>
      <c r="AH24" s="28"/>
      <c r="AI24" s="29"/>
      <c r="AJ24" s="29"/>
      <c r="AK24" s="25">
        <f t="shared" si="3"/>
        <v>4361.2900000000009</v>
      </c>
      <c r="AL24" s="26">
        <v>14011</v>
      </c>
      <c r="AM24" s="26">
        <v>14011</v>
      </c>
      <c r="AN24" s="26">
        <f t="shared" si="15"/>
        <v>2241.7600000000002</v>
      </c>
      <c r="AO24" s="26">
        <v>1261</v>
      </c>
      <c r="AP24" s="26">
        <f t="shared" si="5"/>
        <v>70.06</v>
      </c>
      <c r="AQ24" s="26">
        <f t="shared" si="6"/>
        <v>35.869999999999997</v>
      </c>
      <c r="AR24" s="26"/>
      <c r="AS24" s="26">
        <f t="shared" si="7"/>
        <v>981</v>
      </c>
      <c r="AT24" s="26">
        <f t="shared" si="8"/>
        <v>210.17</v>
      </c>
      <c r="AU24" s="25">
        <f t="shared" si="9"/>
        <v>4799.8600000000006</v>
      </c>
      <c r="AV24" s="25">
        <v>121</v>
      </c>
      <c r="AW24" s="25">
        <f t="shared" si="10"/>
        <v>11734.310000000001</v>
      </c>
      <c r="AX24" s="30"/>
      <c r="AY24" s="40"/>
      <c r="AZ24" s="25">
        <v>255</v>
      </c>
      <c r="BA24" s="31">
        <f t="shared" si="17"/>
        <v>11989.31</v>
      </c>
      <c r="BB24" s="25">
        <f t="shared" si="12"/>
        <v>719.36</v>
      </c>
      <c r="BC24" s="25">
        <f t="shared" si="18"/>
        <v>12708.67</v>
      </c>
      <c r="BD24" s="32"/>
      <c r="BE24" s="32"/>
    </row>
    <row r="25" spans="1:57" s="33" customFormat="1" ht="15" customHeight="1" x14ac:dyDescent="0.25">
      <c r="A25" s="18">
        <f t="shared" si="0"/>
        <v>23</v>
      </c>
      <c r="B25" s="19">
        <v>2412</v>
      </c>
      <c r="C25" s="19" t="s">
        <v>167</v>
      </c>
      <c r="D25" s="18" t="s">
        <v>142</v>
      </c>
      <c r="E25" s="20" t="s">
        <v>143</v>
      </c>
      <c r="F25" s="21">
        <v>45444</v>
      </c>
      <c r="G25" s="21">
        <v>45808</v>
      </c>
      <c r="H25" s="18"/>
      <c r="I25" s="22" t="s">
        <v>0</v>
      </c>
      <c r="J25" s="23">
        <v>800</v>
      </c>
      <c r="K25" s="24">
        <v>1770</v>
      </c>
      <c r="L25" s="24">
        <v>1209.4000000000001</v>
      </c>
      <c r="M25" s="24"/>
      <c r="N25" s="24"/>
      <c r="O25" s="24">
        <v>0</v>
      </c>
      <c r="P25" s="24"/>
      <c r="Q25" s="24"/>
      <c r="R25" s="24">
        <v>630</v>
      </c>
      <c r="S25" s="24"/>
      <c r="T25" s="24"/>
      <c r="U25" s="24">
        <v>0</v>
      </c>
      <c r="V25" s="24"/>
      <c r="W25" s="24">
        <v>150</v>
      </c>
      <c r="X25" s="24">
        <v>415.32</v>
      </c>
      <c r="Y25" s="24">
        <v>-2.5</v>
      </c>
      <c r="Z25" s="25">
        <f t="shared" si="13"/>
        <v>4972.2199999999993</v>
      </c>
      <c r="AA25" s="27">
        <v>8583</v>
      </c>
      <c r="AB25" s="27">
        <v>686.64</v>
      </c>
      <c r="AC25" s="27">
        <v>171.66</v>
      </c>
      <c r="AD25" s="27">
        <v>42.92</v>
      </c>
      <c r="AE25" s="27">
        <v>8583</v>
      </c>
      <c r="AF25" s="27">
        <v>601</v>
      </c>
      <c r="AG25" s="25">
        <f t="shared" si="14"/>
        <v>1502.2199999999998</v>
      </c>
      <c r="AH25" s="28"/>
      <c r="AI25" s="29"/>
      <c r="AJ25" s="29"/>
      <c r="AK25" s="25">
        <f t="shared" si="3"/>
        <v>3469.9999999999995</v>
      </c>
      <c r="AL25" s="26">
        <v>8583</v>
      </c>
      <c r="AM25" s="26">
        <v>8583</v>
      </c>
      <c r="AN25" s="26">
        <f t="shared" si="15"/>
        <v>1373.28</v>
      </c>
      <c r="AO25" s="26">
        <v>772.48</v>
      </c>
      <c r="AP25" s="26">
        <f t="shared" si="5"/>
        <v>42.92</v>
      </c>
      <c r="AQ25" s="26">
        <f t="shared" si="6"/>
        <v>21.97</v>
      </c>
      <c r="AR25" s="26"/>
      <c r="AS25" s="26">
        <f t="shared" si="7"/>
        <v>601</v>
      </c>
      <c r="AT25" s="26">
        <f t="shared" si="8"/>
        <v>128.75</v>
      </c>
      <c r="AU25" s="25">
        <f t="shared" si="9"/>
        <v>2940.4</v>
      </c>
      <c r="AV25" s="25">
        <v>84</v>
      </c>
      <c r="AW25" s="25">
        <f t="shared" si="10"/>
        <v>7996.619999999999</v>
      </c>
      <c r="AX25" s="30"/>
      <c r="AY25" s="40"/>
      <c r="AZ25" s="25">
        <v>255</v>
      </c>
      <c r="BA25" s="31">
        <f t="shared" si="17"/>
        <v>8251.6200000000008</v>
      </c>
      <c r="BB25" s="25">
        <f t="shared" si="12"/>
        <v>495.1</v>
      </c>
      <c r="BC25" s="25">
        <f t="shared" si="18"/>
        <v>8746.7199999999993</v>
      </c>
      <c r="BD25" s="32"/>
      <c r="BE25" s="32"/>
    </row>
    <row r="26" spans="1:57" s="33" customFormat="1" ht="15" customHeight="1" x14ac:dyDescent="0.25">
      <c r="A26" s="18">
        <f t="shared" si="0"/>
        <v>24</v>
      </c>
      <c r="B26" s="19">
        <v>2412</v>
      </c>
      <c r="C26" s="19" t="s">
        <v>168</v>
      </c>
      <c r="D26" s="18" t="s">
        <v>144</v>
      </c>
      <c r="E26" s="20" t="s">
        <v>145</v>
      </c>
      <c r="F26" s="21">
        <v>45444</v>
      </c>
      <c r="G26" s="21">
        <v>45808</v>
      </c>
      <c r="H26" s="18"/>
      <c r="I26" s="22" t="s">
        <v>0</v>
      </c>
      <c r="J26" s="23">
        <v>900</v>
      </c>
      <c r="K26" s="24">
        <v>1791</v>
      </c>
      <c r="L26" s="24">
        <v>1744.3</v>
      </c>
      <c r="M26" s="24"/>
      <c r="N26" s="24"/>
      <c r="O26" s="24">
        <v>989.43</v>
      </c>
      <c r="P26" s="24"/>
      <c r="Q26" s="24"/>
      <c r="R26" s="24">
        <v>630</v>
      </c>
      <c r="S26" s="24"/>
      <c r="T26" s="24"/>
      <c r="U26" s="24">
        <v>0</v>
      </c>
      <c r="V26" s="24"/>
      <c r="W26" s="24">
        <v>150</v>
      </c>
      <c r="X26" s="24">
        <v>0</v>
      </c>
      <c r="Y26" s="24">
        <v>-4.95</v>
      </c>
      <c r="Z26" s="25">
        <f t="shared" si="13"/>
        <v>6199.7800000000007</v>
      </c>
      <c r="AA26" s="27">
        <v>7384</v>
      </c>
      <c r="AB26" s="27">
        <v>590.72</v>
      </c>
      <c r="AC26" s="27">
        <v>147.68</v>
      </c>
      <c r="AD26" s="27">
        <v>36.92</v>
      </c>
      <c r="AE26" s="27">
        <v>2690</v>
      </c>
      <c r="AF26" s="27">
        <v>188</v>
      </c>
      <c r="AG26" s="25">
        <f t="shared" si="14"/>
        <v>963.32</v>
      </c>
      <c r="AH26" s="28"/>
      <c r="AI26" s="29"/>
      <c r="AJ26" s="29"/>
      <c r="AK26" s="25">
        <f t="shared" si="3"/>
        <v>5236.4600000000009</v>
      </c>
      <c r="AL26" s="26">
        <v>7384</v>
      </c>
      <c r="AM26" s="26">
        <v>2690</v>
      </c>
      <c r="AN26" s="26">
        <f t="shared" si="15"/>
        <v>1181.44</v>
      </c>
      <c r="AO26" s="26">
        <f t="shared" si="16"/>
        <v>664.56</v>
      </c>
      <c r="AP26" s="26">
        <f t="shared" si="5"/>
        <v>36.92</v>
      </c>
      <c r="AQ26" s="26">
        <f t="shared" si="6"/>
        <v>18.899999999999999</v>
      </c>
      <c r="AR26" s="26"/>
      <c r="AS26" s="26">
        <f t="shared" si="7"/>
        <v>188</v>
      </c>
      <c r="AT26" s="26">
        <f t="shared" si="8"/>
        <v>110.76</v>
      </c>
      <c r="AU26" s="25">
        <f t="shared" si="9"/>
        <v>2200.5800000000004</v>
      </c>
      <c r="AV26" s="25">
        <v>108</v>
      </c>
      <c r="AW26" s="25">
        <f t="shared" si="10"/>
        <v>8508.36</v>
      </c>
      <c r="AX26" s="30"/>
      <c r="AY26" s="40"/>
      <c r="AZ26" s="25">
        <v>255</v>
      </c>
      <c r="BA26" s="31">
        <f t="shared" si="17"/>
        <v>8763.36</v>
      </c>
      <c r="BB26" s="25">
        <f t="shared" si="12"/>
        <v>525.79999999999995</v>
      </c>
      <c r="BC26" s="25">
        <f t="shared" si="18"/>
        <v>9289.16</v>
      </c>
      <c r="BD26" s="32"/>
      <c r="BE26" s="32"/>
    </row>
    <row r="27" spans="1:57" s="33" customFormat="1" ht="15" customHeight="1" x14ac:dyDescent="0.25">
      <c r="A27" s="18">
        <f t="shared" si="0"/>
        <v>25</v>
      </c>
      <c r="B27" s="19">
        <v>2412</v>
      </c>
      <c r="C27" s="19" t="s">
        <v>171</v>
      </c>
      <c r="D27" s="18" t="s">
        <v>169</v>
      </c>
      <c r="E27" s="20" t="s">
        <v>170</v>
      </c>
      <c r="F27" s="21">
        <v>45474</v>
      </c>
      <c r="G27" s="21">
        <v>45900</v>
      </c>
      <c r="H27" s="18"/>
      <c r="I27" s="22" t="s">
        <v>0</v>
      </c>
      <c r="J27" s="23">
        <v>800</v>
      </c>
      <c r="K27" s="24">
        <v>2760</v>
      </c>
      <c r="L27" s="24">
        <v>1722.8</v>
      </c>
      <c r="M27" s="24"/>
      <c r="N27" s="24"/>
      <c r="O27" s="24">
        <v>989.43</v>
      </c>
      <c r="P27" s="24"/>
      <c r="Q27" s="24"/>
      <c r="R27" s="24">
        <v>630</v>
      </c>
      <c r="S27" s="24"/>
      <c r="T27" s="24"/>
      <c r="U27" s="24">
        <v>0</v>
      </c>
      <c r="V27" s="24"/>
      <c r="W27" s="24">
        <v>150</v>
      </c>
      <c r="X27" s="24">
        <v>0</v>
      </c>
      <c r="Y27" s="24">
        <v>0</v>
      </c>
      <c r="Z27" s="25">
        <f t="shared" si="13"/>
        <v>7052.2300000000005</v>
      </c>
      <c r="AA27" s="27">
        <v>12197</v>
      </c>
      <c r="AB27" s="27">
        <v>975.76</v>
      </c>
      <c r="AC27" s="27">
        <v>243.94</v>
      </c>
      <c r="AD27" s="27">
        <v>60.99</v>
      </c>
      <c r="AE27" s="27">
        <v>12197</v>
      </c>
      <c r="AF27" s="27">
        <v>854</v>
      </c>
      <c r="AG27" s="25">
        <f t="shared" si="14"/>
        <v>2134.69</v>
      </c>
      <c r="AH27" s="28"/>
      <c r="AI27" s="29"/>
      <c r="AJ27" s="29"/>
      <c r="AK27" s="25">
        <f t="shared" si="3"/>
        <v>4917.5400000000009</v>
      </c>
      <c r="AL27" s="26">
        <v>12197</v>
      </c>
      <c r="AM27" s="26">
        <v>12197</v>
      </c>
      <c r="AN27" s="26">
        <f t="shared" si="15"/>
        <v>1951.52</v>
      </c>
      <c r="AO27" s="26">
        <v>1097.74</v>
      </c>
      <c r="AP27" s="26">
        <f t="shared" si="5"/>
        <v>60.99</v>
      </c>
      <c r="AQ27" s="26">
        <f t="shared" si="6"/>
        <v>31.22</v>
      </c>
      <c r="AR27" s="26"/>
      <c r="AS27" s="26">
        <f t="shared" si="7"/>
        <v>854</v>
      </c>
      <c r="AT27" s="26">
        <f t="shared" si="8"/>
        <v>182.96</v>
      </c>
      <c r="AU27" s="25">
        <f t="shared" si="9"/>
        <v>4178.4299999999994</v>
      </c>
      <c r="AV27" s="25">
        <v>125</v>
      </c>
      <c r="AW27" s="25">
        <f t="shared" si="10"/>
        <v>11355.66</v>
      </c>
      <c r="AX27" s="30"/>
      <c r="AY27" s="40"/>
      <c r="AZ27" s="25">
        <v>255</v>
      </c>
      <c r="BA27" s="31">
        <f t="shared" si="17"/>
        <v>11610.66</v>
      </c>
      <c r="BB27" s="25">
        <f t="shared" si="12"/>
        <v>696.64</v>
      </c>
      <c r="BC27" s="25">
        <f t="shared" si="18"/>
        <v>12307.3</v>
      </c>
      <c r="BD27" s="32"/>
      <c r="BE27" s="32"/>
    </row>
    <row r="28" spans="1:57" ht="15" customHeight="1" x14ac:dyDescent="0.25"/>
    <row r="29" spans="1:57" s="35" customFormat="1" x14ac:dyDescent="0.25">
      <c r="A29" s="35" t="s">
        <v>94</v>
      </c>
      <c r="Z29" s="35">
        <f>SUBTOTAL(9,Z3:Z27)</f>
        <v>175592.83000000002</v>
      </c>
      <c r="AG29" s="35">
        <f>SUBTOTAL(9,AG3:AG27)</f>
        <v>41623.579999999994</v>
      </c>
      <c r="AK29" s="35">
        <f>SUBTOTAL(9,AK2:AK27)</f>
        <v>133969.25</v>
      </c>
      <c r="AU29" s="35">
        <f>SUBTOTAL(9,AU3:AU27)</f>
        <v>82536.290000000023</v>
      </c>
      <c r="AV29" s="35">
        <f>SUM(AV3:AV27)</f>
        <v>3123</v>
      </c>
      <c r="AW29" s="35">
        <f>SUBTOTAL(9,AW3:AW27)</f>
        <v>261252.11999999997</v>
      </c>
      <c r="AX29" s="35">
        <f>SUBTOTAL(9,AX3:AX27)</f>
        <v>0</v>
      </c>
      <c r="AZ29" s="35">
        <f>SUBTOTAL(9,AZ3:AZ27)</f>
        <v>6375</v>
      </c>
      <c r="BA29" s="36">
        <f>SUBTOTAL(9,BA3:BA27)</f>
        <v>267627.11999999994</v>
      </c>
      <c r="BB29" s="35">
        <f>SUBTOTAL(9,BB3:BB27)</f>
        <v>16057.62</v>
      </c>
      <c r="BC29" s="35">
        <f>SUBTOTAL(9,BC3:BC27)</f>
        <v>283684.73999999993</v>
      </c>
    </row>
    <row r="30" spans="1:57" x14ac:dyDescent="0.25">
      <c r="AV30" s="34">
        <v>29701</v>
      </c>
      <c r="AX30" s="37"/>
      <c r="BA30" s="39"/>
    </row>
    <row r="31" spans="1:57" hidden="1" x14ac:dyDescent="0.25">
      <c r="AZ31" s="38" t="s">
        <v>91</v>
      </c>
      <c r="BA31" s="38"/>
    </row>
    <row r="32" spans="1:57" hidden="1" x14ac:dyDescent="0.25">
      <c r="AZ32" s="38" t="s">
        <v>92</v>
      </c>
      <c r="BA32" s="38"/>
    </row>
    <row r="33" spans="24:53" x14ac:dyDescent="0.25">
      <c r="X33" s="37"/>
      <c r="AV33" s="39">
        <f>AV29+AV30</f>
        <v>32824</v>
      </c>
      <c r="AX33" s="37"/>
      <c r="BA33" s="104"/>
    </row>
    <row r="34" spans="24:53" ht="15" customHeight="1" x14ac:dyDescent="0.25">
      <c r="BA34" s="39"/>
    </row>
    <row r="35" spans="24:53" x14ac:dyDescent="0.25">
      <c r="AV35" s="39"/>
    </row>
    <row r="36" spans="24:53" x14ac:dyDescent="0.25">
      <c r="AG36" s="39"/>
    </row>
    <row r="37" spans="24:53" x14ac:dyDescent="0.25">
      <c r="AV37"/>
    </row>
    <row r="38" spans="24:53" x14ac:dyDescent="0.25">
      <c r="AV38" s="39"/>
    </row>
  </sheetData>
  <autoFilter ref="A2:BE27" xr:uid="{D8DEAF45-98D8-4E77-8102-41F77E0E543A}"/>
  <mergeCells count="1">
    <mergeCell ref="M1:Y1"/>
  </mergeCells>
  <phoneticPr fontId="6" type="noConversion"/>
  <conditionalFormatting sqref="C1">
    <cfRule type="duplicateValues" dxfId="14" priority="140"/>
  </conditionalFormatting>
  <conditionalFormatting sqref="C1">
    <cfRule type="duplicateValues" dxfId="13" priority="141"/>
  </conditionalFormatting>
  <conditionalFormatting sqref="C1">
    <cfRule type="duplicateValues" dxfId="12" priority="142"/>
    <cfRule type="duplicateValues" dxfId="11" priority="143"/>
  </conditionalFormatting>
  <conditionalFormatting sqref="C1">
    <cfRule type="duplicateValues" dxfId="10" priority="144"/>
    <cfRule type="duplicateValues" dxfId="9" priority="145"/>
  </conditionalFormatting>
  <conditionalFormatting sqref="C2">
    <cfRule type="duplicateValues" dxfId="8" priority="137"/>
    <cfRule type="duplicateValues" dxfId="7" priority="138"/>
  </conditionalFormatting>
  <conditionalFormatting sqref="C2">
    <cfRule type="duplicateValues" dxfId="6" priority="139"/>
  </conditionalFormatting>
  <conditionalFormatting sqref="D1">
    <cfRule type="duplicateValues" dxfId="5" priority="174"/>
  </conditionalFormatting>
  <conditionalFormatting sqref="D1">
    <cfRule type="duplicateValues" dxfId="4" priority="176"/>
    <cfRule type="duplicateValues" dxfId="3" priority="177"/>
  </conditionalFormatting>
  <conditionalFormatting sqref="D2">
    <cfRule type="duplicateValues" dxfId="2" priority="180"/>
    <cfRule type="duplicateValues" dxfId="1" priority="181"/>
  </conditionalFormatting>
  <conditionalFormatting sqref="D2">
    <cfRule type="duplicateValues" dxfId="0" priority="18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78FA-1B87-4798-8898-CE9307E10246}">
  <dimension ref="A1:I27"/>
  <sheetViews>
    <sheetView tabSelected="1" workbookViewId="0">
      <selection sqref="A1:XFD1048576"/>
    </sheetView>
  </sheetViews>
  <sheetFormatPr defaultRowHeight="13.8" x14ac:dyDescent="0.25"/>
  <cols>
    <col min="1" max="1" width="35" customWidth="1"/>
    <col min="2" max="2" width="17.88671875" customWidth="1"/>
    <col min="3" max="3" width="20.33203125" customWidth="1"/>
    <col min="4" max="4" width="16.88671875" customWidth="1"/>
    <col min="5" max="5" width="30.88671875" customWidth="1"/>
    <col min="6" max="6" width="23.6640625" customWidth="1"/>
    <col min="7" max="7" width="19.77734375" customWidth="1"/>
    <col min="8" max="8" width="19.33203125" customWidth="1"/>
    <col min="9" max="9" width="12.6640625" customWidth="1"/>
  </cols>
  <sheetData>
    <row r="1" spans="1:9" x14ac:dyDescent="0.25">
      <c r="A1" s="83" t="s">
        <v>312</v>
      </c>
      <c r="B1" s="84" t="s">
        <v>313</v>
      </c>
      <c r="C1" s="84" t="s">
        <v>330</v>
      </c>
      <c r="D1" s="84">
        <v>155</v>
      </c>
      <c r="E1" s="84" t="s">
        <v>314</v>
      </c>
      <c r="F1" s="84" t="s">
        <v>315</v>
      </c>
      <c r="G1" s="84" t="s">
        <v>316</v>
      </c>
      <c r="H1" s="84" t="s">
        <v>317</v>
      </c>
      <c r="I1" s="85" t="s">
        <v>318</v>
      </c>
    </row>
    <row r="2" spans="1:9" x14ac:dyDescent="0.25">
      <c r="A2" s="83" t="s">
        <v>186</v>
      </c>
      <c r="B2" s="84">
        <f>'202412'!BB29+B10*0.06</f>
        <v>17839.68</v>
      </c>
      <c r="C2" s="84">
        <f>系统!E41</f>
        <v>18130.229999999996</v>
      </c>
      <c r="D2" s="84"/>
      <c r="E2" s="84"/>
      <c r="F2" s="84"/>
      <c r="G2" s="84"/>
      <c r="H2" s="84">
        <f>SUM(C2:G2)</f>
        <v>18130.229999999996</v>
      </c>
      <c r="I2" s="86">
        <f t="shared" ref="I2:I10" si="0">B2-C2</f>
        <v>-290.54999999999563</v>
      </c>
    </row>
    <row r="3" spans="1:9" x14ac:dyDescent="0.25">
      <c r="A3" s="83" t="s">
        <v>319</v>
      </c>
      <c r="B3" s="84">
        <f>'202412'!AZ29</f>
        <v>6375</v>
      </c>
      <c r="C3" s="84">
        <v>0</v>
      </c>
      <c r="D3" s="84">
        <f>25*155</f>
        <v>3875</v>
      </c>
      <c r="E3" s="84"/>
      <c r="F3" s="84"/>
      <c r="G3" s="84"/>
      <c r="H3" s="84">
        <f>SUM(C3:G3)</f>
        <v>3875</v>
      </c>
      <c r="I3" s="86">
        <f t="shared" si="0"/>
        <v>6375</v>
      </c>
    </row>
    <row r="4" spans="1:9" x14ac:dyDescent="0.25">
      <c r="A4" s="83" t="s">
        <v>320</v>
      </c>
      <c r="B4" s="84">
        <f>'202412'!AG29</f>
        <v>41623.579999999994</v>
      </c>
      <c r="C4" s="84">
        <f>系统!V41</f>
        <v>41623.58</v>
      </c>
      <c r="D4" s="84"/>
      <c r="E4" s="84"/>
      <c r="F4" s="84"/>
      <c r="G4" s="84"/>
      <c r="H4" s="84">
        <f>SUM(C4:G4)</f>
        <v>41623.58</v>
      </c>
      <c r="I4" s="86">
        <f t="shared" si="0"/>
        <v>0</v>
      </c>
    </row>
    <row r="5" spans="1:9" x14ac:dyDescent="0.25">
      <c r="A5" s="83" t="s">
        <v>321</v>
      </c>
      <c r="B5" s="84">
        <f>'202412'!AU29</f>
        <v>82536.290000000023</v>
      </c>
      <c r="C5" s="84">
        <f>系统!O41</f>
        <v>82536.290000000008</v>
      </c>
      <c r="D5" s="84"/>
      <c r="E5" s="87"/>
      <c r="F5" s="84"/>
      <c r="G5" s="84"/>
      <c r="H5" s="84">
        <f>SUM(C5:E5)</f>
        <v>82536.290000000008</v>
      </c>
      <c r="I5" s="86">
        <f t="shared" si="0"/>
        <v>0</v>
      </c>
    </row>
    <row r="6" spans="1:9" x14ac:dyDescent="0.25">
      <c r="A6" s="83" t="s">
        <v>322</v>
      </c>
      <c r="B6" s="84"/>
      <c r="C6" s="84"/>
      <c r="D6" s="84"/>
      <c r="E6" s="84"/>
      <c r="F6" s="84"/>
      <c r="G6" s="84"/>
      <c r="H6" s="84">
        <f t="shared" ref="H6:H10" si="1">SUM(C6:G6)</f>
        <v>0</v>
      </c>
      <c r="I6" s="86">
        <f t="shared" si="0"/>
        <v>0</v>
      </c>
    </row>
    <row r="7" spans="1:9" x14ac:dyDescent="0.25">
      <c r="A7" s="83" t="s">
        <v>323</v>
      </c>
      <c r="B7" s="84">
        <f>'202412'!Z29-'202412'!AG29</f>
        <v>133969.25000000003</v>
      </c>
      <c r="C7" s="84">
        <f>系统!W41</f>
        <v>133844.25</v>
      </c>
      <c r="D7" s="84">
        <f>5*25+0.01</f>
        <v>125.01</v>
      </c>
      <c r="E7" s="84"/>
      <c r="F7" s="84"/>
      <c r="G7" s="84"/>
      <c r="H7" s="84">
        <f t="shared" si="1"/>
        <v>133969.26</v>
      </c>
      <c r="I7" s="86">
        <f t="shared" si="0"/>
        <v>125.0000000000291</v>
      </c>
    </row>
    <row r="8" spans="1:9" x14ac:dyDescent="0.25">
      <c r="A8" s="83" t="s">
        <v>324</v>
      </c>
      <c r="B8" s="84"/>
      <c r="C8" s="84"/>
      <c r="D8" s="84"/>
      <c r="E8" s="88"/>
      <c r="F8" s="88"/>
      <c r="G8" s="89"/>
      <c r="H8" s="84">
        <f t="shared" si="1"/>
        <v>0</v>
      </c>
      <c r="I8" s="86">
        <f t="shared" si="0"/>
        <v>0</v>
      </c>
    </row>
    <row r="9" spans="1:9" x14ac:dyDescent="0.25">
      <c r="A9" s="83" t="s">
        <v>316</v>
      </c>
      <c r="B9" s="84">
        <f>'202412'!AV29</f>
        <v>3123</v>
      </c>
      <c r="C9" s="84"/>
      <c r="D9" s="84"/>
      <c r="E9" s="84"/>
      <c r="F9" s="84">
        <f>B10</f>
        <v>29701</v>
      </c>
      <c r="G9" s="89">
        <f>B9</f>
        <v>3123</v>
      </c>
      <c r="H9" s="84">
        <f t="shared" si="1"/>
        <v>32824</v>
      </c>
      <c r="I9" s="86">
        <f t="shared" si="0"/>
        <v>3123</v>
      </c>
    </row>
    <row r="10" spans="1:9" x14ac:dyDescent="0.25">
      <c r="A10" s="83" t="s">
        <v>315</v>
      </c>
      <c r="B10" s="84">
        <f>'202412'!AV30</f>
        <v>29701</v>
      </c>
      <c r="C10" s="84"/>
      <c r="D10" s="84"/>
      <c r="E10" s="84"/>
      <c r="F10" s="84"/>
      <c r="G10" s="84"/>
      <c r="H10" s="84">
        <f t="shared" si="1"/>
        <v>0</v>
      </c>
      <c r="I10" s="86">
        <f t="shared" si="0"/>
        <v>29701</v>
      </c>
    </row>
    <row r="11" spans="1:9" x14ac:dyDescent="0.25">
      <c r="A11" s="90" t="s">
        <v>325</v>
      </c>
      <c r="B11" s="91">
        <f t="shared" ref="B11" si="2">SUM(B2:B10)</f>
        <v>315167.80000000005</v>
      </c>
      <c r="C11" s="91">
        <f>SUM(C2:C10)</f>
        <v>276134.34999999998</v>
      </c>
      <c r="D11" s="91">
        <f>SUM(D2:D10)</f>
        <v>4000.01</v>
      </c>
      <c r="E11" s="91"/>
      <c r="F11" s="91">
        <f>F9</f>
        <v>29701</v>
      </c>
      <c r="G11" s="91">
        <f>G9</f>
        <v>3123</v>
      </c>
      <c r="H11" s="91">
        <f>SUM(C11:G11)</f>
        <v>312958.36</v>
      </c>
    </row>
    <row r="12" spans="1:9" x14ac:dyDescent="0.25">
      <c r="A12" s="83" t="s">
        <v>326</v>
      </c>
      <c r="B12" s="84"/>
      <c r="C12" s="84"/>
      <c r="D12" s="84"/>
      <c r="E12" s="84"/>
      <c r="F12" s="84"/>
      <c r="G12" s="84"/>
      <c r="H12" s="84"/>
    </row>
    <row r="13" spans="1:9" x14ac:dyDescent="0.25">
      <c r="A13" s="83" t="s">
        <v>202</v>
      </c>
      <c r="B13" s="84"/>
      <c r="C13" s="84"/>
      <c r="D13" s="84">
        <f>ROUND((D11+D12)*6%,2)</f>
        <v>240</v>
      </c>
      <c r="E13" s="84"/>
      <c r="F13" s="84">
        <f>ROUND((F11+F12)*6%,2)</f>
        <v>1782.06</v>
      </c>
      <c r="G13" s="84">
        <f>ROUND((G11+G12)*6%,2)</f>
        <v>187.38</v>
      </c>
      <c r="H13" s="84">
        <f>SUM(C13:G13)</f>
        <v>2209.44</v>
      </c>
    </row>
    <row r="14" spans="1:9" x14ac:dyDescent="0.25">
      <c r="A14" s="92" t="s">
        <v>45</v>
      </c>
      <c r="B14" s="93">
        <f>SUM(B11:B13)</f>
        <v>315167.80000000005</v>
      </c>
      <c r="C14" s="93">
        <f t="shared" ref="C14" si="3">SUM(C11:C13)</f>
        <v>276134.34999999998</v>
      </c>
      <c r="D14" s="93">
        <f>SUM(D11:D13)</f>
        <v>4240.01</v>
      </c>
      <c r="E14" s="93"/>
      <c r="F14" s="93">
        <f>SUM(F11:F13)</f>
        <v>31483.06</v>
      </c>
      <c r="G14" s="93">
        <f>SUM(G11:G13)</f>
        <v>3310.38</v>
      </c>
      <c r="H14" s="93">
        <f>SUM(C14:G14)</f>
        <v>315167.8</v>
      </c>
    </row>
    <row r="15" spans="1:9" x14ac:dyDescent="0.25">
      <c r="A15" s="92" t="s">
        <v>327</v>
      </c>
      <c r="B15" s="93"/>
      <c r="C15" s="93"/>
      <c r="D15" s="93"/>
      <c r="E15" s="93"/>
      <c r="F15" s="93"/>
      <c r="G15" s="93"/>
      <c r="H15" s="93">
        <f>B14</f>
        <v>315167.80000000005</v>
      </c>
    </row>
    <row r="16" spans="1:9" x14ac:dyDescent="0.25">
      <c r="A16" s="83" t="s">
        <v>328</v>
      </c>
      <c r="B16" s="84"/>
      <c r="C16" s="84"/>
      <c r="D16" s="84"/>
      <c r="E16" s="84"/>
      <c r="F16" s="84"/>
      <c r="G16" s="84"/>
      <c r="H16" s="84">
        <f>H15-H14</f>
        <v>0</v>
      </c>
    </row>
    <row r="17" spans="1:8" x14ac:dyDescent="0.25">
      <c r="A17" s="83" t="s">
        <v>329</v>
      </c>
      <c r="B17" s="84"/>
      <c r="C17" s="84"/>
      <c r="D17" s="84"/>
      <c r="E17" s="84"/>
      <c r="F17" s="84"/>
      <c r="G17" s="84"/>
      <c r="H17" s="84">
        <f>ROUND(H16/1.06,2)</f>
        <v>0</v>
      </c>
    </row>
    <row r="19" spans="1:8" x14ac:dyDescent="0.25">
      <c r="A19" t="s">
        <v>331</v>
      </c>
      <c r="C19" s="86"/>
      <c r="D19" s="86"/>
    </row>
    <row r="27" spans="1:8" x14ac:dyDescent="0.25">
      <c r="D27" s="84"/>
    </row>
  </sheetData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19BC-9276-4A92-A95B-AB00C1674F27}">
  <dimension ref="A1:AE89"/>
  <sheetViews>
    <sheetView topLeftCell="A37" workbookViewId="0">
      <selection activeCell="I9" sqref="I9"/>
    </sheetView>
  </sheetViews>
  <sheetFormatPr defaultRowHeight="13.8" x14ac:dyDescent="0.25"/>
  <cols>
    <col min="1" max="4" width="8.88671875" style="42"/>
    <col min="5" max="24" width="8.88671875" style="43"/>
    <col min="25" max="25" width="10.21875" style="43" bestFit="1" customWidth="1"/>
    <col min="26" max="27" width="8.88671875" style="42"/>
    <col min="28" max="28" width="15.77734375" style="42" customWidth="1"/>
    <col min="29" max="29" width="8.88671875" style="43"/>
    <col min="30" max="30" width="8.88671875" style="42"/>
    <col min="31" max="31" width="8.88671875" style="43"/>
    <col min="32" max="16384" width="8.88671875" style="42"/>
  </cols>
  <sheetData>
    <row r="1" spans="1:31" x14ac:dyDescent="0.25">
      <c r="A1" s="41" t="s">
        <v>174</v>
      </c>
    </row>
    <row r="2" spans="1:31" x14ac:dyDescent="0.25">
      <c r="A2" s="41" t="s">
        <v>175</v>
      </c>
    </row>
    <row r="3" spans="1:31" x14ac:dyDescent="0.25">
      <c r="B3" s="41" t="s">
        <v>176</v>
      </c>
    </row>
    <row r="6" spans="1:31" ht="20.399999999999999" x14ac:dyDescent="0.25">
      <c r="D6" s="44" t="s">
        <v>177</v>
      </c>
    </row>
    <row r="7" spans="1:31" ht="20.399999999999999" x14ac:dyDescent="0.25">
      <c r="C7" s="44" t="s">
        <v>178</v>
      </c>
    </row>
    <row r="9" spans="1:31" ht="20.399999999999999" x14ac:dyDescent="0.25">
      <c r="E9" s="45" t="s">
        <v>179</v>
      </c>
    </row>
    <row r="10" spans="1:31" ht="20.399999999999999" x14ac:dyDescent="0.25">
      <c r="E10" s="45" t="s">
        <v>180</v>
      </c>
    </row>
    <row r="11" spans="1:31" ht="15.6" x14ac:dyDescent="0.25">
      <c r="E11" s="46" t="s">
        <v>181</v>
      </c>
    </row>
    <row r="13" spans="1:31" s="48" customFormat="1" ht="13.2" x14ac:dyDescent="0.25">
      <c r="A13" s="47" t="s">
        <v>182</v>
      </c>
      <c r="E13" s="49"/>
      <c r="F13" s="49"/>
      <c r="G13" s="49"/>
      <c r="H13" s="49"/>
      <c r="I13" s="49"/>
      <c r="J13" s="50" t="s">
        <v>183</v>
      </c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AC13" s="49"/>
      <c r="AE13" s="49"/>
    </row>
    <row r="14" spans="1:31" s="51" customFormat="1" ht="60" customHeight="1" x14ac:dyDescent="0.15">
      <c r="A14" s="51" t="s">
        <v>84</v>
      </c>
      <c r="B14" s="51" t="s">
        <v>82</v>
      </c>
      <c r="C14" s="51" t="s">
        <v>184</v>
      </c>
      <c r="D14" s="51" t="s">
        <v>185</v>
      </c>
      <c r="E14" s="52" t="s">
        <v>186</v>
      </c>
      <c r="F14" s="52" t="s">
        <v>187</v>
      </c>
      <c r="G14" s="52" t="s">
        <v>188</v>
      </c>
      <c r="H14" s="99" t="s">
        <v>189</v>
      </c>
      <c r="I14" s="100"/>
      <c r="J14" s="100"/>
      <c r="K14" s="100"/>
      <c r="L14" s="100"/>
      <c r="M14" s="101"/>
      <c r="N14" s="53" t="s">
        <v>190</v>
      </c>
      <c r="O14" s="52" t="s">
        <v>191</v>
      </c>
      <c r="P14" s="99" t="s">
        <v>192</v>
      </c>
      <c r="Q14" s="100"/>
      <c r="R14" s="100"/>
      <c r="S14" s="100"/>
      <c r="T14" s="101"/>
      <c r="U14" s="53" t="s">
        <v>193</v>
      </c>
      <c r="V14" s="52" t="s">
        <v>194</v>
      </c>
      <c r="W14" s="52" t="s">
        <v>195</v>
      </c>
      <c r="X14" s="52" t="s">
        <v>196</v>
      </c>
      <c r="Y14" s="54" t="s">
        <v>45</v>
      </c>
      <c r="Z14" s="51" t="s">
        <v>197</v>
      </c>
      <c r="AA14" s="51" t="s">
        <v>198</v>
      </c>
      <c r="AB14" s="51" t="s">
        <v>199</v>
      </c>
      <c r="AC14" s="52" t="s">
        <v>200</v>
      </c>
      <c r="AD14" s="51" t="s">
        <v>201</v>
      </c>
      <c r="AE14" s="52" t="s">
        <v>202</v>
      </c>
    </row>
    <row r="15" spans="1:31" s="55" customFormat="1" ht="60" customHeight="1" x14ac:dyDescent="0.25">
      <c r="A15" s="55" t="s">
        <v>203</v>
      </c>
      <c r="B15" s="55" t="s">
        <v>42</v>
      </c>
      <c r="C15" s="55" t="s">
        <v>204</v>
      </c>
      <c r="D15" s="55" t="s">
        <v>205</v>
      </c>
      <c r="E15" s="56" t="s">
        <v>206</v>
      </c>
      <c r="F15" s="56" t="s">
        <v>207</v>
      </c>
      <c r="G15" s="56" t="s">
        <v>208</v>
      </c>
      <c r="H15" s="57" t="s">
        <v>209</v>
      </c>
      <c r="I15" s="57" t="s">
        <v>210</v>
      </c>
      <c r="J15" s="57" t="s">
        <v>211</v>
      </c>
      <c r="K15" s="57" t="s">
        <v>212</v>
      </c>
      <c r="L15" s="57" t="s">
        <v>213</v>
      </c>
      <c r="M15" s="57" t="s">
        <v>214</v>
      </c>
      <c r="N15" s="57" t="s">
        <v>215</v>
      </c>
      <c r="O15" s="56" t="s">
        <v>216</v>
      </c>
      <c r="P15" s="57" t="s">
        <v>209</v>
      </c>
      <c r="Q15" s="57" t="s">
        <v>210</v>
      </c>
      <c r="R15" s="57" t="s">
        <v>211</v>
      </c>
      <c r="S15" s="57" t="s">
        <v>212</v>
      </c>
      <c r="T15" s="57" t="s">
        <v>213</v>
      </c>
      <c r="U15" s="57" t="s">
        <v>215</v>
      </c>
      <c r="V15" s="56" t="s">
        <v>217</v>
      </c>
      <c r="W15" s="56" t="s">
        <v>218</v>
      </c>
      <c r="X15" s="56" t="s">
        <v>219</v>
      </c>
      <c r="Y15" s="58" t="s">
        <v>220</v>
      </c>
      <c r="Z15" s="55" t="s">
        <v>221</v>
      </c>
      <c r="AA15" s="55" t="s">
        <v>222</v>
      </c>
      <c r="AB15" s="55" t="s">
        <v>223</v>
      </c>
      <c r="AC15" s="56" t="s">
        <v>224</v>
      </c>
      <c r="AD15" s="55" t="s">
        <v>225</v>
      </c>
      <c r="AE15" s="56" t="s">
        <v>2</v>
      </c>
    </row>
    <row r="16" spans="1:31" s="59" customFormat="1" ht="11.4" x14ac:dyDescent="0.25">
      <c r="A16" s="59">
        <v>1</v>
      </c>
      <c r="B16" s="59" t="s">
        <v>110</v>
      </c>
      <c r="C16" s="59" t="s">
        <v>226</v>
      </c>
      <c r="D16" s="59" t="s">
        <v>227</v>
      </c>
      <c r="E16" s="60">
        <v>561.79999999999995</v>
      </c>
      <c r="F16" s="60">
        <v>7384</v>
      </c>
      <c r="G16" s="60">
        <v>5487</v>
      </c>
      <c r="H16" s="60">
        <v>1181.44</v>
      </c>
      <c r="I16" s="60">
        <v>664.56</v>
      </c>
      <c r="J16" s="60">
        <v>36.92</v>
      </c>
      <c r="K16" s="60">
        <v>18.899999999999999</v>
      </c>
      <c r="L16" s="60"/>
      <c r="M16" s="60">
        <v>110.76</v>
      </c>
      <c r="N16" s="60">
        <v>384</v>
      </c>
      <c r="O16" s="60">
        <f t="shared" ref="O16:O40" si="0">SUM(H16:N16)</f>
        <v>2396.58</v>
      </c>
      <c r="P16" s="60">
        <v>590.72</v>
      </c>
      <c r="Q16" s="60">
        <v>147.68</v>
      </c>
      <c r="R16" s="60">
        <v>36.92</v>
      </c>
      <c r="S16" s="60"/>
      <c r="T16" s="60"/>
      <c r="U16" s="60">
        <v>384</v>
      </c>
      <c r="V16" s="60">
        <f t="shared" ref="V16:V40" si="1">SUM(P16:U16)</f>
        <v>1159.3200000000002</v>
      </c>
      <c r="W16" s="60">
        <v>4040.88</v>
      </c>
      <c r="X16" s="60"/>
      <c r="Y16" s="61">
        <f t="shared" ref="Y16:Y39" si="2">SUM(E16,O16,V16:X16)</f>
        <v>8158.5800000000008</v>
      </c>
      <c r="AA16" s="59" t="s">
        <v>228</v>
      </c>
      <c r="AB16" s="59" t="s">
        <v>111</v>
      </c>
      <c r="AC16" s="62">
        <v>7696.77</v>
      </c>
      <c r="AD16" s="59" t="s">
        <v>229</v>
      </c>
      <c r="AE16" s="62">
        <v>461.81</v>
      </c>
    </row>
    <row r="17" spans="1:31" s="59" customFormat="1" ht="11.4" x14ac:dyDescent="0.25">
      <c r="A17" s="59">
        <v>2</v>
      </c>
      <c r="B17" s="59" t="s">
        <v>114</v>
      </c>
      <c r="C17" s="59" t="s">
        <v>226</v>
      </c>
      <c r="D17" s="59" t="s">
        <v>227</v>
      </c>
      <c r="E17" s="60">
        <v>567.11</v>
      </c>
      <c r="F17" s="60">
        <v>7384</v>
      </c>
      <c r="G17" s="60">
        <v>6812</v>
      </c>
      <c r="H17" s="60">
        <v>1181.44</v>
      </c>
      <c r="I17" s="60">
        <v>664.56</v>
      </c>
      <c r="J17" s="60">
        <v>36.92</v>
      </c>
      <c r="K17" s="60">
        <v>18.899999999999999</v>
      </c>
      <c r="L17" s="60"/>
      <c r="M17" s="60">
        <v>110.76</v>
      </c>
      <c r="N17" s="60">
        <v>477</v>
      </c>
      <c r="O17" s="60">
        <f t="shared" si="0"/>
        <v>2489.58</v>
      </c>
      <c r="P17" s="60">
        <v>590.72</v>
      </c>
      <c r="Q17" s="60">
        <v>147.68</v>
      </c>
      <c r="R17" s="60">
        <v>36.92</v>
      </c>
      <c r="S17" s="60"/>
      <c r="T17" s="60"/>
      <c r="U17" s="60">
        <v>477</v>
      </c>
      <c r="V17" s="60">
        <f t="shared" si="1"/>
        <v>1252.3200000000002</v>
      </c>
      <c r="W17" s="60">
        <v>3943.28</v>
      </c>
      <c r="X17" s="60"/>
      <c r="Y17" s="61">
        <f t="shared" si="2"/>
        <v>8252.2900000000009</v>
      </c>
      <c r="AA17" s="59" t="s">
        <v>230</v>
      </c>
      <c r="AB17" s="59" t="s">
        <v>115</v>
      </c>
      <c r="AC17" s="62">
        <v>7785.17</v>
      </c>
      <c r="AD17" s="59" t="s">
        <v>229</v>
      </c>
      <c r="AE17" s="62">
        <v>467.12</v>
      </c>
    </row>
    <row r="18" spans="1:31" s="59" customFormat="1" ht="11.4" x14ac:dyDescent="0.25">
      <c r="A18" s="59">
        <v>3</v>
      </c>
      <c r="B18" s="59" t="s">
        <v>231</v>
      </c>
      <c r="C18" s="59" t="s">
        <v>226</v>
      </c>
      <c r="D18" s="59" t="s">
        <v>232</v>
      </c>
      <c r="E18" s="60">
        <v>530.49</v>
      </c>
      <c r="F18" s="60">
        <v>7384</v>
      </c>
      <c r="G18" s="60">
        <v>5865</v>
      </c>
      <c r="H18" s="60">
        <v>1181.44</v>
      </c>
      <c r="I18" s="60">
        <v>664.56</v>
      </c>
      <c r="J18" s="60">
        <v>36.92</v>
      </c>
      <c r="K18" s="60">
        <v>18.899999999999999</v>
      </c>
      <c r="L18" s="60"/>
      <c r="M18" s="60">
        <v>110.76</v>
      </c>
      <c r="N18" s="60">
        <v>411</v>
      </c>
      <c r="O18" s="60">
        <f t="shared" si="0"/>
        <v>2423.58</v>
      </c>
      <c r="P18" s="60">
        <v>590.72</v>
      </c>
      <c r="Q18" s="60">
        <v>147.68</v>
      </c>
      <c r="R18" s="60">
        <v>36.92</v>
      </c>
      <c r="S18" s="60"/>
      <c r="T18" s="60"/>
      <c r="U18" s="60">
        <v>411</v>
      </c>
      <c r="V18" s="60">
        <f t="shared" si="1"/>
        <v>1186.3200000000002</v>
      </c>
      <c r="W18" s="60">
        <v>3465</v>
      </c>
      <c r="X18" s="60"/>
      <c r="Y18" s="61">
        <f t="shared" si="2"/>
        <v>7605.3899999999994</v>
      </c>
      <c r="AA18" s="59" t="s">
        <v>233</v>
      </c>
      <c r="AB18" s="59" t="s">
        <v>234</v>
      </c>
      <c r="AC18" s="62">
        <v>7174.89</v>
      </c>
      <c r="AD18" s="59" t="s">
        <v>229</v>
      </c>
      <c r="AE18" s="62">
        <v>430.5</v>
      </c>
    </row>
    <row r="19" spans="1:31" s="59" customFormat="1" ht="11.4" x14ac:dyDescent="0.25">
      <c r="A19" s="59">
        <v>4</v>
      </c>
      <c r="B19" s="59" t="s">
        <v>134</v>
      </c>
      <c r="C19" s="59" t="s">
        <v>226</v>
      </c>
      <c r="D19" s="59" t="s">
        <v>227</v>
      </c>
      <c r="E19" s="60">
        <v>587.20000000000005</v>
      </c>
      <c r="F19" s="60">
        <v>7670</v>
      </c>
      <c r="G19" s="60">
        <v>7670</v>
      </c>
      <c r="H19" s="60">
        <v>1227.2</v>
      </c>
      <c r="I19" s="60">
        <v>690.3</v>
      </c>
      <c r="J19" s="60">
        <v>38.35</v>
      </c>
      <c r="K19" s="60">
        <v>19.64</v>
      </c>
      <c r="L19" s="60"/>
      <c r="M19" s="60">
        <v>115.05</v>
      </c>
      <c r="N19" s="60">
        <v>537</v>
      </c>
      <c r="O19" s="60">
        <f t="shared" si="0"/>
        <v>2627.54</v>
      </c>
      <c r="P19" s="60">
        <v>613.6</v>
      </c>
      <c r="Q19" s="60">
        <v>153.4</v>
      </c>
      <c r="R19" s="60">
        <v>38.35</v>
      </c>
      <c r="S19" s="60"/>
      <c r="T19" s="60"/>
      <c r="U19" s="60">
        <v>537</v>
      </c>
      <c r="V19" s="60">
        <f t="shared" si="1"/>
        <v>1342.35</v>
      </c>
      <c r="W19" s="60">
        <v>4050.15</v>
      </c>
      <c r="X19" s="60"/>
      <c r="Y19" s="61">
        <f t="shared" si="2"/>
        <v>8607.24</v>
      </c>
      <c r="AA19" s="59" t="s">
        <v>235</v>
      </c>
      <c r="AB19" s="59" t="s">
        <v>135</v>
      </c>
      <c r="AC19" s="62">
        <v>8120.04</v>
      </c>
      <c r="AD19" s="59" t="s">
        <v>229</v>
      </c>
      <c r="AE19" s="62">
        <v>487.2</v>
      </c>
    </row>
    <row r="20" spans="1:31" s="59" customFormat="1" ht="11.4" x14ac:dyDescent="0.25">
      <c r="A20" s="59">
        <v>5</v>
      </c>
      <c r="B20" s="59" t="s">
        <v>106</v>
      </c>
      <c r="C20" s="59" t="s">
        <v>226</v>
      </c>
      <c r="D20" s="59" t="s">
        <v>227</v>
      </c>
      <c r="E20" s="60">
        <v>1290.8399999999999</v>
      </c>
      <c r="F20" s="60">
        <v>18333</v>
      </c>
      <c r="G20" s="60">
        <v>18333</v>
      </c>
      <c r="H20" s="60">
        <v>2933.28</v>
      </c>
      <c r="I20" s="60">
        <v>1649.98</v>
      </c>
      <c r="J20" s="60">
        <v>91.67</v>
      </c>
      <c r="K20" s="60">
        <v>46.93</v>
      </c>
      <c r="L20" s="60"/>
      <c r="M20" s="60">
        <v>275</v>
      </c>
      <c r="N20" s="60">
        <v>1283</v>
      </c>
      <c r="O20" s="60">
        <f t="shared" si="0"/>
        <v>6279.8600000000006</v>
      </c>
      <c r="P20" s="60">
        <v>1466.64</v>
      </c>
      <c r="Q20" s="60">
        <v>366.66</v>
      </c>
      <c r="R20" s="60">
        <v>91.67</v>
      </c>
      <c r="S20" s="60"/>
      <c r="T20" s="60"/>
      <c r="U20" s="60">
        <v>1283</v>
      </c>
      <c r="V20" s="60">
        <f t="shared" si="1"/>
        <v>3207.9700000000003</v>
      </c>
      <c r="W20" s="60">
        <v>10259.469999999999</v>
      </c>
      <c r="X20" s="60"/>
      <c r="Y20" s="61">
        <f t="shared" si="2"/>
        <v>21038.14</v>
      </c>
      <c r="AA20" s="59" t="s">
        <v>236</v>
      </c>
      <c r="AB20" s="59" t="s">
        <v>107</v>
      </c>
      <c r="AC20" s="62">
        <v>19847.29</v>
      </c>
      <c r="AD20" s="59" t="s">
        <v>229</v>
      </c>
      <c r="AE20" s="62">
        <v>1190.8499999999999</v>
      </c>
    </row>
    <row r="21" spans="1:31" s="59" customFormat="1" ht="11.4" x14ac:dyDescent="0.25">
      <c r="A21" s="59">
        <v>6</v>
      </c>
      <c r="B21" s="59" t="s">
        <v>136</v>
      </c>
      <c r="C21" s="59" t="s">
        <v>226</v>
      </c>
      <c r="D21" s="59" t="s">
        <v>227</v>
      </c>
      <c r="E21" s="60">
        <v>857.92</v>
      </c>
      <c r="F21" s="60">
        <v>9323</v>
      </c>
      <c r="G21" s="60">
        <v>9323</v>
      </c>
      <c r="H21" s="60">
        <v>1491.68</v>
      </c>
      <c r="I21" s="60">
        <v>839.08</v>
      </c>
      <c r="J21" s="60">
        <v>46.62</v>
      </c>
      <c r="K21" s="60">
        <v>23.87</v>
      </c>
      <c r="L21" s="60"/>
      <c r="M21" s="60">
        <v>139.85</v>
      </c>
      <c r="N21" s="60">
        <v>653</v>
      </c>
      <c r="O21" s="60">
        <f t="shared" si="0"/>
        <v>3194.1</v>
      </c>
      <c r="P21" s="60">
        <v>745.84</v>
      </c>
      <c r="Q21" s="60">
        <v>186.46</v>
      </c>
      <c r="R21" s="60">
        <v>46.62</v>
      </c>
      <c r="S21" s="60"/>
      <c r="T21" s="60"/>
      <c r="U21" s="60">
        <v>653</v>
      </c>
      <c r="V21" s="60">
        <f t="shared" si="1"/>
        <v>1631.92</v>
      </c>
      <c r="W21" s="60">
        <v>7705.98</v>
      </c>
      <c r="X21" s="60"/>
      <c r="Y21" s="61">
        <f t="shared" si="2"/>
        <v>13389.92</v>
      </c>
      <c r="AA21" s="59" t="s">
        <v>237</v>
      </c>
      <c r="AB21" s="59" t="s">
        <v>137</v>
      </c>
      <c r="AC21" s="62">
        <v>12632</v>
      </c>
      <c r="AD21" s="59" t="s">
        <v>229</v>
      </c>
      <c r="AE21" s="62">
        <v>757.92</v>
      </c>
    </row>
    <row r="22" spans="1:31" s="59" customFormat="1" ht="11.4" x14ac:dyDescent="0.25">
      <c r="A22" s="59">
        <v>7</v>
      </c>
      <c r="B22" s="59" t="s">
        <v>112</v>
      </c>
      <c r="C22" s="59" t="s">
        <v>226</v>
      </c>
      <c r="D22" s="59" t="s">
        <v>227</v>
      </c>
      <c r="E22" s="60">
        <v>545.9</v>
      </c>
      <c r="F22" s="60">
        <v>7384</v>
      </c>
      <c r="G22" s="60">
        <v>7234</v>
      </c>
      <c r="H22" s="60">
        <v>1181.44</v>
      </c>
      <c r="I22" s="60">
        <v>664.56</v>
      </c>
      <c r="J22" s="60">
        <v>36.92</v>
      </c>
      <c r="K22" s="60">
        <v>18.899999999999999</v>
      </c>
      <c r="L22" s="60"/>
      <c r="M22" s="60">
        <v>110.76</v>
      </c>
      <c r="N22" s="60">
        <v>506</v>
      </c>
      <c r="O22" s="60">
        <f t="shared" si="0"/>
        <v>2518.58</v>
      </c>
      <c r="P22" s="60">
        <v>590.72</v>
      </c>
      <c r="Q22" s="60">
        <v>147.68</v>
      </c>
      <c r="R22" s="60">
        <v>36.92</v>
      </c>
      <c r="S22" s="60"/>
      <c r="T22" s="60"/>
      <c r="U22" s="60">
        <v>506</v>
      </c>
      <c r="V22" s="60">
        <f t="shared" si="1"/>
        <v>1281.3200000000002</v>
      </c>
      <c r="W22" s="60">
        <v>3531.88</v>
      </c>
      <c r="X22" s="60"/>
      <c r="Y22" s="61">
        <f t="shared" si="2"/>
        <v>7877.68</v>
      </c>
      <c r="AA22" s="59" t="s">
        <v>238</v>
      </c>
      <c r="AB22" s="59" t="s">
        <v>113</v>
      </c>
      <c r="AC22" s="62">
        <v>7431.77</v>
      </c>
      <c r="AD22" s="59" t="s">
        <v>229</v>
      </c>
      <c r="AE22" s="62">
        <v>445.91</v>
      </c>
    </row>
    <row r="23" spans="1:31" s="59" customFormat="1" ht="11.4" x14ac:dyDescent="0.25">
      <c r="A23" s="59">
        <v>8</v>
      </c>
      <c r="B23" s="59" t="s">
        <v>142</v>
      </c>
      <c r="C23" s="59" t="s">
        <v>226</v>
      </c>
      <c r="D23" s="59" t="s">
        <v>227</v>
      </c>
      <c r="E23" s="60">
        <v>580.46</v>
      </c>
      <c r="F23" s="60">
        <v>8583</v>
      </c>
      <c r="G23" s="60">
        <v>8583</v>
      </c>
      <c r="H23" s="60">
        <v>1373.28</v>
      </c>
      <c r="I23" s="60">
        <v>772.48</v>
      </c>
      <c r="J23" s="60">
        <v>42.92</v>
      </c>
      <c r="K23" s="60">
        <v>21.97</v>
      </c>
      <c r="L23" s="60"/>
      <c r="M23" s="60">
        <v>128.75</v>
      </c>
      <c r="N23" s="60">
        <v>601</v>
      </c>
      <c r="O23" s="60">
        <f t="shared" si="0"/>
        <v>2940.4</v>
      </c>
      <c r="P23" s="60">
        <v>686.64</v>
      </c>
      <c r="Q23" s="60">
        <v>171.66</v>
      </c>
      <c r="R23" s="60">
        <v>42.92</v>
      </c>
      <c r="S23" s="60"/>
      <c r="T23" s="60"/>
      <c r="U23" s="60">
        <v>601</v>
      </c>
      <c r="V23" s="60">
        <f t="shared" si="1"/>
        <v>1502.2199999999998</v>
      </c>
      <c r="W23" s="60">
        <v>3465</v>
      </c>
      <c r="X23" s="60"/>
      <c r="Y23" s="61">
        <f t="shared" si="2"/>
        <v>8488.08</v>
      </c>
      <c r="AA23" s="59" t="s">
        <v>239</v>
      </c>
      <c r="AB23" s="59" t="s">
        <v>143</v>
      </c>
      <c r="AC23" s="62">
        <v>8007.6</v>
      </c>
      <c r="AD23" s="59" t="s">
        <v>229</v>
      </c>
      <c r="AE23" s="62">
        <v>480.48</v>
      </c>
    </row>
    <row r="24" spans="1:31" s="59" customFormat="1" ht="11.4" x14ac:dyDescent="0.25">
      <c r="A24" s="59">
        <v>9</v>
      </c>
      <c r="B24" s="59" t="s">
        <v>116</v>
      </c>
      <c r="C24" s="59" t="s">
        <v>226</v>
      </c>
      <c r="D24" s="59" t="s">
        <v>227</v>
      </c>
      <c r="E24" s="60">
        <v>1678.03</v>
      </c>
      <c r="F24" s="60">
        <v>19290</v>
      </c>
      <c r="G24" s="60">
        <v>19290</v>
      </c>
      <c r="H24" s="60">
        <v>3086.4</v>
      </c>
      <c r="I24" s="60">
        <v>1736.1</v>
      </c>
      <c r="J24" s="60">
        <v>96.45</v>
      </c>
      <c r="K24" s="60">
        <v>49.38</v>
      </c>
      <c r="L24" s="60"/>
      <c r="M24" s="60">
        <v>289.35000000000002</v>
      </c>
      <c r="N24" s="60">
        <v>1350</v>
      </c>
      <c r="O24" s="60">
        <f t="shared" si="0"/>
        <v>6607.68</v>
      </c>
      <c r="P24" s="60">
        <v>1543.2</v>
      </c>
      <c r="Q24" s="60">
        <v>385.8</v>
      </c>
      <c r="R24" s="60">
        <v>96.45</v>
      </c>
      <c r="S24" s="60"/>
      <c r="T24" s="60"/>
      <c r="U24" s="60">
        <v>1350</v>
      </c>
      <c r="V24" s="60">
        <f t="shared" si="1"/>
        <v>3375.45</v>
      </c>
      <c r="W24" s="60">
        <v>16217.26</v>
      </c>
      <c r="X24" s="60"/>
      <c r="Y24" s="61">
        <f t="shared" si="2"/>
        <v>27878.42</v>
      </c>
      <c r="AA24" s="59" t="s">
        <v>240</v>
      </c>
      <c r="AB24" s="59" t="s">
        <v>117</v>
      </c>
      <c r="AC24" s="62">
        <v>26300.39</v>
      </c>
      <c r="AD24" s="59" t="s">
        <v>229</v>
      </c>
      <c r="AE24" s="62">
        <v>1578.03</v>
      </c>
    </row>
    <row r="25" spans="1:31" s="59" customFormat="1" ht="11.4" x14ac:dyDescent="0.25">
      <c r="A25" s="59">
        <v>10</v>
      </c>
      <c r="B25" s="59" t="s">
        <v>124</v>
      </c>
      <c r="C25" s="59" t="s">
        <v>226</v>
      </c>
      <c r="D25" s="59" t="s">
        <v>227</v>
      </c>
      <c r="E25" s="60">
        <v>592.86</v>
      </c>
      <c r="F25" s="60">
        <v>7384</v>
      </c>
      <c r="G25" s="60">
        <v>6228</v>
      </c>
      <c r="H25" s="60">
        <v>1181.44</v>
      </c>
      <c r="I25" s="60">
        <v>664.56</v>
      </c>
      <c r="J25" s="60">
        <v>36.92</v>
      </c>
      <c r="K25" s="60">
        <v>18.899999999999999</v>
      </c>
      <c r="L25" s="60"/>
      <c r="M25" s="60">
        <v>110.76</v>
      </c>
      <c r="N25" s="60">
        <v>436</v>
      </c>
      <c r="O25" s="60">
        <f t="shared" si="0"/>
        <v>2448.58</v>
      </c>
      <c r="P25" s="60">
        <v>590.72</v>
      </c>
      <c r="Q25" s="60">
        <v>147.68</v>
      </c>
      <c r="R25" s="60">
        <v>36.92</v>
      </c>
      <c r="S25" s="60"/>
      <c r="T25" s="60"/>
      <c r="U25" s="60">
        <v>436</v>
      </c>
      <c r="V25" s="60">
        <f t="shared" si="1"/>
        <v>1211.3200000000002</v>
      </c>
      <c r="W25" s="60">
        <v>4454.43</v>
      </c>
      <c r="X25" s="60"/>
      <c r="Y25" s="61">
        <f t="shared" si="2"/>
        <v>8707.19</v>
      </c>
      <c r="AA25" s="59" t="s">
        <v>241</v>
      </c>
      <c r="AB25" s="59" t="s">
        <v>125</v>
      </c>
      <c r="AC25" s="62">
        <v>8214.32</v>
      </c>
      <c r="AD25" s="59" t="s">
        <v>229</v>
      </c>
      <c r="AE25" s="62">
        <v>492.87</v>
      </c>
    </row>
    <row r="26" spans="1:31" s="59" customFormat="1" ht="11.4" x14ac:dyDescent="0.25">
      <c r="A26" s="59">
        <v>11</v>
      </c>
      <c r="B26" s="59" t="s">
        <v>126</v>
      </c>
      <c r="C26" s="59" t="s">
        <v>226</v>
      </c>
      <c r="D26" s="59" t="s">
        <v>227</v>
      </c>
      <c r="E26" s="60">
        <v>873.08</v>
      </c>
      <c r="F26" s="60">
        <v>16093</v>
      </c>
      <c r="G26" s="60">
        <v>16093</v>
      </c>
      <c r="H26" s="60">
        <v>2574.88</v>
      </c>
      <c r="I26" s="60">
        <v>1448.38</v>
      </c>
      <c r="J26" s="60">
        <v>80.47</v>
      </c>
      <c r="K26" s="60">
        <v>41.2</v>
      </c>
      <c r="L26" s="60"/>
      <c r="M26" s="60">
        <v>241.4</v>
      </c>
      <c r="N26" s="60">
        <v>1127</v>
      </c>
      <c r="O26" s="60">
        <f t="shared" si="0"/>
        <v>5513.33</v>
      </c>
      <c r="P26" s="60">
        <v>1287.44</v>
      </c>
      <c r="Q26" s="60">
        <v>321.86</v>
      </c>
      <c r="R26" s="60">
        <v>80.47</v>
      </c>
      <c r="S26" s="60"/>
      <c r="T26" s="60"/>
      <c r="U26" s="60">
        <v>1127</v>
      </c>
      <c r="V26" s="60">
        <f t="shared" si="1"/>
        <v>2816.7700000000004</v>
      </c>
      <c r="W26" s="60">
        <v>4454.43</v>
      </c>
      <c r="X26" s="60"/>
      <c r="Y26" s="61">
        <f t="shared" si="2"/>
        <v>13657.61</v>
      </c>
      <c r="AA26" s="59" t="s">
        <v>242</v>
      </c>
      <c r="AB26" s="59" t="s">
        <v>127</v>
      </c>
      <c r="AC26" s="62">
        <v>12884.54</v>
      </c>
      <c r="AD26" s="59" t="s">
        <v>229</v>
      </c>
      <c r="AE26" s="62">
        <v>773.07</v>
      </c>
    </row>
    <row r="27" spans="1:31" s="59" customFormat="1" ht="11.4" x14ac:dyDescent="0.25">
      <c r="A27" s="59">
        <v>12</v>
      </c>
      <c r="B27" s="59" t="s">
        <v>118</v>
      </c>
      <c r="C27" s="59" t="s">
        <v>226</v>
      </c>
      <c r="D27" s="59" t="s">
        <v>227</v>
      </c>
      <c r="E27" s="60">
        <v>616.46</v>
      </c>
      <c r="F27" s="60">
        <v>7384</v>
      </c>
      <c r="G27" s="60">
        <v>6424</v>
      </c>
      <c r="H27" s="60">
        <v>1181.44</v>
      </c>
      <c r="I27" s="60">
        <v>664.56</v>
      </c>
      <c r="J27" s="60">
        <v>36.92</v>
      </c>
      <c r="K27" s="60">
        <v>18.899999999999999</v>
      </c>
      <c r="L27" s="60"/>
      <c r="M27" s="60">
        <v>110.76</v>
      </c>
      <c r="N27" s="60">
        <v>450</v>
      </c>
      <c r="O27" s="60">
        <f t="shared" si="0"/>
        <v>2462.58</v>
      </c>
      <c r="P27" s="60">
        <v>590.72</v>
      </c>
      <c r="Q27" s="60">
        <v>147.68</v>
      </c>
      <c r="R27" s="60">
        <v>36.92</v>
      </c>
      <c r="S27" s="60"/>
      <c r="T27" s="60"/>
      <c r="U27" s="60">
        <v>450</v>
      </c>
      <c r="V27" s="60">
        <f t="shared" si="1"/>
        <v>1225.3200000000002</v>
      </c>
      <c r="W27" s="60">
        <v>4819.7700000000004</v>
      </c>
      <c r="X27" s="60"/>
      <c r="Y27" s="61">
        <f t="shared" si="2"/>
        <v>9124.130000000001</v>
      </c>
      <c r="AA27" s="59" t="s">
        <v>243</v>
      </c>
      <c r="AB27" s="59" t="s">
        <v>119</v>
      </c>
      <c r="AC27" s="62">
        <v>8607.66</v>
      </c>
      <c r="AD27" s="59" t="s">
        <v>229</v>
      </c>
      <c r="AE27" s="62">
        <v>516.47</v>
      </c>
    </row>
    <row r="28" spans="1:31" s="59" customFormat="1" ht="11.4" x14ac:dyDescent="0.25">
      <c r="A28" s="59">
        <v>13</v>
      </c>
      <c r="B28" s="59" t="s">
        <v>100</v>
      </c>
      <c r="C28" s="59" t="s">
        <v>226</v>
      </c>
      <c r="D28" s="59" t="s">
        <v>227</v>
      </c>
      <c r="E28" s="60">
        <v>612.78</v>
      </c>
      <c r="F28" s="60">
        <v>7384</v>
      </c>
      <c r="G28" s="60">
        <v>6776</v>
      </c>
      <c r="H28" s="60">
        <v>1181.44</v>
      </c>
      <c r="I28" s="60">
        <v>664.56</v>
      </c>
      <c r="J28" s="60">
        <v>36.92</v>
      </c>
      <c r="K28" s="60">
        <v>18.899999999999999</v>
      </c>
      <c r="L28" s="60"/>
      <c r="M28" s="60">
        <v>110.76</v>
      </c>
      <c r="N28" s="60">
        <v>474</v>
      </c>
      <c r="O28" s="60">
        <f t="shared" si="0"/>
        <v>2486.58</v>
      </c>
      <c r="P28" s="60">
        <v>590.72</v>
      </c>
      <c r="Q28" s="60">
        <v>147.68</v>
      </c>
      <c r="R28" s="60">
        <v>36.92</v>
      </c>
      <c r="S28" s="60"/>
      <c r="T28" s="60"/>
      <c r="U28" s="60">
        <v>474</v>
      </c>
      <c r="V28" s="60">
        <f t="shared" si="1"/>
        <v>1249.3200000000002</v>
      </c>
      <c r="W28" s="60">
        <v>4710.45</v>
      </c>
      <c r="X28" s="60"/>
      <c r="Y28" s="61">
        <f t="shared" si="2"/>
        <v>9059.130000000001</v>
      </c>
      <c r="AA28" s="59" t="s">
        <v>244</v>
      </c>
      <c r="AB28" s="59" t="s">
        <v>101</v>
      </c>
      <c r="AC28" s="62">
        <v>8546.34</v>
      </c>
      <c r="AD28" s="59" t="s">
        <v>229</v>
      </c>
      <c r="AE28" s="62">
        <v>512.79</v>
      </c>
    </row>
    <row r="29" spans="1:31" s="59" customFormat="1" ht="11.4" x14ac:dyDescent="0.25">
      <c r="A29" s="59">
        <v>14</v>
      </c>
      <c r="B29" s="59" t="s">
        <v>120</v>
      </c>
      <c r="C29" s="59" t="s">
        <v>226</v>
      </c>
      <c r="D29" s="59" t="s">
        <v>227</v>
      </c>
      <c r="E29" s="60">
        <v>732.72</v>
      </c>
      <c r="F29" s="60">
        <v>7384</v>
      </c>
      <c r="G29" s="60">
        <v>5565</v>
      </c>
      <c r="H29" s="60">
        <v>1181.44</v>
      </c>
      <c r="I29" s="60">
        <v>664.56</v>
      </c>
      <c r="J29" s="60">
        <v>36.92</v>
      </c>
      <c r="K29" s="60">
        <v>18.899999999999999</v>
      </c>
      <c r="L29" s="60"/>
      <c r="M29" s="60">
        <v>110.76</v>
      </c>
      <c r="N29" s="60">
        <v>390</v>
      </c>
      <c r="O29" s="60">
        <f t="shared" si="0"/>
        <v>2402.58</v>
      </c>
      <c r="P29" s="60">
        <v>590.72</v>
      </c>
      <c r="Q29" s="60">
        <v>147.68</v>
      </c>
      <c r="R29" s="60">
        <v>36.92</v>
      </c>
      <c r="S29" s="60"/>
      <c r="T29" s="60"/>
      <c r="U29" s="60">
        <v>390</v>
      </c>
      <c r="V29" s="60">
        <f t="shared" si="1"/>
        <v>1165.3200000000002</v>
      </c>
      <c r="W29" s="60">
        <v>6877.46</v>
      </c>
      <c r="X29" s="60"/>
      <c r="Y29" s="61">
        <f t="shared" si="2"/>
        <v>11178.080000000002</v>
      </c>
      <c r="AA29" s="59" t="s">
        <v>245</v>
      </c>
      <c r="AB29" s="59" t="s">
        <v>121</v>
      </c>
      <c r="AC29" s="62">
        <v>10545.35</v>
      </c>
      <c r="AD29" s="59" t="s">
        <v>229</v>
      </c>
      <c r="AE29" s="62">
        <v>632.73</v>
      </c>
    </row>
    <row r="30" spans="1:31" s="59" customFormat="1" ht="11.4" x14ac:dyDescent="0.25">
      <c r="A30" s="59">
        <v>15</v>
      </c>
      <c r="B30" s="59" t="s">
        <v>128</v>
      </c>
      <c r="C30" s="59" t="s">
        <v>226</v>
      </c>
      <c r="D30" s="59" t="s">
        <v>227</v>
      </c>
      <c r="E30" s="60">
        <v>537.99</v>
      </c>
      <c r="F30" s="60">
        <v>7384</v>
      </c>
      <c r="G30" s="60">
        <v>6661</v>
      </c>
      <c r="H30" s="60">
        <v>1181.44</v>
      </c>
      <c r="I30" s="60">
        <v>664.56</v>
      </c>
      <c r="J30" s="60">
        <v>36.92</v>
      </c>
      <c r="K30" s="60">
        <v>18.899999999999999</v>
      </c>
      <c r="L30" s="60"/>
      <c r="M30" s="60">
        <v>110.76</v>
      </c>
      <c r="N30" s="60">
        <v>466</v>
      </c>
      <c r="O30" s="60">
        <f t="shared" si="0"/>
        <v>2478.58</v>
      </c>
      <c r="P30" s="60">
        <v>590.72</v>
      </c>
      <c r="Q30" s="60">
        <v>147.68</v>
      </c>
      <c r="R30" s="60">
        <v>36.92</v>
      </c>
      <c r="S30" s="60"/>
      <c r="T30" s="60"/>
      <c r="U30" s="60">
        <v>466</v>
      </c>
      <c r="V30" s="60">
        <f t="shared" si="1"/>
        <v>1241.3200000000002</v>
      </c>
      <c r="W30" s="60">
        <v>3480.07</v>
      </c>
      <c r="X30" s="60"/>
      <c r="Y30" s="61">
        <f t="shared" si="2"/>
        <v>7737.9599999999991</v>
      </c>
      <c r="AA30" s="59" t="s">
        <v>246</v>
      </c>
      <c r="AB30" s="59" t="s">
        <v>129</v>
      </c>
      <c r="AC30" s="62">
        <v>7299.96</v>
      </c>
      <c r="AD30" s="59" t="s">
        <v>229</v>
      </c>
      <c r="AE30" s="62">
        <v>438</v>
      </c>
    </row>
    <row r="31" spans="1:31" s="59" customFormat="1" ht="11.4" x14ac:dyDescent="0.25">
      <c r="A31" s="59">
        <v>16</v>
      </c>
      <c r="B31" s="59" t="s">
        <v>138</v>
      </c>
      <c r="C31" s="59" t="s">
        <v>226</v>
      </c>
      <c r="D31" s="59" t="s">
        <v>227</v>
      </c>
      <c r="E31" s="60">
        <v>596.65</v>
      </c>
      <c r="F31" s="60">
        <v>7384</v>
      </c>
      <c r="G31" s="60">
        <v>7055</v>
      </c>
      <c r="H31" s="60">
        <v>1181.44</v>
      </c>
      <c r="I31" s="60">
        <v>664.56</v>
      </c>
      <c r="J31" s="60">
        <v>36.92</v>
      </c>
      <c r="K31" s="60">
        <v>18.899999999999999</v>
      </c>
      <c r="L31" s="60"/>
      <c r="M31" s="60">
        <v>110.76</v>
      </c>
      <c r="N31" s="60">
        <v>494</v>
      </c>
      <c r="O31" s="60">
        <f t="shared" si="0"/>
        <v>2506.58</v>
      </c>
      <c r="P31" s="60">
        <v>590.72</v>
      </c>
      <c r="Q31" s="60">
        <v>147.68</v>
      </c>
      <c r="R31" s="60">
        <v>36.92</v>
      </c>
      <c r="S31" s="60"/>
      <c r="T31" s="60"/>
      <c r="U31" s="60">
        <v>494</v>
      </c>
      <c r="V31" s="60">
        <f t="shared" si="1"/>
        <v>1269.3200000000002</v>
      </c>
      <c r="W31" s="60">
        <v>4401.6099999999997</v>
      </c>
      <c r="X31" s="60"/>
      <c r="Y31" s="61">
        <f t="shared" si="2"/>
        <v>8774.16</v>
      </c>
      <c r="AA31" s="59" t="s">
        <v>247</v>
      </c>
      <c r="AB31" s="59" t="s">
        <v>139</v>
      </c>
      <c r="AC31" s="62">
        <v>8277.5</v>
      </c>
      <c r="AD31" s="59" t="s">
        <v>229</v>
      </c>
      <c r="AE31" s="62">
        <v>496.66</v>
      </c>
    </row>
    <row r="32" spans="1:31" s="59" customFormat="1" ht="11.4" x14ac:dyDescent="0.25">
      <c r="A32" s="59">
        <v>17</v>
      </c>
      <c r="B32" s="59" t="s">
        <v>102</v>
      </c>
      <c r="C32" s="59" t="s">
        <v>226</v>
      </c>
      <c r="D32" s="59" t="s">
        <v>227</v>
      </c>
      <c r="E32" s="60">
        <v>808.57</v>
      </c>
      <c r="F32" s="60">
        <v>14019</v>
      </c>
      <c r="G32" s="60">
        <v>14019</v>
      </c>
      <c r="H32" s="60">
        <v>2243.04</v>
      </c>
      <c r="I32" s="60">
        <v>1261.72</v>
      </c>
      <c r="J32" s="60">
        <v>70.099999999999994</v>
      </c>
      <c r="K32" s="60">
        <v>35.89</v>
      </c>
      <c r="L32" s="60"/>
      <c r="M32" s="60">
        <v>210.29</v>
      </c>
      <c r="N32" s="60">
        <v>981</v>
      </c>
      <c r="O32" s="60">
        <f t="shared" si="0"/>
        <v>4802.04</v>
      </c>
      <c r="P32" s="60">
        <v>1121.52</v>
      </c>
      <c r="Q32" s="60">
        <v>280.38</v>
      </c>
      <c r="R32" s="60">
        <v>70.099999999999994</v>
      </c>
      <c r="S32" s="60"/>
      <c r="T32" s="60"/>
      <c r="U32" s="60">
        <v>981</v>
      </c>
      <c r="V32" s="60">
        <f t="shared" si="1"/>
        <v>2453</v>
      </c>
      <c r="W32" s="60">
        <v>4454.43</v>
      </c>
      <c r="X32" s="60"/>
      <c r="Y32" s="61">
        <f t="shared" si="2"/>
        <v>12518.04</v>
      </c>
      <c r="AA32" s="59" t="s">
        <v>248</v>
      </c>
      <c r="AB32" s="59" t="s">
        <v>103</v>
      </c>
      <c r="AC32" s="62">
        <v>11809.47</v>
      </c>
      <c r="AD32" s="59" t="s">
        <v>229</v>
      </c>
      <c r="AE32" s="62">
        <v>708.57</v>
      </c>
    </row>
    <row r="33" spans="1:31" s="59" customFormat="1" ht="11.4" x14ac:dyDescent="0.25">
      <c r="A33" s="59">
        <v>18</v>
      </c>
      <c r="B33" s="59" t="s">
        <v>104</v>
      </c>
      <c r="C33" s="59" t="s">
        <v>226</v>
      </c>
      <c r="D33" s="59" t="s">
        <v>227</v>
      </c>
      <c r="E33" s="60">
        <v>759.99</v>
      </c>
      <c r="F33" s="60">
        <v>10618</v>
      </c>
      <c r="G33" s="60">
        <v>10618</v>
      </c>
      <c r="H33" s="60">
        <v>1698.88</v>
      </c>
      <c r="I33" s="60">
        <v>955.62</v>
      </c>
      <c r="J33" s="60">
        <v>53.09</v>
      </c>
      <c r="K33" s="60">
        <v>27.18</v>
      </c>
      <c r="L33" s="60"/>
      <c r="M33" s="60">
        <v>159.27000000000001</v>
      </c>
      <c r="N33" s="60">
        <v>743</v>
      </c>
      <c r="O33" s="60">
        <f t="shared" si="0"/>
        <v>3637.04</v>
      </c>
      <c r="P33" s="60">
        <v>849.44</v>
      </c>
      <c r="Q33" s="60">
        <v>212.36</v>
      </c>
      <c r="R33" s="60">
        <v>53.09</v>
      </c>
      <c r="S33" s="60"/>
      <c r="T33" s="60"/>
      <c r="U33" s="60">
        <v>743</v>
      </c>
      <c r="V33" s="60">
        <f t="shared" si="1"/>
        <v>1857.89</v>
      </c>
      <c r="W33" s="60">
        <v>5404.89</v>
      </c>
      <c r="X33" s="60"/>
      <c r="Y33" s="61">
        <f t="shared" si="2"/>
        <v>11659.810000000001</v>
      </c>
      <c r="AA33" s="59" t="s">
        <v>249</v>
      </c>
      <c r="AB33" s="59" t="s">
        <v>105</v>
      </c>
      <c r="AC33" s="62">
        <v>10999.81</v>
      </c>
      <c r="AD33" s="59" t="s">
        <v>229</v>
      </c>
      <c r="AE33" s="62">
        <v>660</v>
      </c>
    </row>
    <row r="34" spans="1:31" s="59" customFormat="1" ht="11.4" x14ac:dyDescent="0.25">
      <c r="A34" s="59">
        <v>19</v>
      </c>
      <c r="B34" s="59" t="s">
        <v>130</v>
      </c>
      <c r="C34" s="59" t="s">
        <v>226</v>
      </c>
      <c r="D34" s="59" t="s">
        <v>227</v>
      </c>
      <c r="E34" s="60">
        <v>537.09</v>
      </c>
      <c r="F34" s="60">
        <v>7384</v>
      </c>
      <c r="G34" s="60">
        <v>6654</v>
      </c>
      <c r="H34" s="60">
        <v>1181.44</v>
      </c>
      <c r="I34" s="60">
        <v>664.56</v>
      </c>
      <c r="J34" s="60">
        <v>36.92</v>
      </c>
      <c r="K34" s="60">
        <v>18.899999999999999</v>
      </c>
      <c r="L34" s="60"/>
      <c r="M34" s="60">
        <v>110.76</v>
      </c>
      <c r="N34" s="60">
        <v>466</v>
      </c>
      <c r="O34" s="60">
        <f t="shared" si="0"/>
        <v>2478.58</v>
      </c>
      <c r="P34" s="60">
        <v>590.72</v>
      </c>
      <c r="Q34" s="60">
        <v>147.68</v>
      </c>
      <c r="R34" s="60">
        <v>36.92</v>
      </c>
      <c r="S34" s="60"/>
      <c r="T34" s="60"/>
      <c r="U34" s="60">
        <v>466</v>
      </c>
      <c r="V34" s="60">
        <f t="shared" si="1"/>
        <v>1241.3200000000002</v>
      </c>
      <c r="W34" s="60">
        <v>3465</v>
      </c>
      <c r="X34" s="60"/>
      <c r="Y34" s="61">
        <f t="shared" si="2"/>
        <v>7721.99</v>
      </c>
      <c r="AA34" s="59" t="s">
        <v>250</v>
      </c>
      <c r="AB34" s="59" t="s">
        <v>131</v>
      </c>
      <c r="AC34" s="62">
        <v>7284.89</v>
      </c>
      <c r="AD34" s="59" t="s">
        <v>229</v>
      </c>
      <c r="AE34" s="62">
        <v>437.1</v>
      </c>
    </row>
    <row r="35" spans="1:31" s="59" customFormat="1" ht="11.4" x14ac:dyDescent="0.25">
      <c r="A35" s="59">
        <v>20</v>
      </c>
      <c r="B35" s="59" t="s">
        <v>140</v>
      </c>
      <c r="C35" s="59" t="s">
        <v>226</v>
      </c>
      <c r="D35" s="59" t="s">
        <v>227</v>
      </c>
      <c r="E35" s="60">
        <v>802.5</v>
      </c>
      <c r="F35" s="60">
        <v>14011</v>
      </c>
      <c r="G35" s="60">
        <v>14011</v>
      </c>
      <c r="H35" s="60">
        <v>2241.7600000000002</v>
      </c>
      <c r="I35" s="60">
        <v>1261</v>
      </c>
      <c r="J35" s="60">
        <v>70.06</v>
      </c>
      <c r="K35" s="60">
        <v>35.869999999999997</v>
      </c>
      <c r="L35" s="60"/>
      <c r="M35" s="60">
        <v>210.17</v>
      </c>
      <c r="N35" s="60">
        <v>981</v>
      </c>
      <c r="O35" s="60">
        <f t="shared" si="0"/>
        <v>4799.8600000000006</v>
      </c>
      <c r="P35" s="60">
        <v>1120.8800000000001</v>
      </c>
      <c r="Q35" s="60">
        <v>280.22000000000003</v>
      </c>
      <c r="R35" s="60">
        <v>70.06</v>
      </c>
      <c r="S35" s="60"/>
      <c r="T35" s="60"/>
      <c r="U35" s="60">
        <v>981</v>
      </c>
      <c r="V35" s="60">
        <f t="shared" si="1"/>
        <v>2452.16</v>
      </c>
      <c r="W35" s="60">
        <v>4356.29</v>
      </c>
      <c r="X35" s="60"/>
      <c r="Y35" s="61">
        <f t="shared" si="2"/>
        <v>12410.810000000001</v>
      </c>
      <c r="AA35" s="59" t="s">
        <v>251</v>
      </c>
      <c r="AB35" s="59" t="s">
        <v>141</v>
      </c>
      <c r="AC35" s="62">
        <v>11708.32</v>
      </c>
      <c r="AD35" s="59" t="s">
        <v>229</v>
      </c>
      <c r="AE35" s="62">
        <v>702.49</v>
      </c>
    </row>
    <row r="36" spans="1:31" s="59" customFormat="1" ht="11.4" x14ac:dyDescent="0.25">
      <c r="A36" s="59">
        <v>21</v>
      </c>
      <c r="B36" s="59" t="s">
        <v>144</v>
      </c>
      <c r="C36" s="59" t="s">
        <v>226</v>
      </c>
      <c r="D36" s="59" t="s">
        <v>227</v>
      </c>
      <c r="E36" s="60">
        <v>609.72</v>
      </c>
      <c r="F36" s="60">
        <v>7384</v>
      </c>
      <c r="G36" s="60">
        <v>2690</v>
      </c>
      <c r="H36" s="60">
        <v>1181.44</v>
      </c>
      <c r="I36" s="60">
        <v>664.56</v>
      </c>
      <c r="J36" s="60">
        <v>36.92</v>
      </c>
      <c r="K36" s="60">
        <v>18.899999999999999</v>
      </c>
      <c r="L36" s="60"/>
      <c r="M36" s="60">
        <v>110.76</v>
      </c>
      <c r="N36" s="60">
        <v>188</v>
      </c>
      <c r="O36" s="60">
        <f t="shared" si="0"/>
        <v>2200.58</v>
      </c>
      <c r="P36" s="60">
        <v>590.72</v>
      </c>
      <c r="Q36" s="60">
        <v>147.68</v>
      </c>
      <c r="R36" s="60">
        <v>36.92</v>
      </c>
      <c r="S36" s="60"/>
      <c r="T36" s="60"/>
      <c r="U36" s="60">
        <v>188</v>
      </c>
      <c r="V36" s="60">
        <f t="shared" si="1"/>
        <v>963.32</v>
      </c>
      <c r="W36" s="60">
        <v>5231.46</v>
      </c>
      <c r="X36" s="60"/>
      <c r="Y36" s="61">
        <f t="shared" si="2"/>
        <v>9005.08</v>
      </c>
      <c r="AA36" s="59" t="s">
        <v>252</v>
      </c>
      <c r="AB36" s="59" t="s">
        <v>145</v>
      </c>
      <c r="AC36" s="62">
        <v>8495.35</v>
      </c>
      <c r="AD36" s="59" t="s">
        <v>229</v>
      </c>
      <c r="AE36" s="62">
        <v>509.73</v>
      </c>
    </row>
    <row r="37" spans="1:31" s="59" customFormat="1" ht="11.4" x14ac:dyDescent="0.25">
      <c r="A37" s="59">
        <v>22</v>
      </c>
      <c r="B37" s="59" t="s">
        <v>108</v>
      </c>
      <c r="C37" s="59" t="s">
        <v>226</v>
      </c>
      <c r="D37" s="59" t="s">
        <v>227</v>
      </c>
      <c r="E37" s="60">
        <v>741.44999999999993</v>
      </c>
      <c r="F37" s="60">
        <v>10115</v>
      </c>
      <c r="G37" s="60">
        <v>10115</v>
      </c>
      <c r="H37" s="60">
        <v>1618.4</v>
      </c>
      <c r="I37" s="60">
        <v>910.36</v>
      </c>
      <c r="J37" s="60">
        <v>50.58</v>
      </c>
      <c r="K37" s="60">
        <v>25.89</v>
      </c>
      <c r="L37" s="60"/>
      <c r="M37" s="60">
        <v>151.72999999999999</v>
      </c>
      <c r="N37" s="60">
        <v>708</v>
      </c>
      <c r="O37" s="60">
        <f t="shared" si="0"/>
        <v>3464.96</v>
      </c>
      <c r="P37" s="60">
        <v>809.2</v>
      </c>
      <c r="Q37" s="60">
        <v>202.3</v>
      </c>
      <c r="R37" s="60">
        <v>50.58</v>
      </c>
      <c r="S37" s="60"/>
      <c r="T37" s="60"/>
      <c r="U37" s="60">
        <v>708</v>
      </c>
      <c r="V37" s="60">
        <f t="shared" si="1"/>
        <v>1770.08</v>
      </c>
      <c r="W37" s="60">
        <v>5355.9</v>
      </c>
      <c r="X37" s="60"/>
      <c r="Y37" s="61">
        <f t="shared" si="2"/>
        <v>11332.39</v>
      </c>
      <c r="AA37" s="59" t="s">
        <v>253</v>
      </c>
      <c r="AB37" s="59" t="s">
        <v>109</v>
      </c>
      <c r="AC37" s="62">
        <v>10690.96</v>
      </c>
      <c r="AD37" s="59" t="s">
        <v>229</v>
      </c>
      <c r="AE37" s="62">
        <v>641.42999999999995</v>
      </c>
    </row>
    <row r="38" spans="1:31" s="59" customFormat="1" ht="11.4" x14ac:dyDescent="0.25">
      <c r="A38" s="59">
        <v>23</v>
      </c>
      <c r="B38" s="59" t="s">
        <v>254</v>
      </c>
      <c r="C38" s="59" t="s">
        <v>226</v>
      </c>
      <c r="D38" s="59" t="s">
        <v>255</v>
      </c>
      <c r="E38" s="60">
        <v>779.54</v>
      </c>
      <c r="F38" s="60">
        <v>12197</v>
      </c>
      <c r="G38" s="60">
        <v>12197</v>
      </c>
      <c r="H38" s="60">
        <v>1951.52</v>
      </c>
      <c r="I38" s="60">
        <v>1097.74</v>
      </c>
      <c r="J38" s="60">
        <v>60.99</v>
      </c>
      <c r="K38" s="60">
        <v>31.22</v>
      </c>
      <c r="L38" s="60"/>
      <c r="M38" s="60">
        <v>182.96</v>
      </c>
      <c r="N38" s="60">
        <v>854</v>
      </c>
      <c r="O38" s="60">
        <f t="shared" si="0"/>
        <v>4178.43</v>
      </c>
      <c r="P38" s="60">
        <v>975.76</v>
      </c>
      <c r="Q38" s="60">
        <v>243.94</v>
      </c>
      <c r="R38" s="60">
        <v>60.99</v>
      </c>
      <c r="S38" s="60"/>
      <c r="T38" s="60"/>
      <c r="U38" s="60">
        <v>854</v>
      </c>
      <c r="V38" s="60">
        <f t="shared" si="1"/>
        <v>2134.69</v>
      </c>
      <c r="W38" s="60">
        <v>4912.54</v>
      </c>
      <c r="X38" s="60"/>
      <c r="Y38" s="61">
        <f t="shared" si="2"/>
        <v>12005.2</v>
      </c>
      <c r="AA38" s="59" t="s">
        <v>256</v>
      </c>
      <c r="AB38" s="59" t="s">
        <v>170</v>
      </c>
      <c r="AC38" s="62">
        <v>11325.66</v>
      </c>
      <c r="AD38" s="59" t="s">
        <v>229</v>
      </c>
      <c r="AE38" s="62">
        <v>679.54</v>
      </c>
    </row>
    <row r="39" spans="1:31" s="59" customFormat="1" ht="11.4" x14ac:dyDescent="0.25">
      <c r="A39" s="59">
        <v>24</v>
      </c>
      <c r="B39" s="59" t="s">
        <v>132</v>
      </c>
      <c r="C39" s="59" t="s">
        <v>226</v>
      </c>
      <c r="D39" s="59" t="s">
        <v>227</v>
      </c>
      <c r="E39" s="60">
        <v>791.39</v>
      </c>
      <c r="F39" s="60">
        <v>7923</v>
      </c>
      <c r="G39" s="60">
        <v>7923</v>
      </c>
      <c r="H39" s="60">
        <v>1267.68</v>
      </c>
      <c r="I39" s="60">
        <v>713.08</v>
      </c>
      <c r="J39" s="60">
        <v>39.619999999999997</v>
      </c>
      <c r="K39" s="60">
        <v>20.28</v>
      </c>
      <c r="L39" s="60"/>
      <c r="M39" s="60">
        <v>118.85</v>
      </c>
      <c r="N39" s="60">
        <v>555</v>
      </c>
      <c r="O39" s="60">
        <f t="shared" si="0"/>
        <v>2714.51</v>
      </c>
      <c r="P39" s="60">
        <v>633.84</v>
      </c>
      <c r="Q39" s="60">
        <v>158.46</v>
      </c>
      <c r="R39" s="60">
        <v>39.619999999999997</v>
      </c>
      <c r="S39" s="60"/>
      <c r="T39" s="60"/>
      <c r="U39" s="60">
        <v>555</v>
      </c>
      <c r="V39" s="60">
        <f t="shared" si="1"/>
        <v>1386.92</v>
      </c>
      <c r="W39" s="60">
        <v>7321.62</v>
      </c>
      <c r="X39" s="60"/>
      <c r="Y39" s="61">
        <f t="shared" si="2"/>
        <v>12214.439999999999</v>
      </c>
      <c r="AA39" s="59" t="s">
        <v>257</v>
      </c>
      <c r="AB39" s="59" t="s">
        <v>133</v>
      </c>
      <c r="AC39" s="62">
        <v>11523.05</v>
      </c>
      <c r="AD39" s="59" t="s">
        <v>229</v>
      </c>
      <c r="AE39" s="62">
        <v>691.39</v>
      </c>
    </row>
    <row r="40" spans="1:31" s="59" customFormat="1" ht="11.4" x14ac:dyDescent="0.25">
      <c r="A40" s="59">
        <v>25</v>
      </c>
      <c r="B40" s="59" t="s">
        <v>122</v>
      </c>
      <c r="C40" s="59" t="s">
        <v>226</v>
      </c>
      <c r="D40" s="59" t="s">
        <v>227</v>
      </c>
      <c r="E40" s="60">
        <v>537.68999999999994</v>
      </c>
      <c r="F40" s="60">
        <v>7384</v>
      </c>
      <c r="G40" s="60">
        <v>6727</v>
      </c>
      <c r="H40" s="60">
        <v>1181.44</v>
      </c>
      <c r="I40" s="60">
        <v>664.56</v>
      </c>
      <c r="J40" s="60">
        <v>36.92</v>
      </c>
      <c r="K40" s="60">
        <v>18.899999999999999</v>
      </c>
      <c r="L40" s="60"/>
      <c r="M40" s="60">
        <v>110.76</v>
      </c>
      <c r="N40" s="60">
        <v>471</v>
      </c>
      <c r="O40" s="60">
        <f t="shared" si="0"/>
        <v>2483.58</v>
      </c>
      <c r="P40" s="60">
        <v>590.72</v>
      </c>
      <c r="Q40" s="60">
        <v>147.68</v>
      </c>
      <c r="R40" s="60">
        <v>36.92</v>
      </c>
      <c r="S40" s="60"/>
      <c r="T40" s="60"/>
      <c r="U40" s="60">
        <v>471</v>
      </c>
      <c r="V40" s="60">
        <f t="shared" si="1"/>
        <v>1246.3200000000002</v>
      </c>
      <c r="W40" s="60">
        <v>3465</v>
      </c>
      <c r="X40" s="60"/>
      <c r="Y40" s="61">
        <f>SUM(E40,O40,V40:X40)</f>
        <v>7732.59</v>
      </c>
      <c r="AA40" s="59" t="s">
        <v>258</v>
      </c>
      <c r="AB40" s="59" t="s">
        <v>123</v>
      </c>
      <c r="AC40" s="62">
        <v>7294.89</v>
      </c>
      <c r="AD40" s="59" t="s">
        <v>229</v>
      </c>
      <c r="AE40" s="62">
        <v>437.7</v>
      </c>
    </row>
    <row r="41" spans="1:31" s="59" customFormat="1" ht="11.4" x14ac:dyDescent="0.25">
      <c r="A41" s="59" t="s">
        <v>259</v>
      </c>
      <c r="E41" s="60">
        <f>SUM(E16:E40)</f>
        <v>18130.229999999996</v>
      </c>
      <c r="F41" s="60"/>
      <c r="G41" s="60"/>
      <c r="H41" s="60">
        <f t="shared" ref="H41:Y41" si="3">SUM(H16:H40)</f>
        <v>39066.720000000001</v>
      </c>
      <c r="I41" s="60">
        <f t="shared" si="3"/>
        <v>21975.120000000003</v>
      </c>
      <c r="J41" s="60">
        <f t="shared" si="3"/>
        <v>1220.8799999999999</v>
      </c>
      <c r="K41" s="60">
        <f t="shared" si="3"/>
        <v>625.01999999999987</v>
      </c>
      <c r="L41" s="60">
        <f t="shared" si="3"/>
        <v>0</v>
      </c>
      <c r="M41" s="60">
        <f t="shared" si="3"/>
        <v>3662.5500000000011</v>
      </c>
      <c r="N41" s="60">
        <f t="shared" si="3"/>
        <v>15986</v>
      </c>
      <c r="O41" s="60">
        <f t="shared" si="3"/>
        <v>82536.290000000008</v>
      </c>
      <c r="P41" s="60">
        <f t="shared" si="3"/>
        <v>19533.36</v>
      </c>
      <c r="Q41" s="60">
        <f t="shared" si="3"/>
        <v>4883.34</v>
      </c>
      <c r="R41" s="60">
        <f t="shared" si="3"/>
        <v>1220.8799999999999</v>
      </c>
      <c r="S41" s="60">
        <f t="shared" si="3"/>
        <v>0</v>
      </c>
      <c r="T41" s="60">
        <f t="shared" si="3"/>
        <v>0</v>
      </c>
      <c r="U41" s="60">
        <f t="shared" si="3"/>
        <v>15986</v>
      </c>
      <c r="V41" s="60">
        <f t="shared" si="3"/>
        <v>41623.58</v>
      </c>
      <c r="W41" s="60">
        <f t="shared" si="3"/>
        <v>133844.25</v>
      </c>
      <c r="X41" s="60">
        <f t="shared" si="3"/>
        <v>0</v>
      </c>
      <c r="Y41" s="61">
        <f t="shared" si="3"/>
        <v>276134.35000000003</v>
      </c>
      <c r="AC41" s="62">
        <f>SUM(AC16:AC40)</f>
        <v>260503.99000000005</v>
      </c>
      <c r="AE41" s="62">
        <f>SUM(AE16:AE40)</f>
        <v>15630.36</v>
      </c>
    </row>
    <row r="42" spans="1:31" s="59" customFormat="1" ht="11.4" x14ac:dyDescent="0.25">
      <c r="A42" s="63" t="s">
        <v>260</v>
      </c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4">
        <v>276134.34999999998</v>
      </c>
      <c r="AC42" s="62"/>
      <c r="AE42" s="62"/>
    </row>
    <row r="43" spans="1:31" x14ac:dyDescent="0.25"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</row>
    <row r="44" spans="1:31" s="67" customFormat="1" ht="11.4" x14ac:dyDescent="0.25">
      <c r="A44" s="66" t="s">
        <v>261</v>
      </c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AC44" s="68"/>
      <c r="AE44" s="68"/>
    </row>
    <row r="45" spans="1:31" s="70" customFormat="1" ht="30" customHeight="1" x14ac:dyDescent="0.15">
      <c r="A45" s="51" t="s">
        <v>84</v>
      </c>
      <c r="B45" s="51" t="s">
        <v>184</v>
      </c>
      <c r="C45" s="51" t="s">
        <v>262</v>
      </c>
      <c r="D45" s="51" t="s">
        <v>263</v>
      </c>
      <c r="E45" s="52" t="s">
        <v>197</v>
      </c>
      <c r="F45" s="52" t="s">
        <v>200</v>
      </c>
      <c r="G45" s="52" t="s">
        <v>201</v>
      </c>
      <c r="H45" s="52" t="s">
        <v>202</v>
      </c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AC45" s="69"/>
      <c r="AE45" s="69"/>
    </row>
    <row r="46" spans="1:31" s="72" customFormat="1" ht="30" customHeight="1" x14ac:dyDescent="0.25">
      <c r="A46" s="55" t="s">
        <v>203</v>
      </c>
      <c r="B46" s="55" t="s">
        <v>204</v>
      </c>
      <c r="C46" s="55" t="s">
        <v>264</v>
      </c>
      <c r="D46" s="55" t="s">
        <v>265</v>
      </c>
      <c r="E46" s="56" t="s">
        <v>221</v>
      </c>
      <c r="F46" s="56" t="s">
        <v>224</v>
      </c>
      <c r="G46" s="56" t="s">
        <v>225</v>
      </c>
      <c r="H46" s="56" t="s">
        <v>2</v>
      </c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AC46" s="71"/>
      <c r="AE46" s="71"/>
    </row>
    <row r="47" spans="1:31" s="67" customFormat="1" ht="11.4" x14ac:dyDescent="0.25">
      <c r="A47" s="59">
        <v>1</v>
      </c>
      <c r="B47" s="59" t="s">
        <v>226</v>
      </c>
      <c r="C47" s="59" t="s">
        <v>266</v>
      </c>
      <c r="D47" s="60">
        <v>0</v>
      </c>
      <c r="E47" s="62"/>
      <c r="F47" s="60">
        <v>0.11</v>
      </c>
      <c r="G47" s="62">
        <v>0.06</v>
      </c>
      <c r="H47" s="60">
        <v>-0.11</v>
      </c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AC47" s="68"/>
      <c r="AE47" s="68"/>
    </row>
    <row r="48" spans="1:31" s="67" customFormat="1" ht="11.4" x14ac:dyDescent="0.25">
      <c r="A48" s="59" t="s">
        <v>259</v>
      </c>
      <c r="B48" s="59"/>
      <c r="C48" s="59"/>
      <c r="D48" s="60">
        <f>SUM(D47:D47)</f>
        <v>0</v>
      </c>
      <c r="E48" s="62"/>
      <c r="F48" s="60">
        <f>SUM(F47:F47)</f>
        <v>0.11</v>
      </c>
      <c r="G48" s="62"/>
      <c r="H48" s="60">
        <f>SUM(H47:H47)</f>
        <v>-0.11</v>
      </c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AC48" s="68"/>
      <c r="AE48" s="68"/>
    </row>
    <row r="49" spans="1:31" s="67" customFormat="1" ht="11.4" x14ac:dyDescent="0.25">
      <c r="A49" s="63" t="s">
        <v>267</v>
      </c>
      <c r="B49" s="59"/>
      <c r="C49" s="59"/>
      <c r="D49" s="73">
        <v>0</v>
      </c>
      <c r="E49" s="62"/>
      <c r="F49" s="73">
        <v>0.11</v>
      </c>
      <c r="G49" s="62"/>
      <c r="H49" s="73">
        <v>-0.11</v>
      </c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AC49" s="68"/>
      <c r="AE49" s="68"/>
    </row>
    <row r="51" spans="1:31" x14ac:dyDescent="0.25">
      <c r="A51" s="42" t="s">
        <v>268</v>
      </c>
    </row>
    <row r="52" spans="1:31" ht="25.05" customHeight="1" x14ac:dyDescent="0.25">
      <c r="A52" s="102" t="s">
        <v>269</v>
      </c>
      <c r="B52" s="102" t="s">
        <v>270</v>
      </c>
      <c r="C52" s="102" t="s">
        <v>201</v>
      </c>
      <c r="D52" s="102" t="s">
        <v>271</v>
      </c>
    </row>
    <row r="53" spans="1:31" ht="25.05" customHeight="1" x14ac:dyDescent="0.25">
      <c r="A53" s="103"/>
      <c r="B53" s="103"/>
      <c r="C53" s="103"/>
      <c r="D53" s="103"/>
    </row>
    <row r="54" spans="1:31" x14ac:dyDescent="0.25">
      <c r="A54" s="59">
        <v>1</v>
      </c>
      <c r="B54" s="62">
        <v>260504.1</v>
      </c>
      <c r="C54" s="59" t="s">
        <v>229</v>
      </c>
      <c r="D54" s="62">
        <v>15630.25</v>
      </c>
    </row>
    <row r="55" spans="1:31" x14ac:dyDescent="0.25">
      <c r="A55" s="59" t="s">
        <v>272</v>
      </c>
      <c r="B55" s="62">
        <v>260504.1</v>
      </c>
      <c r="C55" s="59"/>
      <c r="D55" s="62">
        <v>15630.25</v>
      </c>
    </row>
    <row r="56" spans="1:31" x14ac:dyDescent="0.25">
      <c r="A56" s="97" t="s">
        <v>273</v>
      </c>
      <c r="B56" s="98"/>
      <c r="C56" s="98"/>
      <c r="D56" s="74">
        <v>15630.25</v>
      </c>
    </row>
    <row r="57" spans="1:31" x14ac:dyDescent="0.25">
      <c r="A57" s="75" t="s">
        <v>274</v>
      </c>
    </row>
    <row r="58" spans="1:31" x14ac:dyDescent="0.25">
      <c r="A58" s="76">
        <v>276134.34999999998</v>
      </c>
    </row>
    <row r="59" spans="1:31" x14ac:dyDescent="0.25">
      <c r="A59" s="75" t="s">
        <v>275</v>
      </c>
    </row>
    <row r="61" spans="1:31" s="78" customFormat="1" ht="17.399999999999999" x14ac:dyDescent="0.25">
      <c r="A61" s="77" t="s">
        <v>276</v>
      </c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AC61" s="79"/>
      <c r="AE61" s="79"/>
    </row>
    <row r="63" spans="1:31" x14ac:dyDescent="0.25">
      <c r="A63" s="80" t="s">
        <v>277</v>
      </c>
      <c r="J63" s="43" t="s">
        <v>278</v>
      </c>
    </row>
    <row r="65" spans="1:10" x14ac:dyDescent="0.25">
      <c r="A65" s="41" t="s">
        <v>279</v>
      </c>
      <c r="G65" s="81" t="s">
        <v>279</v>
      </c>
    </row>
    <row r="66" spans="1:10" x14ac:dyDescent="0.25">
      <c r="A66" s="41" t="s">
        <v>280</v>
      </c>
      <c r="G66" s="81" t="s">
        <v>281</v>
      </c>
    </row>
    <row r="67" spans="1:10" x14ac:dyDescent="0.25">
      <c r="A67" s="41" t="s">
        <v>282</v>
      </c>
      <c r="G67" s="81" t="s">
        <v>283</v>
      </c>
    </row>
    <row r="68" spans="1:10" x14ac:dyDescent="0.25">
      <c r="A68" s="41" t="s">
        <v>284</v>
      </c>
      <c r="G68" s="81" t="s">
        <v>285</v>
      </c>
    </row>
    <row r="69" spans="1:10" x14ac:dyDescent="0.25">
      <c r="A69" s="41" t="s">
        <v>286</v>
      </c>
      <c r="G69" s="81" t="s">
        <v>287</v>
      </c>
    </row>
    <row r="71" spans="1:10" x14ac:dyDescent="0.25">
      <c r="A71" s="41" t="s">
        <v>279</v>
      </c>
    </row>
    <row r="72" spans="1:10" x14ac:dyDescent="0.25">
      <c r="A72" s="41" t="s">
        <v>288</v>
      </c>
    </row>
    <row r="73" spans="1:10" x14ac:dyDescent="0.25">
      <c r="A73" s="41" t="s">
        <v>289</v>
      </c>
    </row>
    <row r="74" spans="1:10" x14ac:dyDescent="0.25">
      <c r="A74" s="41" t="s">
        <v>290</v>
      </c>
    </row>
    <row r="75" spans="1:10" x14ac:dyDescent="0.25">
      <c r="A75" s="41" t="s">
        <v>291</v>
      </c>
    </row>
    <row r="77" spans="1:10" x14ac:dyDescent="0.25">
      <c r="A77" s="80" t="s">
        <v>292</v>
      </c>
      <c r="D77" s="80" t="s">
        <v>293</v>
      </c>
      <c r="G77" s="81" t="s">
        <v>177</v>
      </c>
    </row>
    <row r="78" spans="1:10" x14ac:dyDescent="0.25">
      <c r="A78" s="80" t="s">
        <v>294</v>
      </c>
      <c r="G78" s="82" t="s">
        <v>295</v>
      </c>
    </row>
    <row r="79" spans="1:10" x14ac:dyDescent="0.25">
      <c r="A79" s="80" t="s">
        <v>296</v>
      </c>
      <c r="D79" s="80" t="s">
        <v>297</v>
      </c>
      <c r="G79" s="82" t="s">
        <v>298</v>
      </c>
    </row>
    <row r="80" spans="1:10" x14ac:dyDescent="0.25">
      <c r="A80" s="80" t="s">
        <v>299</v>
      </c>
      <c r="D80" s="80" t="s">
        <v>300</v>
      </c>
      <c r="G80" s="82" t="s">
        <v>301</v>
      </c>
      <c r="J80" s="82" t="s">
        <v>302</v>
      </c>
    </row>
    <row r="82" spans="1:2" x14ac:dyDescent="0.25">
      <c r="A82" s="80" t="s">
        <v>303</v>
      </c>
      <c r="B82" s="80" t="s">
        <v>304</v>
      </c>
    </row>
    <row r="83" spans="1:2" x14ac:dyDescent="0.25">
      <c r="B83" s="80" t="s">
        <v>305</v>
      </c>
    </row>
    <row r="84" spans="1:2" x14ac:dyDescent="0.25">
      <c r="B84" s="80" t="s">
        <v>306</v>
      </c>
    </row>
    <row r="85" spans="1:2" x14ac:dyDescent="0.25">
      <c r="B85" s="80" t="s">
        <v>307</v>
      </c>
    </row>
    <row r="86" spans="1:2" x14ac:dyDescent="0.25">
      <c r="B86" s="80" t="s">
        <v>308</v>
      </c>
    </row>
    <row r="88" spans="1:2" x14ac:dyDescent="0.25">
      <c r="A88" s="80" t="s">
        <v>309</v>
      </c>
      <c r="B88" s="80" t="s">
        <v>310</v>
      </c>
    </row>
    <row r="89" spans="1:2" x14ac:dyDescent="0.25">
      <c r="B89" s="80" t="s">
        <v>311</v>
      </c>
    </row>
  </sheetData>
  <mergeCells count="7">
    <mergeCell ref="A56:C56"/>
    <mergeCell ref="H14:M14"/>
    <mergeCell ref="P14:T14"/>
    <mergeCell ref="A52:A53"/>
    <mergeCell ref="B52:B53"/>
    <mergeCell ref="C52:C53"/>
    <mergeCell ref="D52:D5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202412</vt:lpstr>
      <vt:lpstr>对账单</vt:lpstr>
      <vt:lpstr>系统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2023-05-09T06:00:17Z</dcterms:created>
  <dcterms:modified xsi:type="dcterms:W3CDTF">2024-12-13T08:30:51Z</dcterms:modified>
</cp:coreProperties>
</file>