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502电信\2502账单\"/>
    </mc:Choice>
  </mc:AlternateContent>
  <xr:revisionPtr revIDLastSave="0" documentId="13_ncr:1_{FBF5E390-7361-46AD-A1F6-AA20637CE246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502" sheetId="1" r:id="rId1"/>
    <sheet name="对账单" sheetId="3" r:id="rId2"/>
    <sheet name="系统" sheetId="2" r:id="rId3"/>
  </sheets>
  <externalReferences>
    <externalReference r:id="rId4"/>
  </externalReferences>
  <definedNames>
    <definedName name="_xlnm._FilterDatabase" localSheetId="0" hidden="1">'202502'!$A$1:$BF$30</definedName>
  </definedNames>
  <calcPr calcId="191029"/>
</workbook>
</file>

<file path=xl/calcChain.xml><?xml version="1.0" encoding="utf-8"?>
<calcChain xmlns="http://schemas.openxmlformats.org/spreadsheetml/2006/main">
  <c r="C7" i="3" l="1"/>
  <c r="C5" i="3"/>
  <c r="C4" i="3"/>
  <c r="C2" i="3"/>
  <c r="H51" i="2"/>
  <c r="F51" i="2"/>
  <c r="D51" i="2"/>
  <c r="AE44" i="2"/>
  <c r="AC44" i="2"/>
  <c r="X44" i="2"/>
  <c r="W44" i="2"/>
  <c r="U44" i="2"/>
  <c r="T44" i="2"/>
  <c r="S44" i="2"/>
  <c r="R44" i="2"/>
  <c r="Q44" i="2"/>
  <c r="P44" i="2"/>
  <c r="N44" i="2"/>
  <c r="M44" i="2"/>
  <c r="L44" i="2"/>
  <c r="K44" i="2"/>
  <c r="J44" i="2"/>
  <c r="I44" i="2"/>
  <c r="H44" i="2"/>
  <c r="E44" i="2"/>
  <c r="Y43" i="2"/>
  <c r="V43" i="2"/>
  <c r="O43" i="2"/>
  <c r="V42" i="2"/>
  <c r="Y42" i="2" s="1"/>
  <c r="O42" i="2"/>
  <c r="V41" i="2"/>
  <c r="O41" i="2"/>
  <c r="Y41" i="2" s="1"/>
  <c r="V40" i="2"/>
  <c r="O40" i="2"/>
  <c r="Y40" i="2" s="1"/>
  <c r="Y39" i="2"/>
  <c r="V39" i="2"/>
  <c r="O39" i="2"/>
  <c r="V38" i="2"/>
  <c r="Y38" i="2" s="1"/>
  <c r="O38" i="2"/>
  <c r="V37" i="2"/>
  <c r="O37" i="2"/>
  <c r="Y37" i="2" s="1"/>
  <c r="V36" i="2"/>
  <c r="O36" i="2"/>
  <c r="Y36" i="2" s="1"/>
  <c r="Y35" i="2"/>
  <c r="V35" i="2"/>
  <c r="O35" i="2"/>
  <c r="V34" i="2"/>
  <c r="Y34" i="2" s="1"/>
  <c r="O34" i="2"/>
  <c r="V33" i="2"/>
  <c r="O33" i="2"/>
  <c r="Y33" i="2" s="1"/>
  <c r="V32" i="2"/>
  <c r="O32" i="2"/>
  <c r="Y32" i="2" s="1"/>
  <c r="V31" i="2"/>
  <c r="O31" i="2"/>
  <c r="Y31" i="2" s="1"/>
  <c r="Y30" i="2"/>
  <c r="V30" i="2"/>
  <c r="O30" i="2"/>
  <c r="V29" i="2"/>
  <c r="O29" i="2"/>
  <c r="Y29" i="2" s="1"/>
  <c r="V28" i="2"/>
  <c r="O28" i="2"/>
  <c r="Y28" i="2" s="1"/>
  <c r="Y27" i="2"/>
  <c r="V27" i="2"/>
  <c r="O27" i="2"/>
  <c r="Y26" i="2"/>
  <c r="V26" i="2"/>
  <c r="O26" i="2"/>
  <c r="V25" i="2"/>
  <c r="O25" i="2"/>
  <c r="Y25" i="2" s="1"/>
  <c r="V24" i="2"/>
  <c r="O24" i="2"/>
  <c r="Y24" i="2" s="1"/>
  <c r="Y23" i="2"/>
  <c r="V23" i="2"/>
  <c r="O23" i="2"/>
  <c r="Y22" i="2"/>
  <c r="V22" i="2"/>
  <c r="O22" i="2"/>
  <c r="V21" i="2"/>
  <c r="O21" i="2"/>
  <c r="Y21" i="2" s="1"/>
  <c r="V20" i="2"/>
  <c r="O20" i="2"/>
  <c r="Y20" i="2" s="1"/>
  <c r="Y19" i="2"/>
  <c r="V19" i="2"/>
  <c r="O19" i="2"/>
  <c r="Y18" i="2"/>
  <c r="V18" i="2"/>
  <c r="O18" i="2"/>
  <c r="V17" i="2"/>
  <c r="O17" i="2"/>
  <c r="Y17" i="2" s="1"/>
  <c r="V16" i="2"/>
  <c r="V44" i="2" s="1"/>
  <c r="O16" i="2"/>
  <c r="Y16" i="2" s="1"/>
  <c r="Y44" i="2" s="1"/>
  <c r="O44" i="2" l="1"/>
  <c r="B8" i="3"/>
  <c r="D7" i="3"/>
  <c r="D2" i="3"/>
  <c r="J5" i="3"/>
  <c r="J8" i="3"/>
  <c r="B10" i="3"/>
  <c r="B9" i="3"/>
  <c r="B7" i="3"/>
  <c r="J7" i="3" s="1"/>
  <c r="B5" i="3"/>
  <c r="B4" i="3"/>
  <c r="J4" i="3" s="1"/>
  <c r="B3" i="3"/>
  <c r="B2" i="3"/>
  <c r="E14" i="3"/>
  <c r="H11" i="3"/>
  <c r="G11" i="3"/>
  <c r="E11" i="3"/>
  <c r="I10" i="3"/>
  <c r="J10" i="3"/>
  <c r="D9" i="3"/>
  <c r="J9" i="3"/>
  <c r="D8" i="3"/>
  <c r="I8" i="3" s="1"/>
  <c r="I7" i="3"/>
  <c r="J6" i="3"/>
  <c r="I6" i="3"/>
  <c r="I5" i="3"/>
  <c r="I4" i="3"/>
  <c r="J3" i="3"/>
  <c r="I3" i="3"/>
  <c r="I2" i="3"/>
  <c r="C11" i="3" l="1"/>
  <c r="C14" i="3" s="1"/>
  <c r="J2" i="3"/>
  <c r="D11" i="3"/>
  <c r="D13" i="3" s="1"/>
  <c r="G14" i="3"/>
  <c r="B11" i="3"/>
  <c r="B14" i="3" s="1"/>
  <c r="I15" i="3" s="1"/>
  <c r="F9" i="3"/>
  <c r="F11" i="3" s="1"/>
  <c r="G13" i="3"/>
  <c r="H13" i="3"/>
  <c r="H14" i="3" s="1"/>
  <c r="I9" i="3" l="1"/>
  <c r="I13" i="3"/>
  <c r="F14" i="3"/>
  <c r="I14" i="3" s="1"/>
  <c r="I16" i="3" s="1"/>
  <c r="I17" i="3" s="1"/>
  <c r="F13" i="3"/>
  <c r="D14" i="3"/>
  <c r="I11" i="3"/>
  <c r="BC3" i="1"/>
  <c r="BC30" i="1"/>
  <c r="Z31" i="1"/>
  <c r="AZ26" i="1"/>
  <c r="AZ31" i="1"/>
  <c r="AZ30" i="1"/>
  <c r="AZ9" i="1"/>
  <c r="AZ4" i="1"/>
  <c r="K28" i="1"/>
  <c r="K27" i="1"/>
  <c r="K26" i="1"/>
  <c r="K25" i="1"/>
  <c r="K21" i="1"/>
  <c r="K20" i="1"/>
  <c r="K19" i="1"/>
  <c r="K18" i="1"/>
  <c r="K17" i="1"/>
  <c r="K16" i="1"/>
  <c r="K15" i="1"/>
  <c r="K13" i="1"/>
  <c r="K12" i="1"/>
  <c r="K11" i="1"/>
  <c r="K10" i="1"/>
  <c r="K9" i="1"/>
  <c r="K7" i="1"/>
  <c r="K4" i="1"/>
  <c r="K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" i="1"/>
  <c r="AX29" i="1" l="1"/>
  <c r="BB31" i="1" l="1"/>
  <c r="AY31" i="1"/>
  <c r="AV31" i="1" l="1"/>
  <c r="AX26" i="1"/>
  <c r="AX9" i="1"/>
  <c r="AX4" i="1"/>
  <c r="AX31" i="1" l="1"/>
  <c r="AG29" i="1"/>
  <c r="X29" i="1" s="1"/>
  <c r="AU29" i="1" l="1"/>
  <c r="Z29" i="1" l="1"/>
  <c r="AK29" i="1" s="1"/>
  <c r="BF29" i="1" s="1"/>
  <c r="A29" i="1"/>
  <c r="AW29" i="1" l="1"/>
  <c r="A5" i="1"/>
  <c r="A6" i="1"/>
  <c r="A7" i="1"/>
  <c r="A8" i="1"/>
  <c r="A9" i="1"/>
  <c r="A10" i="1"/>
  <c r="A11" i="1"/>
  <c r="A12" i="1"/>
  <c r="A13" i="1"/>
  <c r="A14" i="1"/>
  <c r="A15" i="1"/>
  <c r="A16" i="1"/>
  <c r="A30" i="1"/>
  <c r="A17" i="1"/>
  <c r="A18" i="1"/>
  <c r="A19" i="1"/>
  <c r="A20" i="1"/>
  <c r="A21" i="1"/>
  <c r="A22" i="1"/>
  <c r="A23" i="1"/>
  <c r="A24" i="1"/>
  <c r="A25" i="1"/>
  <c r="A26" i="1"/>
  <c r="A27" i="1"/>
  <c r="A28" i="1"/>
  <c r="BC29" i="1" l="1"/>
  <c r="BD29" i="1" s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BE29" i="1" l="1"/>
  <c r="AT28" i="1"/>
  <c r="AS28" i="1"/>
  <c r="AP28" i="1"/>
  <c r="AO28" i="1"/>
  <c r="AN28" i="1"/>
  <c r="AG28" i="1"/>
  <c r="AT27" i="1"/>
  <c r="AS27" i="1"/>
  <c r="AP27" i="1"/>
  <c r="AN27" i="1"/>
  <c r="AG27" i="1"/>
  <c r="AT26" i="1"/>
  <c r="AS26" i="1"/>
  <c r="AP26" i="1"/>
  <c r="AN26" i="1"/>
  <c r="AG26" i="1"/>
  <c r="AT25" i="1"/>
  <c r="AS25" i="1"/>
  <c r="AP25" i="1"/>
  <c r="AO25" i="1"/>
  <c r="AN25" i="1"/>
  <c r="AT24" i="1"/>
  <c r="AS24" i="1"/>
  <c r="AP24" i="1"/>
  <c r="AO24" i="1"/>
  <c r="AN24" i="1"/>
  <c r="AG24" i="1"/>
  <c r="AT23" i="1"/>
  <c r="AS23" i="1"/>
  <c r="AP23" i="1"/>
  <c r="AO23" i="1"/>
  <c r="AN23" i="1"/>
  <c r="AG23" i="1"/>
  <c r="AT22" i="1"/>
  <c r="AS22" i="1"/>
  <c r="AP22" i="1"/>
  <c r="AO22" i="1"/>
  <c r="AN22" i="1"/>
  <c r="AG22" i="1"/>
  <c r="AT21" i="1"/>
  <c r="AS21" i="1"/>
  <c r="AP21" i="1"/>
  <c r="AN21" i="1"/>
  <c r="AG21" i="1"/>
  <c r="AT20" i="1"/>
  <c r="AS20" i="1"/>
  <c r="AP20" i="1"/>
  <c r="AN20" i="1"/>
  <c r="AG20" i="1"/>
  <c r="AT19" i="1"/>
  <c r="AS19" i="1"/>
  <c r="AP19" i="1"/>
  <c r="AO19" i="1"/>
  <c r="AN19" i="1"/>
  <c r="AT18" i="1"/>
  <c r="AS18" i="1"/>
  <c r="AP18" i="1"/>
  <c r="AO18" i="1"/>
  <c r="AN18" i="1"/>
  <c r="AT17" i="1"/>
  <c r="AS17" i="1"/>
  <c r="AP17" i="1"/>
  <c r="AN17" i="1"/>
  <c r="AG17" i="1"/>
  <c r="AT16" i="1"/>
  <c r="AS16" i="1"/>
  <c r="AP16" i="1"/>
  <c r="AO16" i="1"/>
  <c r="AN16" i="1"/>
  <c r="AG16" i="1"/>
  <c r="AT15" i="1"/>
  <c r="AS15" i="1"/>
  <c r="AP15" i="1"/>
  <c r="AO15" i="1"/>
  <c r="AN15" i="1"/>
  <c r="AG15" i="1"/>
  <c r="AT14" i="1"/>
  <c r="AS14" i="1"/>
  <c r="AP14" i="1"/>
  <c r="AO14" i="1"/>
  <c r="AN14" i="1"/>
  <c r="AG14" i="1"/>
  <c r="AT13" i="1"/>
  <c r="AS13" i="1"/>
  <c r="AP13" i="1"/>
  <c r="AN13" i="1"/>
  <c r="AG13" i="1"/>
  <c r="AT12" i="1"/>
  <c r="AS12" i="1"/>
  <c r="AP12" i="1"/>
  <c r="AO12" i="1"/>
  <c r="AN12" i="1"/>
  <c r="AG12" i="1"/>
  <c r="AT11" i="1"/>
  <c r="AS11" i="1"/>
  <c r="AP11" i="1"/>
  <c r="AN11" i="1"/>
  <c r="AT10" i="1"/>
  <c r="AS10" i="1"/>
  <c r="AP10" i="1"/>
  <c r="AO10" i="1"/>
  <c r="AN10" i="1"/>
  <c r="AG10" i="1"/>
  <c r="AT9" i="1"/>
  <c r="AS9" i="1"/>
  <c r="AP9" i="1"/>
  <c r="AO9" i="1"/>
  <c r="AN9" i="1"/>
  <c r="AG9" i="1"/>
  <c r="AT8" i="1"/>
  <c r="AS8" i="1"/>
  <c r="AP8" i="1"/>
  <c r="AN8" i="1"/>
  <c r="AT7" i="1"/>
  <c r="AS7" i="1"/>
  <c r="AP7" i="1"/>
  <c r="AN7" i="1"/>
  <c r="AG7" i="1"/>
  <c r="X7" i="1" s="1"/>
  <c r="AT6" i="1"/>
  <c r="AS6" i="1"/>
  <c r="AP6" i="1"/>
  <c r="AN6" i="1"/>
  <c r="AT5" i="1"/>
  <c r="AS5" i="1"/>
  <c r="AP5" i="1"/>
  <c r="AO5" i="1"/>
  <c r="AN5" i="1"/>
  <c r="AG5" i="1"/>
  <c r="AT4" i="1"/>
  <c r="AS4" i="1"/>
  <c r="AP4" i="1"/>
  <c r="AO4" i="1"/>
  <c r="AN4" i="1"/>
  <c r="AG4" i="1"/>
  <c r="A4" i="1"/>
  <c r="AT3" i="1"/>
  <c r="AS3" i="1"/>
  <c r="AP3" i="1"/>
  <c r="AN3" i="1"/>
  <c r="AG3" i="1"/>
  <c r="X3" i="1" s="1"/>
  <c r="A3" i="1"/>
  <c r="X10" i="1" l="1"/>
  <c r="Z10" i="1" s="1"/>
  <c r="AK10" i="1" s="1"/>
  <c r="BF10" i="1" s="1"/>
  <c r="X13" i="1"/>
  <c r="Z13" i="1" s="1"/>
  <c r="AK13" i="1" s="1"/>
  <c r="BF13" i="1" s="1"/>
  <c r="X22" i="1"/>
  <c r="Z22" i="1" s="1"/>
  <c r="AK22" i="1" s="1"/>
  <c r="BF22" i="1" s="1"/>
  <c r="X4" i="1"/>
  <c r="Z4" i="1" s="1"/>
  <c r="AK4" i="1" s="1"/>
  <c r="BF4" i="1" s="1"/>
  <c r="X14" i="1"/>
  <c r="Z14" i="1" s="1"/>
  <c r="AK14" i="1" s="1"/>
  <c r="BF14" i="1" s="1"/>
  <c r="X16" i="1"/>
  <c r="Z16" i="1" s="1"/>
  <c r="AK16" i="1" s="1"/>
  <c r="BF16" i="1" s="1"/>
  <c r="X28" i="1"/>
  <c r="Z28" i="1" s="1"/>
  <c r="AK28" i="1" s="1"/>
  <c r="BF28" i="1" s="1"/>
  <c r="X5" i="1"/>
  <c r="Z5" i="1" s="1"/>
  <c r="AK5" i="1" s="1"/>
  <c r="BF5" i="1" s="1"/>
  <c r="X15" i="1"/>
  <c r="Z15" i="1" s="1"/>
  <c r="AK15" i="1" s="1"/>
  <c r="BF15" i="1" s="1"/>
  <c r="X17" i="1"/>
  <c r="Z17" i="1" s="1"/>
  <c r="AK17" i="1" s="1"/>
  <c r="BF17" i="1" s="1"/>
  <c r="X21" i="1"/>
  <c r="Z21" i="1" s="1"/>
  <c r="AK21" i="1" s="1"/>
  <c r="BF21" i="1" s="1"/>
  <c r="X26" i="1"/>
  <c r="Z26" i="1" s="1"/>
  <c r="AK26" i="1" s="1"/>
  <c r="BF26" i="1" s="1"/>
  <c r="X24" i="1"/>
  <c r="Z24" i="1" s="1"/>
  <c r="AK24" i="1" s="1"/>
  <c r="BF24" i="1" s="1"/>
  <c r="X27" i="1"/>
  <c r="Z27" i="1" s="1"/>
  <c r="AK27" i="1" s="1"/>
  <c r="BF27" i="1" s="1"/>
  <c r="X9" i="1"/>
  <c r="Z9" i="1" s="1"/>
  <c r="AK9" i="1" s="1"/>
  <c r="BF9" i="1" s="1"/>
  <c r="X12" i="1"/>
  <c r="Z12" i="1" s="1"/>
  <c r="AK12" i="1" s="1"/>
  <c r="BF12" i="1" s="1"/>
  <c r="X20" i="1"/>
  <c r="Z20" i="1" s="1"/>
  <c r="AK20" i="1" s="1"/>
  <c r="BF20" i="1" s="1"/>
  <c r="X23" i="1"/>
  <c r="Z23" i="1" s="1"/>
  <c r="AK23" i="1" s="1"/>
  <c r="BF23" i="1" s="1"/>
  <c r="Z7" i="1"/>
  <c r="AK7" i="1" s="1"/>
  <c r="BF7" i="1" s="1"/>
  <c r="Z3" i="1"/>
  <c r="AU7" i="1"/>
  <c r="AU11" i="1"/>
  <c r="AU17" i="1"/>
  <c r="AU23" i="1"/>
  <c r="AU4" i="1"/>
  <c r="AU18" i="1"/>
  <c r="AU19" i="1"/>
  <c r="AU27" i="1"/>
  <c r="AU28" i="1"/>
  <c r="AU9" i="1"/>
  <c r="AU12" i="1"/>
  <c r="AU14" i="1"/>
  <c r="AU22" i="1"/>
  <c r="AU25" i="1"/>
  <c r="AU5" i="1"/>
  <c r="AU10" i="1"/>
  <c r="AU15" i="1"/>
  <c r="AU20" i="1"/>
  <c r="AU16" i="1"/>
  <c r="AU26" i="1"/>
  <c r="AG6" i="1"/>
  <c r="AG8" i="1"/>
  <c r="AU13" i="1"/>
  <c r="AG19" i="1"/>
  <c r="AU3" i="1"/>
  <c r="AU6" i="1"/>
  <c r="AU8" i="1"/>
  <c r="AG11" i="1"/>
  <c r="AG30" i="1"/>
  <c r="Z30" i="1" s="1"/>
  <c r="AU30" i="1"/>
  <c r="AG18" i="1"/>
  <c r="AU21" i="1"/>
  <c r="AU24" i="1"/>
  <c r="AG25" i="1"/>
  <c r="X25" i="1" l="1"/>
  <c r="Z25" i="1" s="1"/>
  <c r="AW20" i="1"/>
  <c r="X6" i="1"/>
  <c r="Z6" i="1" s="1"/>
  <c r="AW22" i="1"/>
  <c r="AW28" i="1"/>
  <c r="X11" i="1"/>
  <c r="Z11" i="1" s="1"/>
  <c r="AK11" i="1" s="1"/>
  <c r="BF11" i="1" s="1"/>
  <c r="X19" i="1"/>
  <c r="Z19" i="1" s="1"/>
  <c r="AW27" i="1"/>
  <c r="AW23" i="1"/>
  <c r="X8" i="1"/>
  <c r="Z8" i="1" s="1"/>
  <c r="AW9" i="1"/>
  <c r="AW24" i="1"/>
  <c r="AW15" i="1"/>
  <c r="AW4" i="1"/>
  <c r="BC4" i="1" s="1"/>
  <c r="AW26" i="1"/>
  <c r="AW14" i="1"/>
  <c r="X18" i="1"/>
  <c r="Z18" i="1" s="1"/>
  <c r="AW16" i="1"/>
  <c r="AW12" i="1"/>
  <c r="AW17" i="1"/>
  <c r="AK30" i="1"/>
  <c r="AW30" i="1"/>
  <c r="AW7" i="1"/>
  <c r="AU31" i="1"/>
  <c r="AG31" i="1"/>
  <c r="AK3" i="1"/>
  <c r="BF3" i="1" s="1"/>
  <c r="AW3" i="1"/>
  <c r="AW21" i="1"/>
  <c r="AW10" i="1"/>
  <c r="AW13" i="1"/>
  <c r="AW5" i="1"/>
  <c r="BC12" i="1" l="1"/>
  <c r="BD12" i="1" s="1"/>
  <c r="BC26" i="1"/>
  <c r="BD26" i="1" s="1"/>
  <c r="BE26" i="1" s="1"/>
  <c r="BC9" i="1"/>
  <c r="BC17" i="1"/>
  <c r="BD17" i="1" s="1"/>
  <c r="BE17" i="1" s="1"/>
  <c r="BC24" i="1"/>
  <c r="BD24" i="1" s="1"/>
  <c r="BE24" i="1" s="1"/>
  <c r="BC20" i="1"/>
  <c r="BD20" i="1" s="1"/>
  <c r="BE20" i="1" s="1"/>
  <c r="BC21" i="1"/>
  <c r="BD21" i="1" s="1"/>
  <c r="BC14" i="1"/>
  <c r="BD14" i="1" s="1"/>
  <c r="BC27" i="1"/>
  <c r="BC22" i="1"/>
  <c r="BD22" i="1" s="1"/>
  <c r="BE22" i="1" s="1"/>
  <c r="BC5" i="1"/>
  <c r="BC7" i="1"/>
  <c r="BC13" i="1"/>
  <c r="BD13" i="1" s="1"/>
  <c r="BE13" i="1" s="1"/>
  <c r="BC16" i="1"/>
  <c r="BD16" i="1" s="1"/>
  <c r="BC10" i="1"/>
  <c r="BD10" i="1" s="1"/>
  <c r="BC15" i="1"/>
  <c r="BD15" i="1" s="1"/>
  <c r="BE15" i="1" s="1"/>
  <c r="BC23" i="1"/>
  <c r="BD23" i="1" s="1"/>
  <c r="BE23" i="1" s="1"/>
  <c r="BC28" i="1"/>
  <c r="BD28" i="1" s="1"/>
  <c r="BE28" i="1" s="1"/>
  <c r="AK6" i="1"/>
  <c r="BF6" i="1" s="1"/>
  <c r="AW6" i="1"/>
  <c r="AK18" i="1"/>
  <c r="BF18" i="1" s="1"/>
  <c r="AW18" i="1"/>
  <c r="AK8" i="1"/>
  <c r="BF8" i="1" s="1"/>
  <c r="AW8" i="1"/>
  <c r="AK19" i="1"/>
  <c r="BF19" i="1" s="1"/>
  <c r="AW19" i="1"/>
  <c r="AK25" i="1"/>
  <c r="BF25" i="1" s="1"/>
  <c r="AW25" i="1"/>
  <c r="AW11" i="1"/>
  <c r="BD30" i="1"/>
  <c r="BD4" i="1"/>
  <c r="BE4" i="1" s="1"/>
  <c r="BC25" i="1" l="1"/>
  <c r="BD25" i="1" s="1"/>
  <c r="BE25" i="1" s="1"/>
  <c r="BC8" i="1"/>
  <c r="BC6" i="1"/>
  <c r="BD6" i="1" s="1"/>
  <c r="BE6" i="1" s="1"/>
  <c r="BE10" i="1"/>
  <c r="BE12" i="1"/>
  <c r="BD5" i="1"/>
  <c r="BE5" i="1" s="1"/>
  <c r="BD27" i="1"/>
  <c r="BE27" i="1" s="1"/>
  <c r="BD9" i="1"/>
  <c r="BE9" i="1" s="1"/>
  <c r="BC11" i="1"/>
  <c r="BC19" i="1"/>
  <c r="BD19" i="1" s="1"/>
  <c r="BE19" i="1" s="1"/>
  <c r="BC18" i="1"/>
  <c r="BD18" i="1" s="1"/>
  <c r="BE18" i="1" s="1"/>
  <c r="BE16" i="1"/>
  <c r="BE14" i="1"/>
  <c r="BD7" i="1"/>
  <c r="BE7" i="1" s="1"/>
  <c r="AW31" i="1"/>
  <c r="AK31" i="1"/>
  <c r="BD3" i="1"/>
  <c r="BE3" i="1" s="1"/>
  <c r="BE30" i="1"/>
  <c r="BE21" i="1"/>
  <c r="BC31" i="1" l="1"/>
  <c r="BD8" i="1"/>
  <c r="BE8" i="1" s="1"/>
  <c r="BD11" i="1"/>
  <c r="BE11" i="1" s="1"/>
  <c r="BE31" i="1" l="1"/>
  <c r="BD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3542C6D0-1230-4E4C-A217-78CD1C0A127C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CACC0B78-B359-4026-8E9C-E3096E7A979A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<sst xmlns="http://schemas.openxmlformats.org/spreadsheetml/2006/main" count="577" uniqueCount="352">
  <si>
    <t>序号</t>
  </si>
  <si>
    <t>计薪
周期</t>
  </si>
  <si>
    <t>工号</t>
  </si>
  <si>
    <t>姓名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</si>
  <si>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</si>
  <si>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</si>
  <si>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</si>
  <si>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</si>
  <si>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</si>
  <si>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</si>
  <si>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</si>
  <si>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</si>
  <si>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</si>
  <si>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</si>
  <si>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</si>
  <si>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</si>
  <si>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</si>
  <si>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</si>
  <si>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</si>
  <si>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</si>
  <si>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</si>
  <si>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</si>
  <si>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</si>
  <si>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</si>
  <si>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</si>
  <si>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</si>
  <si>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</si>
  <si>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</si>
  <si>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</si>
  <si>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</si>
  <si>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</si>
  <si>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</si>
  <si>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</si>
  <si>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</si>
  <si>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</si>
  <si>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</si>
  <si>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</si>
  <si>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</si>
  <si>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</si>
  <si>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</si>
  <si>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</si>
  <si>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</si>
  <si>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</si>
  <si>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</si>
  <si>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</si>
  <si>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</si>
  <si>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</si>
  <si>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</si>
  <si>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</si>
  <si>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</si>
  <si>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</si>
  <si>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</si>
  <si>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</si>
  <si>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</si>
  <si>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</si>
  <si>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高温费及清凉饮料费
（6-9月）</t>
  </si>
  <si>
    <t>伙食补贴</t>
  </si>
  <si>
    <t>独生子女奖励</t>
  </si>
  <si>
    <t>保险费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</si>
  <si>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</si>
  <si>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</si>
  <si>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</si>
  <si>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</si>
  <si>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</si>
  <si>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</si>
  <si>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</si>
  <si>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</si>
  <si>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</si>
  <si>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</si>
  <si>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</si>
  <si>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</si>
  <si>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</si>
  <si>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</si>
  <si>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</si>
  <si>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</si>
  <si>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</si>
  <si>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</si>
  <si>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</si>
  <si>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</si>
  <si>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</si>
  <si>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</si>
  <si>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</si>
  <si>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</si>
  <si>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</si>
  <si>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</si>
  <si>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</si>
  <si>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</si>
  <si>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</si>
  <si>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</si>
  <si>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</si>
  <si>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WB016994</t>
  </si>
  <si>
    <t>王邹强</t>
  </si>
  <si>
    <t>310108198909220554</t>
  </si>
  <si>
    <t>上海</t>
  </si>
  <si>
    <t>WB022665</t>
  </si>
  <si>
    <t>熊伟</t>
  </si>
  <si>
    <t>310109198905074533</t>
  </si>
  <si>
    <t>WB016995</t>
  </si>
  <si>
    <t>杭亮</t>
  </si>
  <si>
    <t>310110198004027057</t>
  </si>
  <si>
    <t>WB007082</t>
  </si>
  <si>
    <t>朱春红</t>
  </si>
  <si>
    <t>310230197703304160</t>
  </si>
  <si>
    <t>WB017012</t>
  </si>
  <si>
    <t>王一峰</t>
  </si>
  <si>
    <t>310230198106182913</t>
  </si>
  <si>
    <t>WB019180</t>
  </si>
  <si>
    <t>王偲</t>
  </si>
  <si>
    <t>310109198908200531</t>
  </si>
  <si>
    <t>WB024266</t>
  </si>
  <si>
    <t>王凤凌</t>
  </si>
  <si>
    <t>31011019870909564X</t>
  </si>
  <si>
    <t>WB033751</t>
  </si>
  <si>
    <t>高雄飞</t>
  </si>
  <si>
    <t>310101198402231014</t>
  </si>
  <si>
    <t>WB017080</t>
  </si>
  <si>
    <t>季华</t>
  </si>
  <si>
    <t>310115198609170130</t>
  </si>
  <si>
    <t>WB017076</t>
  </si>
  <si>
    <t>杨晓燕</t>
  </si>
  <si>
    <t>34222519770913404X</t>
  </si>
  <si>
    <t>WB025472</t>
  </si>
  <si>
    <t>孟浩杰</t>
  </si>
  <si>
    <t>510108198209090637</t>
  </si>
  <si>
    <t>WB021004</t>
  </si>
  <si>
    <t>周雨薇</t>
  </si>
  <si>
    <t>310104199212304829</t>
  </si>
  <si>
    <t>WB017081</t>
  </si>
  <si>
    <t>王姗姗</t>
  </si>
  <si>
    <t>34112519880604436X</t>
  </si>
  <si>
    <t>WB017085</t>
  </si>
  <si>
    <t>邱杭佳</t>
  </si>
  <si>
    <t>31010819830921103X</t>
  </si>
  <si>
    <t>WB008065</t>
  </si>
  <si>
    <t>戚继英</t>
  </si>
  <si>
    <t>310102198004243227</t>
  </si>
  <si>
    <t>WB045238</t>
  </si>
  <si>
    <t>戈婷婷</t>
  </si>
  <si>
    <t>320821199610185147</t>
  </si>
  <si>
    <t>WB013266</t>
  </si>
  <si>
    <t>吴裕刚</t>
  </si>
  <si>
    <t>31010219810818361X</t>
  </si>
  <si>
    <t>WB017007</t>
  </si>
  <si>
    <t>贺彦</t>
  </si>
  <si>
    <t>310108198901250513</t>
  </si>
  <si>
    <t>WB017000</t>
  </si>
  <si>
    <t>叶毅</t>
  </si>
  <si>
    <t>310110198502133266</t>
  </si>
  <si>
    <t>WB017001</t>
  </si>
  <si>
    <t>陈世碧</t>
  </si>
  <si>
    <t>513023197709136722</t>
  </si>
  <si>
    <t>WB017004</t>
  </si>
  <si>
    <t>顾陆慧</t>
  </si>
  <si>
    <t>310230197904164766</t>
  </si>
  <si>
    <t>WB017006</t>
  </si>
  <si>
    <t>程祖云</t>
  </si>
  <si>
    <t>411524198609258442</t>
  </si>
  <si>
    <t>WB003572</t>
  </si>
  <si>
    <t>谢俊敏</t>
  </si>
  <si>
    <t>310110198911171036</t>
  </si>
  <si>
    <t>WB039916</t>
  </si>
  <si>
    <t>梁裔杰</t>
  </si>
  <si>
    <t>310113198509301719</t>
  </si>
  <si>
    <t>WB017057</t>
  </si>
  <si>
    <t>朱云</t>
  </si>
  <si>
    <t>310110198810200045</t>
  </si>
  <si>
    <t>WB017068</t>
  </si>
  <si>
    <t>罗文彬</t>
  </si>
  <si>
    <t>310110198902103234</t>
  </si>
  <si>
    <t>WB054689</t>
  </si>
  <si>
    <t>张梦诏</t>
  </si>
  <si>
    <t>342423200108298172</t>
  </si>
  <si>
    <t>合计</t>
  </si>
  <si>
    <t>身份证号</t>
    <phoneticPr fontId="12" type="noConversion"/>
  </si>
  <si>
    <t>其他费用</t>
    <phoneticPr fontId="12" type="noConversion"/>
  </si>
  <si>
    <t>胡佳华</t>
  </si>
  <si>
    <t>310109198103142020</t>
    <phoneticPr fontId="12" type="noConversion"/>
  </si>
  <si>
    <t>本月多收下月退</t>
    <phoneticPr fontId="12" type="noConversion"/>
  </si>
  <si>
    <t>本月垫付下月收</t>
    <phoneticPr fontId="12" type="noConversion"/>
  </si>
  <si>
    <t>工伤利率调整，1月多收2月退</t>
  </si>
  <si>
    <t>工伤利率调整，1月多收2月退</t>
    <phoneticPr fontId="12" type="noConversion"/>
  </si>
  <si>
    <t>WB017054</t>
  </si>
  <si>
    <t>保障补差公式</t>
    <phoneticPr fontId="12" type="noConversion"/>
  </si>
  <si>
    <t>交通费</t>
    <phoneticPr fontId="12" type="noConversion"/>
  </si>
  <si>
    <t>效能补贴</t>
    <phoneticPr fontId="12" type="noConversion"/>
  </si>
  <si>
    <t>客户少给了，我们按照2%，19.15缴纳的，1月垫付了3.76，本月收</t>
    <phoneticPr fontId="12" type="noConversion"/>
  </si>
  <si>
    <t>本月多收，下月退</t>
    <phoneticPr fontId="12" type="noConversion"/>
  </si>
  <si>
    <r>
      <rPr>
        <sz val="8"/>
        <color theme="4" tint="-0.499984740745262"/>
        <rFont val="阿里巴巴普惠体 R"/>
        <family val="1"/>
        <charset val="134"/>
      </rPr>
      <t>本月保障补差垫付5元，下月收，工伤利率调整，1月多收2月退</t>
    </r>
    <r>
      <rPr>
        <sz val="8"/>
        <color rgb="FFFF0000"/>
        <rFont val="阿里巴巴普惠体 R"/>
        <family val="1"/>
        <charset val="134"/>
      </rPr>
      <t>，2月客户总给5.03，多收5元，下月退</t>
    </r>
    <phoneticPr fontId="12" type="noConversion"/>
  </si>
  <si>
    <r>
      <rPr>
        <sz val="8"/>
        <color theme="4" tint="-0.499984740745262"/>
        <rFont val="阿里巴巴普惠体 R"/>
        <family val="1"/>
        <charset val="134"/>
      </rPr>
      <t>本月保障补差垫付5元，下月收，工伤利率调整，1月多收2月退，</t>
    </r>
    <r>
      <rPr>
        <sz val="8"/>
        <color rgb="FFFF0000"/>
        <rFont val="阿里巴巴普惠体 R"/>
        <family val="1"/>
        <charset val="134"/>
      </rPr>
      <t>客户多给5元，下月退</t>
    </r>
    <phoneticPr fontId="12" type="noConversion"/>
  </si>
  <si>
    <r>
      <rPr>
        <sz val="8"/>
        <color theme="4" tint="-0.499984740745262"/>
        <rFont val="阿里巴巴普惠体 R"/>
        <family val="1"/>
        <charset val="134"/>
      </rPr>
      <t>本月保障补差垫付5元，下月收，工伤利率调整，</t>
    </r>
    <r>
      <rPr>
        <sz val="8"/>
        <color rgb="FFFF0000"/>
        <rFont val="阿里巴巴普惠体 R"/>
        <family val="1"/>
        <charset val="134"/>
      </rPr>
      <t>1月多收2月退</t>
    </r>
    <phoneticPr fontId="12" type="noConversion"/>
  </si>
  <si>
    <r>
      <rPr>
        <sz val="8"/>
        <color theme="4" tint="-0.499984740745262"/>
        <rFont val="阿里巴巴普惠体 R"/>
        <family val="1"/>
        <charset val="134"/>
      </rPr>
      <t>工伤利率调整，1月多收2月退，</t>
    </r>
    <r>
      <rPr>
        <sz val="8"/>
        <color rgb="FFFF0000"/>
        <rFont val="阿里巴巴普惠体 R"/>
        <family val="1"/>
        <charset val="134"/>
      </rPr>
      <t>2月没退3月退</t>
    </r>
    <phoneticPr fontId="12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</si>
  <si>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</si>
  <si>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</si>
  <si>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</si>
  <si>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</si>
  <si>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</si>
  <si>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</si>
  <si>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</si>
  <si>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2025年02月</t>
  </si>
  <si>
    <t>公司名称：中国电信股份有限公司上海分公司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</si>
  <si>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</si>
  <si>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</si>
  <si>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</si>
  <si>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</si>
  <si>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</si>
  <si>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</si>
  <si>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</si>
  <si>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</si>
  <si>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</si>
  <si>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</si>
  <si>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</si>
  <si>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</si>
  <si>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</si>
  <si>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</si>
  <si>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</si>
  <si>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</si>
  <si>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</si>
  <si>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</si>
  <si>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</si>
  <si>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</si>
  <si>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</si>
  <si>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</si>
  <si>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</si>
  <si>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</si>
  <si>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</si>
  <si>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</si>
  <si>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</si>
  <si>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</si>
  <si>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</si>
  <si>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</si>
  <si>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</si>
  <si>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</si>
  <si>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</si>
  <si>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</si>
  <si>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</si>
  <si>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</si>
  <si>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</si>
  <si>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</si>
  <si>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</si>
  <si>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</si>
  <si>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202502</t>
  </si>
  <si>
    <t>2024-06-01</t>
  </si>
  <si>
    <t>6%</t>
  </si>
  <si>
    <t>合计（RMB）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</si>
  <si>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</si>
  <si>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</si>
  <si>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</si>
  <si>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</si>
  <si>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</si>
  <si>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</si>
  <si>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</si>
  <si>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</si>
  <si>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</si>
  <si>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</si>
  <si>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</si>
  <si>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</si>
  <si>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</si>
  <si>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减少人员</t>
  </si>
  <si>
    <t>2024-08-01</t>
  </si>
  <si>
    <t>制单人：</t>
  </si>
  <si>
    <t>制单日期：2025-02-20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</si>
  <si>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</si>
  <si>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</si>
  <si>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</si>
  <si>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</si>
  <si>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</si>
  <si>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</si>
  <si>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</si>
  <si>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</si>
  <si>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</si>
  <si>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</si>
  <si>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</si>
  <si>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</si>
  <si>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</si>
  <si>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</si>
  <si>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</si>
  <si>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</si>
  <si>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</si>
  <si>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</si>
  <si>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</si>
  <si>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</si>
  <si>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</si>
  <si>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</si>
  <si>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</si>
  <si>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</si>
  <si>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</si>
  <si>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</si>
  <si>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</si>
  <si>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</si>
  <si>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</si>
  <si>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</si>
  <si>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</si>
  <si>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</si>
  <si>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</si>
  <si>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</si>
  <si>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</si>
  <si>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28" type="noConversion"/>
  </si>
  <si>
    <t>预收一次性</t>
    <phoneticPr fontId="12" type="noConversion"/>
  </si>
  <si>
    <t>本月垫付，下月收</t>
    <phoneticPr fontId="12" type="noConversion"/>
  </si>
  <si>
    <t>差异</t>
    <phoneticPr fontId="12" type="noConversion"/>
  </si>
  <si>
    <t>风险费</t>
  </si>
  <si>
    <t>个人四金</t>
  </si>
  <si>
    <t>公司四金</t>
  </si>
  <si>
    <t>工伤退费</t>
    <phoneticPr fontId="12" type="noConversion"/>
  </si>
  <si>
    <t>代发工资</t>
  </si>
  <si>
    <t>上月垫付</t>
    <phoneticPr fontId="12" type="noConversion"/>
  </si>
  <si>
    <t>工会费</t>
    <phoneticPr fontId="12" type="noConversion"/>
  </si>
  <si>
    <t>上月多收</t>
    <phoneticPr fontId="12" type="noConversion"/>
  </si>
  <si>
    <t>小计</t>
  </si>
  <si>
    <t>附加税</t>
  </si>
  <si>
    <t>给客户账单金额</t>
  </si>
  <si>
    <t>差异</t>
  </si>
  <si>
    <t>不含税差异</t>
  </si>
  <si>
    <t>帐单号：202502CH6594403</t>
  </si>
  <si>
    <t>5861127</t>
  </si>
  <si>
    <t>5861128</t>
  </si>
  <si>
    <t>5544585</t>
  </si>
  <si>
    <t>5544594</t>
  </si>
  <si>
    <t>5863338</t>
  </si>
  <si>
    <t>5544580</t>
  </si>
  <si>
    <t>5701787</t>
  </si>
  <si>
    <t>2025-01-01</t>
  </si>
  <si>
    <t>6242778</t>
  </si>
  <si>
    <t>310109198103142020</t>
  </si>
  <si>
    <t>5544586</t>
  </si>
  <si>
    <t>5861130</t>
  </si>
  <si>
    <t>5922255</t>
  </si>
  <si>
    <t>5544588</t>
  </si>
  <si>
    <t>5544593</t>
  </si>
  <si>
    <t>5544592</t>
  </si>
  <si>
    <t>5544583</t>
  </si>
  <si>
    <t>5544584</t>
  </si>
  <si>
    <t>5544582</t>
  </si>
  <si>
    <t>5544577</t>
  </si>
  <si>
    <t>5544591</t>
  </si>
  <si>
    <t>5544595</t>
  </si>
  <si>
    <t>5861129</t>
  </si>
  <si>
    <t>5544579</t>
  </si>
  <si>
    <t>5544587</t>
  </si>
  <si>
    <t>5861126</t>
  </si>
  <si>
    <t>5726531</t>
  </si>
  <si>
    <t>5544590</t>
  </si>
  <si>
    <t>5544581</t>
  </si>
  <si>
    <t>5922254</t>
  </si>
  <si>
    <t>总计（RMB）已包含历月补收人民币叁拾叁万叁仟柒佰柒拾壹圆叁角贰分</t>
  </si>
  <si>
    <t>本次价税合计(RMB):人民币叁拾叁万叁仟柒佰柒拾壹圆叁角贰分</t>
  </si>
  <si>
    <t>本月价税合计（RMB）：333771.32 其中已开票333771.32</t>
  </si>
  <si>
    <t>本月总计（RMB）人民币叁拾叁万叁仟柒佰柒拾壹圆叁角贰分                ￥333771.32</t>
  </si>
  <si>
    <t>朱倩</t>
  </si>
  <si>
    <t>2024-10-01</t>
  </si>
  <si>
    <t>施翎</t>
  </si>
  <si>
    <t>2月工会费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</si>
</sst>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3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9"/>
      <color theme="1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8"/>
      <color theme="4" tint="-0.499984740745262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5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3" fontId="3" fillId="0" borderId="0" xfId="1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6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14" fillId="0" borderId="0" xfId="0" applyNumberFormat="1" applyFont="1" applyBorder="1" applyAlignment="1">
      <alignment horizontal="right" vertical="center"/>
    </xf>
    <xf numFmtId="0" fontId="3" fillId="0" borderId="0" xfId="0" applyFont="1" applyBorder="1">
      <alignment vertical="center"/>
    </xf>
    <xf numFmtId="43" fontId="3" fillId="0" borderId="0" xfId="0" applyNumberFormat="1" applyFont="1">
      <alignment vertical="center"/>
    </xf>
    <xf numFmtId="43" fontId="3" fillId="3" borderId="0" xfId="1" applyFont="1" applyFill="1">
      <alignment vertical="center"/>
    </xf>
    <xf numFmtId="176" fontId="3" fillId="0" borderId="0" xfId="0" applyNumberFormat="1" applyFont="1">
      <alignment vertical="center"/>
    </xf>
    <xf numFmtId="49" fontId="5" fillId="0" borderId="1" xfId="5" quotePrefix="1" applyNumberFormat="1" applyFont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left" vertical="center"/>
    </xf>
    <xf numFmtId="0" fontId="6" fillId="0" borderId="1" xfId="5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center" vertical="center"/>
    </xf>
    <xf numFmtId="14" fontId="5" fillId="0" borderId="1" xfId="5" applyNumberFormat="1" applyFont="1" applyBorder="1" applyAlignment="1">
      <alignment horizontal="center" vertical="center"/>
    </xf>
    <xf numFmtId="2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3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left" vertical="center"/>
    </xf>
    <xf numFmtId="2" fontId="15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49" fontId="1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177" fontId="17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left" vertical="center"/>
    </xf>
    <xf numFmtId="49" fontId="21" fillId="0" borderId="5" xfId="0" applyNumberFormat="1" applyFont="1" applyBorder="1" applyAlignment="1">
      <alignment horizontal="center" wrapText="1"/>
    </xf>
    <xf numFmtId="177" fontId="21" fillId="0" borderId="5" xfId="0" applyNumberFormat="1" applyFont="1" applyBorder="1" applyAlignment="1">
      <alignment horizontal="center" wrapText="1"/>
    </xf>
    <xf numFmtId="177" fontId="21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77" fontId="21" fillId="0" borderId="5" xfId="0" applyNumberFormat="1" applyFont="1" applyBorder="1" applyAlignment="1">
      <alignment horizontal="center" vertical="top" wrapText="1"/>
    </xf>
    <xf numFmtId="177" fontId="22" fillId="0" borderId="5" xfId="0" applyNumberFormat="1" applyFont="1" applyBorder="1" applyAlignment="1">
      <alignment horizontal="center" wrapText="1"/>
    </xf>
    <xf numFmtId="49" fontId="21" fillId="0" borderId="6" xfId="0" applyNumberFormat="1" applyFont="1" applyBorder="1" applyAlignment="1">
      <alignment horizontal="center" vertical="top" wrapText="1"/>
    </xf>
    <xf numFmtId="177" fontId="21" fillId="0" borderId="6" xfId="0" applyNumberFormat="1" applyFont="1" applyBorder="1" applyAlignment="1">
      <alignment horizontal="center" vertical="top" wrapText="1"/>
    </xf>
    <xf numFmtId="177" fontId="21" fillId="0" borderId="1" xfId="0" applyNumberFormat="1" applyFont="1" applyBorder="1" applyAlignment="1">
      <alignment horizontal="center" vertical="top" wrapText="1"/>
    </xf>
    <xf numFmtId="177" fontId="22" fillId="0" borderId="6" xfId="0" applyNumberFormat="1" applyFont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right" vertical="center"/>
    </xf>
    <xf numFmtId="177" fontId="23" fillId="0" borderId="1" xfId="0" applyNumberFormat="1" applyFont="1" applyBorder="1" applyAlignment="1">
      <alignment horizontal="right" vertical="center"/>
    </xf>
    <xf numFmtId="177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center" wrapText="1"/>
    </xf>
    <xf numFmtId="49" fontId="21" fillId="0" borderId="0" xfId="0" applyNumberFormat="1" applyFont="1" applyAlignment="1">
      <alignment horizontal="center" wrapText="1"/>
    </xf>
    <xf numFmtId="177" fontId="21" fillId="0" borderId="0" xfId="0" applyNumberFormat="1" applyFont="1" applyAlignment="1">
      <alignment horizontal="center" vertical="top" wrapText="1"/>
    </xf>
    <xf numFmtId="49" fontId="21" fillId="0" borderId="0" xfId="0" applyNumberFormat="1" applyFont="1" applyAlignment="1">
      <alignment horizontal="center" vertical="top" wrapText="1"/>
    </xf>
    <xf numFmtId="7" fontId="14" fillId="0" borderId="1" xfId="0" applyNumberFormat="1" applyFont="1" applyBorder="1" applyAlignment="1">
      <alignment horizontal="right" vertical="center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7" fontId="14" fillId="0" borderId="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7" fontId="14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7" fillId="3" borderId="1" xfId="0" applyNumberFormat="1" applyFont="1" applyFill="1" applyBorder="1" applyAlignment="1">
      <alignment horizontal="center" vertical="center"/>
    </xf>
    <xf numFmtId="43" fontId="27" fillId="0" borderId="1" xfId="1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9" fillId="3" borderId="1" xfId="0" applyFont="1" applyFill="1" applyBorder="1" applyAlignment="1">
      <alignment horizontal="center" vertical="center"/>
    </xf>
    <xf numFmtId="43" fontId="29" fillId="3" borderId="1" xfId="0" applyNumberFormat="1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43" fontId="29" fillId="7" borderId="1" xfId="0" applyNumberFormat="1" applyFont="1" applyFill="1" applyBorder="1" applyAlignment="1">
      <alignment horizontal="center" vertical="center"/>
    </xf>
  </cellXfs>
  <cellStyles count="8">
    <cellStyle name="常规" xfId="0" builtinId="0"/>
    <cellStyle name="常规 10" xfId="4" xr:uid="{00000000-0005-0000-0000-000033000000}"/>
    <cellStyle name="常规 2" xfId="5" xr:uid="{00000000-0005-0000-0000-000034000000}"/>
    <cellStyle name="常规 2 2" xfId="3" xr:uid="{00000000-0005-0000-0000-000032000000}"/>
    <cellStyle name="常规 3" xfId="6" xr:uid="{00000000-0005-0000-0000-000035000000}"/>
    <cellStyle name="常规 3 2" xfId="2" xr:uid="{00000000-0005-0000-0000-000031000000}"/>
    <cellStyle name="常规 3 3" xfId="7" xr:uid="{9EA1CF18-82BA-45F5-8D0B-3FEE9F89C1A4}"/>
    <cellStyle name="千位分隔" xfId="1" builtinId="3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idan.luo/Desktop/&#24378;&#22522;&#22806;&#21253;&#30452;&#31649;&#20154;&#21592;&#21457;&#25918;&#22238;&#20256;&#25968;&#25454;-&#24067;&#21015;&#21513;-&#19996;&#213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F2" t="str">
            <v>姓名</v>
          </cell>
          <cell r="G2" t="str">
            <v>星级费用</v>
          </cell>
          <cell r="H2" t="str">
            <v>量化费用-前端</v>
          </cell>
          <cell r="I2" t="str">
            <v>考核费用</v>
          </cell>
          <cell r="J2" t="str">
            <v>独生子女奖励</v>
          </cell>
          <cell r="K2" t="str">
            <v>社保补差</v>
          </cell>
          <cell r="L2" t="str">
            <v>伙食补贴</v>
          </cell>
          <cell r="M2" t="str">
            <v>其他扣款</v>
          </cell>
          <cell r="N2" t="str">
            <v>平台商社保公积金单位部分</v>
          </cell>
          <cell r="O2" t="str">
            <v>专项费用-平台商清算费用</v>
          </cell>
          <cell r="P2" t="str">
            <v>平台管理费</v>
          </cell>
          <cell r="Q2" t="str">
            <v>工会费
（系统自动计算）</v>
          </cell>
        </row>
        <row r="3">
          <cell r="F3" t="str">
            <v>朱云</v>
          </cell>
          <cell r="G3">
            <v>1030</v>
          </cell>
          <cell r="H3">
            <v>893.6</v>
          </cell>
          <cell r="I3">
            <v>1882.2</v>
          </cell>
          <cell r="J3">
            <v>0</v>
          </cell>
          <cell r="K3">
            <v>1344.65</v>
          </cell>
          <cell r="L3">
            <v>630</v>
          </cell>
          <cell r="M3">
            <v>371</v>
          </cell>
          <cell r="N3">
            <v>4073.27</v>
          </cell>
          <cell r="O3">
            <v>3.33</v>
          </cell>
          <cell r="P3">
            <v>255</v>
          </cell>
          <cell r="Q3">
            <v>103</v>
          </cell>
        </row>
        <row r="4">
          <cell r="F4" t="str">
            <v>罗文彬</v>
          </cell>
          <cell r="G4">
            <v>1200</v>
          </cell>
          <cell r="H4">
            <v>1056.44</v>
          </cell>
          <cell r="I4">
            <v>3768.2</v>
          </cell>
          <cell r="J4">
            <v>0</v>
          </cell>
          <cell r="K4">
            <v>0</v>
          </cell>
          <cell r="L4">
            <v>630</v>
          </cell>
          <cell r="N4">
            <v>4972.08</v>
          </cell>
          <cell r="O4">
            <v>-8.14</v>
          </cell>
          <cell r="P4">
            <v>255</v>
          </cell>
          <cell r="Q4">
            <v>120</v>
          </cell>
        </row>
        <row r="5">
          <cell r="F5" t="str">
            <v>周雨薇</v>
          </cell>
          <cell r="G5">
            <v>1030</v>
          </cell>
          <cell r="H5">
            <v>1187.7</v>
          </cell>
          <cell r="I5">
            <v>3364</v>
          </cell>
          <cell r="J5">
            <v>0</v>
          </cell>
          <cell r="K5">
            <v>0</v>
          </cell>
          <cell r="L5">
            <v>630</v>
          </cell>
          <cell r="N5">
            <v>2486.4499999999998</v>
          </cell>
          <cell r="O5">
            <v>-4.13</v>
          </cell>
          <cell r="P5">
            <v>255</v>
          </cell>
          <cell r="Q5">
            <v>112</v>
          </cell>
        </row>
        <row r="6">
          <cell r="F6" t="str">
            <v>季华</v>
          </cell>
          <cell r="G6">
            <v>1300</v>
          </cell>
          <cell r="H6">
            <v>920</v>
          </cell>
          <cell r="I6">
            <v>8754</v>
          </cell>
          <cell r="J6">
            <v>0</v>
          </cell>
          <cell r="K6">
            <v>0</v>
          </cell>
          <cell r="L6">
            <v>630</v>
          </cell>
          <cell r="M6">
            <v>371</v>
          </cell>
          <cell r="N6">
            <v>3582.22</v>
          </cell>
          <cell r="O6">
            <v>-5.87</v>
          </cell>
          <cell r="P6">
            <v>255</v>
          </cell>
          <cell r="Q6">
            <v>219</v>
          </cell>
        </row>
        <row r="7">
          <cell r="F7" t="str">
            <v>孟浩杰</v>
          </cell>
          <cell r="G7">
            <v>1300</v>
          </cell>
          <cell r="H7">
            <v>1714.74</v>
          </cell>
          <cell r="I7">
            <v>5683.6</v>
          </cell>
          <cell r="J7">
            <v>0</v>
          </cell>
          <cell r="K7">
            <v>0</v>
          </cell>
          <cell r="L7">
            <v>630</v>
          </cell>
          <cell r="M7">
            <v>371</v>
          </cell>
          <cell r="N7">
            <v>3160.57</v>
          </cell>
          <cell r="O7">
            <v>-5.18</v>
          </cell>
          <cell r="P7">
            <v>255</v>
          </cell>
          <cell r="Q7">
            <v>174</v>
          </cell>
        </row>
        <row r="8">
          <cell r="F8" t="str">
            <v>杨晓燕</v>
          </cell>
          <cell r="G8">
            <v>1030</v>
          </cell>
          <cell r="H8">
            <v>2037</v>
          </cell>
          <cell r="I8">
            <v>3928</v>
          </cell>
          <cell r="J8">
            <v>0</v>
          </cell>
          <cell r="K8">
            <v>0</v>
          </cell>
          <cell r="L8">
            <v>630</v>
          </cell>
          <cell r="M8">
            <v>371</v>
          </cell>
          <cell r="N8">
            <v>2897.38</v>
          </cell>
          <cell r="O8">
            <v>-4.75</v>
          </cell>
          <cell r="P8">
            <v>255</v>
          </cell>
          <cell r="Q8">
            <v>140</v>
          </cell>
        </row>
        <row r="9">
          <cell r="F9" t="str">
            <v>叶毅</v>
          </cell>
          <cell r="G9">
            <v>1030</v>
          </cell>
          <cell r="H9">
            <v>1758.84</v>
          </cell>
          <cell r="I9">
            <v>4816</v>
          </cell>
          <cell r="J9">
            <v>0</v>
          </cell>
          <cell r="K9">
            <v>0</v>
          </cell>
          <cell r="L9">
            <v>630</v>
          </cell>
          <cell r="M9">
            <v>371</v>
          </cell>
          <cell r="N9">
            <v>2653.47</v>
          </cell>
          <cell r="O9">
            <v>-4.34</v>
          </cell>
          <cell r="P9">
            <v>255</v>
          </cell>
          <cell r="Q9">
            <v>152</v>
          </cell>
        </row>
        <row r="10">
          <cell r="F10" t="str">
            <v>陈世碧</v>
          </cell>
          <cell r="G10">
            <v>1030</v>
          </cell>
          <cell r="H10">
            <v>3732.3</v>
          </cell>
          <cell r="I10">
            <v>3946.8</v>
          </cell>
          <cell r="J10">
            <v>0</v>
          </cell>
          <cell r="K10">
            <v>0</v>
          </cell>
          <cell r="L10">
            <v>630</v>
          </cell>
          <cell r="M10">
            <v>371</v>
          </cell>
          <cell r="N10">
            <v>3434.72</v>
          </cell>
          <cell r="O10">
            <v>-5.62</v>
          </cell>
          <cell r="P10">
            <v>255</v>
          </cell>
          <cell r="Q10">
            <v>174</v>
          </cell>
        </row>
        <row r="11">
          <cell r="F11" t="str">
            <v>顾陆慧</v>
          </cell>
          <cell r="G11">
            <v>1300</v>
          </cell>
          <cell r="H11">
            <v>1147.1400000000001</v>
          </cell>
          <cell r="I11">
            <v>7900.8</v>
          </cell>
          <cell r="J11">
            <v>0</v>
          </cell>
          <cell r="K11">
            <v>0</v>
          </cell>
          <cell r="L11">
            <v>630</v>
          </cell>
          <cell r="N11">
            <v>4150.99</v>
          </cell>
          <cell r="O11">
            <v>-6.8</v>
          </cell>
          <cell r="P11">
            <v>255</v>
          </cell>
          <cell r="Q11">
            <v>207</v>
          </cell>
        </row>
        <row r="12">
          <cell r="F12" t="str">
            <v>程祖云</v>
          </cell>
          <cell r="G12">
            <v>1200</v>
          </cell>
          <cell r="H12">
            <v>1807.4</v>
          </cell>
          <cell r="I12">
            <v>3976.96</v>
          </cell>
          <cell r="J12">
            <v>0</v>
          </cell>
          <cell r="K12">
            <v>0</v>
          </cell>
          <cell r="L12">
            <v>630</v>
          </cell>
          <cell r="N12">
            <v>3286.38</v>
          </cell>
          <cell r="O12">
            <v>-5.38</v>
          </cell>
          <cell r="P12">
            <v>255</v>
          </cell>
          <cell r="Q12">
            <v>140</v>
          </cell>
        </row>
        <row r="13">
          <cell r="F13" t="str">
            <v>邱杭佳</v>
          </cell>
          <cell r="G13">
            <v>1030</v>
          </cell>
          <cell r="H13">
            <v>1177.8599999999999</v>
          </cell>
          <cell r="I13">
            <v>3113</v>
          </cell>
          <cell r="J13">
            <v>0</v>
          </cell>
          <cell r="K13">
            <v>0</v>
          </cell>
          <cell r="L13">
            <v>630</v>
          </cell>
          <cell r="M13">
            <v>371</v>
          </cell>
          <cell r="N13">
            <v>2555.9299999999998</v>
          </cell>
          <cell r="O13">
            <v>-4.18</v>
          </cell>
          <cell r="P13">
            <v>255</v>
          </cell>
          <cell r="Q13">
            <v>106</v>
          </cell>
        </row>
        <row r="14">
          <cell r="F14" t="str">
            <v>吴裕刚</v>
          </cell>
          <cell r="G14">
            <v>1030</v>
          </cell>
          <cell r="H14">
            <v>1345.3</v>
          </cell>
          <cell r="I14">
            <v>6845.48</v>
          </cell>
          <cell r="J14">
            <v>0</v>
          </cell>
          <cell r="K14">
            <v>0</v>
          </cell>
          <cell r="L14">
            <v>630</v>
          </cell>
          <cell r="M14">
            <v>371</v>
          </cell>
          <cell r="N14">
            <v>2770.74</v>
          </cell>
          <cell r="O14">
            <v>-4.54</v>
          </cell>
          <cell r="P14">
            <v>255</v>
          </cell>
          <cell r="Q14">
            <v>184</v>
          </cell>
        </row>
        <row r="15">
          <cell r="F15" t="str">
            <v>戈婷婷</v>
          </cell>
          <cell r="G15">
            <v>1030</v>
          </cell>
          <cell r="H15">
            <v>3010.78</v>
          </cell>
          <cell r="I15">
            <v>4525</v>
          </cell>
          <cell r="J15">
            <v>0</v>
          </cell>
          <cell r="K15">
            <v>0</v>
          </cell>
          <cell r="L15">
            <v>630</v>
          </cell>
          <cell r="M15">
            <v>371</v>
          </cell>
          <cell r="N15">
            <v>3571.52</v>
          </cell>
          <cell r="O15">
            <v>-5.84</v>
          </cell>
          <cell r="P15">
            <v>255</v>
          </cell>
          <cell r="Q15">
            <v>171</v>
          </cell>
        </row>
        <row r="16">
          <cell r="F16" t="str">
            <v>王姗姗</v>
          </cell>
          <cell r="G16">
            <v>1300</v>
          </cell>
          <cell r="H16">
            <v>2681.33</v>
          </cell>
          <cell r="I16">
            <v>19582.599999999999</v>
          </cell>
          <cell r="J16">
            <v>0</v>
          </cell>
          <cell r="K16">
            <v>0</v>
          </cell>
          <cell r="L16">
            <v>630</v>
          </cell>
          <cell r="M16">
            <v>371</v>
          </cell>
          <cell r="N16">
            <v>6169.88</v>
          </cell>
          <cell r="O16">
            <v>-10.1</v>
          </cell>
          <cell r="P16">
            <v>255</v>
          </cell>
          <cell r="Q16">
            <v>471</v>
          </cell>
        </row>
        <row r="17">
          <cell r="F17" t="str">
            <v>朱春红</v>
          </cell>
          <cell r="G17">
            <v>1030</v>
          </cell>
          <cell r="H17">
            <v>1514.04</v>
          </cell>
          <cell r="I17">
            <v>2464.8000000000002</v>
          </cell>
          <cell r="J17">
            <v>0</v>
          </cell>
          <cell r="K17">
            <v>0</v>
          </cell>
          <cell r="L17">
            <v>630</v>
          </cell>
          <cell r="N17">
            <v>3755.31</v>
          </cell>
          <cell r="O17">
            <v>-6.15</v>
          </cell>
          <cell r="P17">
            <v>255</v>
          </cell>
          <cell r="Q17">
            <v>100</v>
          </cell>
        </row>
        <row r="18">
          <cell r="F18" t="str">
            <v>杭亮</v>
          </cell>
          <cell r="G18">
            <v>1030</v>
          </cell>
          <cell r="H18">
            <v>1244.8599999999999</v>
          </cell>
          <cell r="I18">
            <v>2779.84</v>
          </cell>
          <cell r="J18">
            <v>0</v>
          </cell>
          <cell r="K18">
            <v>0</v>
          </cell>
          <cell r="L18">
            <v>630</v>
          </cell>
          <cell r="N18">
            <v>3155.47</v>
          </cell>
          <cell r="O18">
            <v>-5.17</v>
          </cell>
          <cell r="P18">
            <v>255</v>
          </cell>
          <cell r="Q18">
            <v>101</v>
          </cell>
        </row>
        <row r="19">
          <cell r="F19" t="str">
            <v>胡佳华</v>
          </cell>
          <cell r="G19">
            <v>1300</v>
          </cell>
          <cell r="H19">
            <v>1015.4</v>
          </cell>
          <cell r="I19">
            <v>6021.6</v>
          </cell>
          <cell r="J19">
            <v>0</v>
          </cell>
          <cell r="K19">
            <v>0</v>
          </cell>
          <cell r="L19">
            <v>630</v>
          </cell>
          <cell r="N19">
            <v>3274.42</v>
          </cell>
          <cell r="O19">
            <v>3.76</v>
          </cell>
          <cell r="P19">
            <v>255</v>
          </cell>
          <cell r="Q19">
            <v>167</v>
          </cell>
        </row>
        <row r="20">
          <cell r="F20" t="str">
            <v>谢俊敏</v>
          </cell>
          <cell r="G20">
            <v>1030</v>
          </cell>
          <cell r="H20">
            <v>1771.14</v>
          </cell>
          <cell r="I20">
            <v>3174</v>
          </cell>
          <cell r="J20">
            <v>0</v>
          </cell>
          <cell r="K20">
            <v>0</v>
          </cell>
          <cell r="L20">
            <v>630</v>
          </cell>
          <cell r="N20">
            <v>2726.93</v>
          </cell>
          <cell r="O20">
            <v>-4.46</v>
          </cell>
          <cell r="P20">
            <v>255</v>
          </cell>
          <cell r="Q20">
            <v>120</v>
          </cell>
        </row>
        <row r="21">
          <cell r="F21" t="str">
            <v>熊伟</v>
          </cell>
          <cell r="G21">
            <v>1030</v>
          </cell>
          <cell r="H21">
            <v>369.54</v>
          </cell>
          <cell r="I21">
            <v>974.4</v>
          </cell>
          <cell r="J21">
            <v>0</v>
          </cell>
          <cell r="K21">
            <v>1876.3</v>
          </cell>
          <cell r="L21">
            <v>630</v>
          </cell>
          <cell r="N21">
            <v>3039.54</v>
          </cell>
          <cell r="O21">
            <v>5.03</v>
          </cell>
          <cell r="P21">
            <v>255</v>
          </cell>
          <cell r="Q21">
            <v>85</v>
          </cell>
        </row>
        <row r="22">
          <cell r="F22" t="str">
            <v>王邹强</v>
          </cell>
          <cell r="G22">
            <v>1300</v>
          </cell>
          <cell r="H22">
            <v>839.64</v>
          </cell>
          <cell r="I22">
            <v>4371.2</v>
          </cell>
          <cell r="J22">
            <v>0</v>
          </cell>
          <cell r="K22">
            <v>0</v>
          </cell>
          <cell r="L22">
            <v>630</v>
          </cell>
          <cell r="N22">
            <v>2977.32</v>
          </cell>
          <cell r="O22">
            <v>-4.88</v>
          </cell>
          <cell r="P22">
            <v>255</v>
          </cell>
          <cell r="Q22">
            <v>130</v>
          </cell>
        </row>
        <row r="23">
          <cell r="F23" t="str">
            <v>王凤凌</v>
          </cell>
          <cell r="G23">
            <v>1030</v>
          </cell>
          <cell r="H23">
            <v>392.1</v>
          </cell>
          <cell r="I23">
            <v>1555.4</v>
          </cell>
          <cell r="J23">
            <v>0</v>
          </cell>
          <cell r="K23">
            <v>1191.82</v>
          </cell>
          <cell r="L23">
            <v>630</v>
          </cell>
          <cell r="M23">
            <v>371</v>
          </cell>
          <cell r="N23">
            <v>2336.4499999999998</v>
          </cell>
          <cell r="O23">
            <v>5.87</v>
          </cell>
          <cell r="P23">
            <v>255</v>
          </cell>
          <cell r="Q23">
            <v>83</v>
          </cell>
        </row>
        <row r="24">
          <cell r="F24" t="str">
            <v>王一峰</v>
          </cell>
          <cell r="G24">
            <v>1030</v>
          </cell>
          <cell r="H24">
            <v>2156</v>
          </cell>
          <cell r="I24">
            <v>3143</v>
          </cell>
          <cell r="J24">
            <v>0</v>
          </cell>
          <cell r="K24">
            <v>0</v>
          </cell>
          <cell r="L24">
            <v>630</v>
          </cell>
          <cell r="M24">
            <v>371</v>
          </cell>
          <cell r="N24">
            <v>5623.52</v>
          </cell>
          <cell r="O24">
            <v>-9.1999999999999993</v>
          </cell>
          <cell r="P24">
            <v>255</v>
          </cell>
          <cell r="Q24">
            <v>127</v>
          </cell>
        </row>
        <row r="25">
          <cell r="F25" t="str">
            <v>王偲</v>
          </cell>
          <cell r="G25">
            <v>1030</v>
          </cell>
          <cell r="H25">
            <v>2033.74</v>
          </cell>
          <cell r="I25">
            <v>2605.1999999999998</v>
          </cell>
          <cell r="J25">
            <v>0</v>
          </cell>
          <cell r="K25">
            <v>0</v>
          </cell>
          <cell r="L25">
            <v>630</v>
          </cell>
          <cell r="N25">
            <v>2825.01</v>
          </cell>
          <cell r="O25">
            <v>-4.63</v>
          </cell>
          <cell r="P25">
            <v>255</v>
          </cell>
          <cell r="Q25">
            <v>113</v>
          </cell>
        </row>
        <row r="26">
          <cell r="F26" t="str">
            <v>高雄飞</v>
          </cell>
          <cell r="G26">
            <v>1300</v>
          </cell>
          <cell r="H26">
            <v>1445.9</v>
          </cell>
          <cell r="I26">
            <v>5334.2</v>
          </cell>
          <cell r="J26">
            <v>0</v>
          </cell>
          <cell r="K26">
            <v>0</v>
          </cell>
          <cell r="L26">
            <v>630</v>
          </cell>
          <cell r="M26">
            <v>371</v>
          </cell>
          <cell r="N26">
            <v>3223.33</v>
          </cell>
          <cell r="O26">
            <v>-5.28</v>
          </cell>
          <cell r="P26">
            <v>255</v>
          </cell>
          <cell r="Q26">
            <v>162</v>
          </cell>
        </row>
        <row r="27">
          <cell r="F27" t="str">
            <v>梁裔杰</v>
          </cell>
          <cell r="G27">
            <v>1030</v>
          </cell>
          <cell r="H27">
            <v>4563.1400000000003</v>
          </cell>
          <cell r="I27">
            <v>5316.8</v>
          </cell>
          <cell r="J27">
            <v>0</v>
          </cell>
          <cell r="K27">
            <v>0</v>
          </cell>
          <cell r="L27">
            <v>630</v>
          </cell>
          <cell r="M27">
            <v>371</v>
          </cell>
          <cell r="N27">
            <v>2508.4499999999998</v>
          </cell>
          <cell r="O27">
            <v>-4.13</v>
          </cell>
          <cell r="P27">
            <v>255</v>
          </cell>
          <cell r="Q27">
            <v>218</v>
          </cell>
        </row>
        <row r="28">
          <cell r="F28" t="str">
            <v>贺彦</v>
          </cell>
          <cell r="G28">
            <v>800</v>
          </cell>
          <cell r="H28">
            <v>943.8</v>
          </cell>
          <cell r="I28">
            <v>1572</v>
          </cell>
          <cell r="J28">
            <v>0</v>
          </cell>
          <cell r="K28">
            <v>497.52</v>
          </cell>
          <cell r="L28">
            <v>630</v>
          </cell>
          <cell r="N28">
            <v>2351.4499999999998</v>
          </cell>
          <cell r="O28">
            <v>-4.13</v>
          </cell>
          <cell r="P28">
            <v>255</v>
          </cell>
          <cell r="Q28">
            <v>76</v>
          </cell>
        </row>
        <row r="29">
          <cell r="F29" t="str">
            <v>张梦诏</v>
          </cell>
          <cell r="G29">
            <v>800</v>
          </cell>
          <cell r="H29">
            <v>2906.94</v>
          </cell>
          <cell r="I29">
            <v>3343.4</v>
          </cell>
          <cell r="J29">
            <v>0</v>
          </cell>
          <cell r="K29">
            <v>0</v>
          </cell>
          <cell r="L29">
            <v>630</v>
          </cell>
          <cell r="M29">
            <v>371</v>
          </cell>
          <cell r="N29">
            <v>2375.4499999999998</v>
          </cell>
          <cell r="O29">
            <v>-4.13</v>
          </cell>
          <cell r="P29">
            <v>255</v>
          </cell>
          <cell r="Q29">
            <v>141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3"/>
  <sheetViews>
    <sheetView zoomScale="115" zoomScaleNormal="115" workbookViewId="0">
      <pane xSplit="5" ySplit="2" topLeftCell="AZ19" activePane="bottomRight" state="frozen"/>
      <selection pane="topRight"/>
      <selection pane="bottomLeft"/>
      <selection pane="bottomRight" activeCell="AZ4" sqref="AZ4"/>
    </sheetView>
  </sheetViews>
  <sheetFormatPr defaultColWidth="9" defaultRowHeight="16.2" x14ac:dyDescent="0.25"/>
  <cols>
    <col min="1" max="1" width="5" style="4" customWidth="1"/>
    <col min="2" max="2" width="7.6640625" style="4" customWidth="1"/>
    <col min="3" max="3" width="8.77734375" style="4" customWidth="1"/>
    <col min="4" max="4" width="5.6640625" style="4" customWidth="1"/>
    <col min="5" max="5" width="21.77734375" style="4" customWidth="1"/>
    <col min="6" max="6" width="12" style="4" customWidth="1"/>
    <col min="7" max="7" width="10.5546875" style="4" customWidth="1"/>
    <col min="8" max="8" width="10.109375" style="4" customWidth="1"/>
    <col min="9" max="9" width="12.88671875" style="4" customWidth="1"/>
    <col min="10" max="10" width="9.5546875" style="4" customWidth="1"/>
    <col min="11" max="11" width="13.5546875" style="4" customWidth="1"/>
    <col min="12" max="12" width="13.33203125" style="4" customWidth="1"/>
    <col min="13" max="13" width="10.6640625" style="4" customWidth="1"/>
    <col min="14" max="14" width="7.77734375" style="4" customWidth="1"/>
    <col min="15" max="15" width="7.88671875" style="4" customWidth="1"/>
    <col min="16" max="16" width="5.33203125" style="4" customWidth="1"/>
    <col min="17" max="17" width="9.109375" style="4" customWidth="1"/>
    <col min="18" max="18" width="8.44140625" style="4" customWidth="1"/>
    <col min="19" max="19" width="8" style="4" customWidth="1"/>
    <col min="20" max="20" width="9.21875" style="4" customWidth="1"/>
    <col min="21" max="21" width="7.109375" style="4" customWidth="1"/>
    <col min="22" max="22" width="8.6640625" style="4" customWidth="1"/>
    <col min="23" max="23" width="9.44140625" style="4" customWidth="1"/>
    <col min="24" max="24" width="8.109375" style="4" customWidth="1"/>
    <col min="25" max="25" width="9.44140625" style="4" customWidth="1"/>
    <col min="26" max="26" width="15" style="4" customWidth="1"/>
    <col min="27" max="27" width="10.44140625" style="4" customWidth="1"/>
    <col min="28" max="30" width="10.109375" style="4" customWidth="1"/>
    <col min="31" max="31" width="12.109375" style="4" customWidth="1"/>
    <col min="32" max="32" width="11.6640625" style="4" customWidth="1"/>
    <col min="33" max="33" width="14.77734375" style="4" customWidth="1"/>
    <col min="34" max="34" width="11.109375" style="4" customWidth="1"/>
    <col min="35" max="35" width="9.21875" style="4" customWidth="1"/>
    <col min="36" max="36" width="10.33203125" style="4" customWidth="1"/>
    <col min="37" max="37" width="16.77734375" style="4" customWidth="1"/>
    <col min="38" max="38" width="10.44140625" style="4" customWidth="1"/>
    <col min="39" max="39" width="12.109375" style="4" customWidth="1"/>
    <col min="40" max="40" width="9.5546875" style="4" customWidth="1"/>
    <col min="41" max="41" width="9.109375" style="4" customWidth="1"/>
    <col min="42" max="42" width="10" style="4" customWidth="1"/>
    <col min="43" max="43" width="9.77734375" style="4" customWidth="1"/>
    <col min="44" max="44" width="6.5546875" style="4" customWidth="1"/>
    <col min="45" max="45" width="8.88671875" style="4" customWidth="1"/>
    <col min="46" max="46" width="10.77734375" style="4" customWidth="1"/>
    <col min="47" max="47" width="14.44140625" style="4" customWidth="1"/>
    <col min="48" max="48" width="14.21875" style="4" customWidth="1"/>
    <col min="49" max="49" width="17.33203125" style="4" customWidth="1"/>
    <col min="50" max="50" width="14.77734375" style="4" customWidth="1"/>
    <col min="51" max="52" width="15.44140625" style="4" customWidth="1"/>
    <col min="53" max="53" width="24.5546875" style="4" customWidth="1"/>
    <col min="54" max="54" width="14.44140625" style="4" customWidth="1"/>
    <col min="55" max="55" width="20.88671875" style="4" customWidth="1"/>
    <col min="56" max="56" width="16" style="4" customWidth="1"/>
    <col min="57" max="57" width="15.33203125" style="4" customWidth="1"/>
    <col min="58" max="58" width="11.33203125" style="4" customWidth="1"/>
    <col min="59" max="16384" width="9" style="4"/>
  </cols>
  <sheetData>
    <row r="1" spans="1:58" s="1" customFormat="1" ht="26.1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173</v>
      </c>
      <c r="F1" s="5" t="s">
        <v>4</v>
      </c>
      <c r="G1" s="5" t="s">
        <v>5</v>
      </c>
      <c r="H1" s="5" t="s">
        <v>6</v>
      </c>
      <c r="I1" s="5" t="s">
        <v>7</v>
      </c>
      <c r="J1" s="15" t="s">
        <v>8</v>
      </c>
      <c r="K1" s="5" t="s">
        <v>9</v>
      </c>
      <c r="L1" s="5" t="s">
        <v>10</v>
      </c>
      <c r="M1" s="49" t="s">
        <v>11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1"/>
      <c r="Z1" s="19" t="s">
        <v>12</v>
      </c>
      <c r="AA1" s="15" t="s">
        <v>13</v>
      </c>
      <c r="AB1" s="15" t="s">
        <v>14</v>
      </c>
      <c r="AC1" s="15" t="s">
        <v>15</v>
      </c>
      <c r="AD1" s="15" t="s">
        <v>16</v>
      </c>
      <c r="AE1" s="15" t="s">
        <v>17</v>
      </c>
      <c r="AF1" s="15" t="s">
        <v>18</v>
      </c>
      <c r="AG1" s="19" t="s">
        <v>19</v>
      </c>
      <c r="AH1" s="15" t="s">
        <v>20</v>
      </c>
      <c r="AI1" s="15" t="s">
        <v>21</v>
      </c>
      <c r="AJ1" s="15" t="s">
        <v>22</v>
      </c>
      <c r="AK1" s="19" t="s">
        <v>23</v>
      </c>
      <c r="AL1" s="15" t="s">
        <v>24</v>
      </c>
      <c r="AM1" s="15" t="s">
        <v>25</v>
      </c>
      <c r="AN1" s="15" t="s">
        <v>26</v>
      </c>
      <c r="AO1" s="15" t="s">
        <v>27</v>
      </c>
      <c r="AP1" s="15" t="s">
        <v>28</v>
      </c>
      <c r="AQ1" s="15" t="s">
        <v>29</v>
      </c>
      <c r="AR1" s="15" t="s">
        <v>30</v>
      </c>
      <c r="AS1" s="15" t="s">
        <v>31</v>
      </c>
      <c r="AT1" s="15" t="s">
        <v>32</v>
      </c>
      <c r="AU1" s="19" t="s">
        <v>33</v>
      </c>
      <c r="AV1" s="19" t="s">
        <v>34</v>
      </c>
      <c r="AW1" s="26" t="s">
        <v>35</v>
      </c>
      <c r="AX1" s="32" t="s">
        <v>178</v>
      </c>
      <c r="AY1" s="27" t="s">
        <v>177</v>
      </c>
      <c r="AZ1" s="27" t="s">
        <v>186</v>
      </c>
      <c r="BA1" s="28" t="s">
        <v>36</v>
      </c>
      <c r="BB1" s="26" t="s">
        <v>37</v>
      </c>
      <c r="BC1" s="29" t="s">
        <v>38</v>
      </c>
      <c r="BD1" s="26" t="s">
        <v>39</v>
      </c>
      <c r="BE1" s="26" t="s">
        <v>40</v>
      </c>
      <c r="BF1" s="29" t="s">
        <v>182</v>
      </c>
    </row>
    <row r="2" spans="1:58" s="2" customFormat="1" ht="40.799999999999997" x14ac:dyDescent="0.25">
      <c r="A2" s="8" t="s">
        <v>41</v>
      </c>
      <c r="B2" s="9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16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183</v>
      </c>
      <c r="P2" s="8" t="s">
        <v>184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174</v>
      </c>
      <c r="V2" s="8" t="s">
        <v>59</v>
      </c>
      <c r="W2" s="8" t="s">
        <v>60</v>
      </c>
      <c r="X2" s="8" t="s">
        <v>61</v>
      </c>
      <c r="Y2" s="8" t="s">
        <v>62</v>
      </c>
      <c r="Z2" s="20" t="s">
        <v>63</v>
      </c>
      <c r="AA2" s="16" t="s">
        <v>64</v>
      </c>
      <c r="AB2" s="16" t="s">
        <v>65</v>
      </c>
      <c r="AC2" s="16" t="s">
        <v>66</v>
      </c>
      <c r="AD2" s="16" t="s">
        <v>67</v>
      </c>
      <c r="AE2" s="16" t="s">
        <v>68</v>
      </c>
      <c r="AF2" s="16" t="s">
        <v>69</v>
      </c>
      <c r="AG2" s="20" t="s">
        <v>70</v>
      </c>
      <c r="AH2" s="16" t="s">
        <v>71</v>
      </c>
      <c r="AI2" s="16" t="s">
        <v>72</v>
      </c>
      <c r="AJ2" s="16" t="s">
        <v>73</v>
      </c>
      <c r="AK2" s="20" t="s">
        <v>74</v>
      </c>
      <c r="AL2" s="16" t="s">
        <v>64</v>
      </c>
      <c r="AM2" s="16" t="s">
        <v>68</v>
      </c>
      <c r="AN2" s="16" t="s">
        <v>75</v>
      </c>
      <c r="AO2" s="16" t="s">
        <v>76</v>
      </c>
      <c r="AP2" s="16" t="s">
        <v>77</v>
      </c>
      <c r="AQ2" s="16" t="s">
        <v>78</v>
      </c>
      <c r="AR2" s="16" t="s">
        <v>79</v>
      </c>
      <c r="AS2" s="16" t="s">
        <v>80</v>
      </c>
      <c r="AT2" s="16" t="s">
        <v>81</v>
      </c>
      <c r="AU2" s="20" t="s">
        <v>82</v>
      </c>
      <c r="AV2" s="20" t="s">
        <v>83</v>
      </c>
      <c r="AW2" s="20" t="s">
        <v>84</v>
      </c>
      <c r="AX2" s="32"/>
      <c r="AY2" s="30"/>
      <c r="AZ2" s="30"/>
      <c r="BA2" s="31" t="s">
        <v>85</v>
      </c>
      <c r="BB2" s="26" t="s">
        <v>86</v>
      </c>
      <c r="BC2" s="29" t="s">
        <v>87</v>
      </c>
      <c r="BD2" s="26" t="s">
        <v>88</v>
      </c>
      <c r="BE2" s="26" t="s">
        <v>89</v>
      </c>
      <c r="BF2" s="29"/>
    </row>
    <row r="3" spans="1:58" s="3" customFormat="1" ht="15" customHeight="1" x14ac:dyDescent="0.25">
      <c r="A3" s="10">
        <f>ROW()-2</f>
        <v>1</v>
      </c>
      <c r="B3" s="11">
        <v>2502</v>
      </c>
      <c r="C3" s="11" t="s">
        <v>90</v>
      </c>
      <c r="D3" s="10" t="s">
        <v>91</v>
      </c>
      <c r="E3" s="12" t="s">
        <v>92</v>
      </c>
      <c r="F3" s="13">
        <v>45444</v>
      </c>
      <c r="G3" s="13">
        <v>45808</v>
      </c>
      <c r="H3" s="10"/>
      <c r="I3" s="17" t="s">
        <v>93</v>
      </c>
      <c r="J3" s="18">
        <v>1300</v>
      </c>
      <c r="K3" s="18">
        <f>4371.2-U3</f>
        <v>4371.2</v>
      </c>
      <c r="L3" s="18">
        <v>839.64</v>
      </c>
      <c r="M3" s="18"/>
      <c r="N3" s="18"/>
      <c r="O3" s="18"/>
      <c r="P3" s="18"/>
      <c r="Q3" s="18"/>
      <c r="R3" s="18">
        <v>630</v>
      </c>
      <c r="S3" s="18"/>
      <c r="T3" s="18"/>
      <c r="U3" s="18"/>
      <c r="V3" s="18"/>
      <c r="W3" s="18"/>
      <c r="X3" s="18" t="str">
        <f>IF((SUM(J3:L3,U3,R3)-AG3)&lt;3325,3325-(SUM(J3:L3,R3,U3)-AG3),"")</f>
        <v/>
      </c>
      <c r="Y3" s="18"/>
      <c r="Z3" s="21">
        <f>SUM(J3:Y3)</f>
        <v>7140.84</v>
      </c>
      <c r="AA3" s="22">
        <v>8707</v>
      </c>
      <c r="AB3" s="23">
        <v>696.56</v>
      </c>
      <c r="AC3" s="23">
        <v>174.14</v>
      </c>
      <c r="AD3" s="23">
        <v>43.54</v>
      </c>
      <c r="AE3" s="22">
        <v>8707</v>
      </c>
      <c r="AF3" s="22">
        <f t="shared" ref="AF3:AF19" si="0">ROUND(AE3*7%,0)</f>
        <v>609</v>
      </c>
      <c r="AG3" s="21">
        <f t="shared" ref="AG3:AG28" si="1">AB3+AC3+AD3+AF3</f>
        <v>1523.2399999999998</v>
      </c>
      <c r="AH3" s="25"/>
      <c r="AI3" s="25"/>
      <c r="AJ3" s="25"/>
      <c r="AK3" s="21">
        <f>Z3-AG3-AH3-AJ3</f>
        <v>5617.6</v>
      </c>
      <c r="AL3" s="22">
        <v>8707</v>
      </c>
      <c r="AM3" s="22">
        <v>8707</v>
      </c>
      <c r="AN3" s="22">
        <f t="shared" ref="AN3:AN19" si="2">ROUND(AL3*16%,2)</f>
        <v>1393.12</v>
      </c>
      <c r="AO3" s="22">
        <v>783.64</v>
      </c>
      <c r="AP3" s="22">
        <f t="shared" ref="AP3:AP28" si="3">ROUND(AL3*0.5%,2)</f>
        <v>43.54</v>
      </c>
      <c r="AQ3" s="22">
        <v>17.41</v>
      </c>
      <c r="AR3" s="22"/>
      <c r="AS3" s="22">
        <f t="shared" ref="AS3:AS28" si="4">ROUND(AM3*7%,0)</f>
        <v>609</v>
      </c>
      <c r="AT3" s="22">
        <f t="shared" ref="AT3:AT28" si="5">ROUND(IF(AL3&lt;24366,AL3*1.5%,24366*1.5%),2)</f>
        <v>130.61000000000001</v>
      </c>
      <c r="AU3" s="21">
        <f t="shared" ref="AU3:AU29" si="6">SUM(AN3:AT3)</f>
        <v>2977.3199999999997</v>
      </c>
      <c r="AV3" s="21">
        <f>VLOOKUP(D3,[1]Sheet1!$F:$Q,12,0)</f>
        <v>130</v>
      </c>
      <c r="AW3" s="21">
        <f t="shared" ref="AW3:AW28" si="7">AU3+Z3+AI3-AJ3+AV3</f>
        <v>10248.16</v>
      </c>
      <c r="AX3" s="32"/>
      <c r="AY3" s="45">
        <v>-4.879999999999999</v>
      </c>
      <c r="AZ3" s="45"/>
      <c r="BA3" s="47" t="s">
        <v>179</v>
      </c>
      <c r="BB3" s="21">
        <v>255</v>
      </c>
      <c r="BC3" s="34">
        <f>ROUND(AW3+BB3+AX3+AY3+AZ3,2)</f>
        <v>10498.28</v>
      </c>
      <c r="BD3" s="21">
        <f>ROUND(BC3*6%,2)</f>
        <v>629.9</v>
      </c>
      <c r="BE3" s="21">
        <f>ROUND(SUM(BC3:BD3),2)</f>
        <v>11128.18</v>
      </c>
      <c r="BF3" s="46" t="str">
        <f t="shared" ref="BF3:BF29" si="8">IF((AK3-P3-Q3-R3-S3-T3-V3-W3)&lt;2690,2690-(AK3-P3-Q3-R3-S3-T3-U3-W3),"")</f>
        <v/>
      </c>
    </row>
    <row r="4" spans="1:58" s="3" customFormat="1" ht="15" customHeight="1" x14ac:dyDescent="0.25">
      <c r="A4" s="10">
        <f t="shared" ref="A4:A30" si="9">ROW()-2</f>
        <v>2</v>
      </c>
      <c r="B4" s="11">
        <v>2502</v>
      </c>
      <c r="C4" s="11" t="s">
        <v>94</v>
      </c>
      <c r="D4" s="10" t="s">
        <v>95</v>
      </c>
      <c r="E4" s="12" t="s">
        <v>96</v>
      </c>
      <c r="F4" s="13">
        <v>45444</v>
      </c>
      <c r="G4" s="13">
        <v>45808</v>
      </c>
      <c r="H4" s="10"/>
      <c r="I4" s="17" t="s">
        <v>93</v>
      </c>
      <c r="J4" s="18">
        <v>1030</v>
      </c>
      <c r="K4" s="18">
        <f>974.4</f>
        <v>974.4</v>
      </c>
      <c r="L4" s="18">
        <v>369.54</v>
      </c>
      <c r="M4" s="18"/>
      <c r="N4" s="18"/>
      <c r="O4" s="18"/>
      <c r="P4" s="18"/>
      <c r="Q4" s="18"/>
      <c r="R4" s="18">
        <v>630</v>
      </c>
      <c r="S4" s="18"/>
      <c r="T4" s="18"/>
      <c r="U4" s="18"/>
      <c r="V4" s="18"/>
      <c r="W4" s="18"/>
      <c r="X4" s="18">
        <f>IF((SUM(J4:L4,R4)-AG4)&lt;3325,3325-(SUM(J4:L4,R4)-AG4),"")</f>
        <v>1876.3</v>
      </c>
      <c r="Y4" s="18"/>
      <c r="Z4" s="21">
        <f t="shared" ref="Z4:Z29" si="10">SUM(J4:Y4)</f>
        <v>4880.24</v>
      </c>
      <c r="AA4" s="22">
        <v>8888</v>
      </c>
      <c r="AB4" s="23">
        <v>711.04</v>
      </c>
      <c r="AC4" s="23">
        <v>177.76</v>
      </c>
      <c r="AD4" s="23">
        <v>44.44</v>
      </c>
      <c r="AE4" s="22">
        <v>8888</v>
      </c>
      <c r="AF4" s="22">
        <f t="shared" si="0"/>
        <v>622</v>
      </c>
      <c r="AG4" s="21">
        <f t="shared" si="1"/>
        <v>1555.24</v>
      </c>
      <c r="AH4" s="25"/>
      <c r="AI4" s="25"/>
      <c r="AJ4" s="25"/>
      <c r="AK4" s="21">
        <f t="shared" ref="AK4:AK30" si="11">Z4-AG4-AH4-AJ4</f>
        <v>3325</v>
      </c>
      <c r="AL4" s="22">
        <v>8888</v>
      </c>
      <c r="AM4" s="22">
        <v>8888</v>
      </c>
      <c r="AN4" s="22">
        <f t="shared" si="2"/>
        <v>1422.08</v>
      </c>
      <c r="AO4" s="22">
        <f t="shared" ref="AO4:AO28" si="12">ROUND(AL4*9%,2)</f>
        <v>799.92</v>
      </c>
      <c r="AP4" s="22">
        <f t="shared" si="3"/>
        <v>44.44</v>
      </c>
      <c r="AQ4" s="22">
        <v>17.78</v>
      </c>
      <c r="AR4" s="22"/>
      <c r="AS4" s="22">
        <f t="shared" si="4"/>
        <v>622</v>
      </c>
      <c r="AT4" s="22">
        <f t="shared" si="5"/>
        <v>133.32</v>
      </c>
      <c r="AU4" s="21">
        <f t="shared" si="6"/>
        <v>3039.5400000000004</v>
      </c>
      <c r="AV4" s="21">
        <f>VLOOKUP(D4,[1]Sheet1!$F:$Q,12,0)</f>
        <v>85</v>
      </c>
      <c r="AW4" s="21">
        <f t="shared" si="7"/>
        <v>8004.7800000000007</v>
      </c>
      <c r="AX4" s="32">
        <f>5</f>
        <v>5</v>
      </c>
      <c r="AY4" s="45">
        <v>-4.9699999999999989</v>
      </c>
      <c r="AZ4" s="48">
        <f>5</f>
        <v>5</v>
      </c>
      <c r="BA4" s="33" t="s">
        <v>187</v>
      </c>
      <c r="BB4" s="21">
        <v>255</v>
      </c>
      <c r="BC4" s="34">
        <f t="shared" ref="BC4:BC30" si="13">ROUND(AW4+BB4+AX4+AY4+AZ4,2)</f>
        <v>8264.81</v>
      </c>
      <c r="BD4" s="21">
        <f t="shared" ref="BD4:BD28" si="14">ROUND(BC4*6%,2)</f>
        <v>495.89</v>
      </c>
      <c r="BE4" s="21">
        <f t="shared" ref="BE4:BE29" si="15">ROUND(SUM(BC4:BD4),2)</f>
        <v>8760.7000000000007</v>
      </c>
      <c r="BF4" s="46" t="str">
        <f t="shared" si="8"/>
        <v/>
      </c>
    </row>
    <row r="5" spans="1:58" s="3" customFormat="1" ht="15" customHeight="1" x14ac:dyDescent="0.25">
      <c r="A5" s="10">
        <f t="shared" si="9"/>
        <v>3</v>
      </c>
      <c r="B5" s="11">
        <v>2502</v>
      </c>
      <c r="C5" s="11" t="s">
        <v>97</v>
      </c>
      <c r="D5" s="10" t="s">
        <v>98</v>
      </c>
      <c r="E5" s="12" t="s">
        <v>99</v>
      </c>
      <c r="F5" s="13">
        <v>45444</v>
      </c>
      <c r="G5" s="13">
        <v>45808</v>
      </c>
      <c r="H5" s="10"/>
      <c r="I5" s="17" t="s">
        <v>93</v>
      </c>
      <c r="J5" s="18">
        <v>1030</v>
      </c>
      <c r="K5" s="18">
        <v>2779.84</v>
      </c>
      <c r="L5" s="18">
        <v>1244.8599999999999</v>
      </c>
      <c r="M5" s="18"/>
      <c r="N5" s="18"/>
      <c r="O5" s="18"/>
      <c r="P5" s="18"/>
      <c r="Q5" s="18"/>
      <c r="R5" s="18">
        <v>630</v>
      </c>
      <c r="S5" s="18"/>
      <c r="T5" s="18"/>
      <c r="U5" s="18"/>
      <c r="V5" s="18"/>
      <c r="W5" s="18"/>
      <c r="X5" s="18" t="str">
        <f t="shared" ref="X5:X29" si="16">IF((SUM(J5:L5,R5)-AG5)&lt;3325,3325-(SUM(J5:L5,R5)-AG5),"")</f>
        <v/>
      </c>
      <c r="Y5" s="18"/>
      <c r="Z5" s="21">
        <f t="shared" si="10"/>
        <v>5684.7</v>
      </c>
      <c r="AA5" s="22">
        <v>9226</v>
      </c>
      <c r="AB5" s="23">
        <v>738.08</v>
      </c>
      <c r="AC5" s="23">
        <v>184.52</v>
      </c>
      <c r="AD5" s="23">
        <v>46.13</v>
      </c>
      <c r="AE5" s="22">
        <v>9226</v>
      </c>
      <c r="AF5" s="22">
        <f t="shared" si="0"/>
        <v>646</v>
      </c>
      <c r="AG5" s="21">
        <f t="shared" si="1"/>
        <v>1614.73</v>
      </c>
      <c r="AH5" s="25"/>
      <c r="AI5" s="25"/>
      <c r="AJ5" s="25"/>
      <c r="AK5" s="21">
        <f t="shared" si="11"/>
        <v>4069.97</v>
      </c>
      <c r="AL5" s="22">
        <v>9226</v>
      </c>
      <c r="AM5" s="22">
        <v>9226</v>
      </c>
      <c r="AN5" s="22">
        <f t="shared" si="2"/>
        <v>1476.16</v>
      </c>
      <c r="AO5" s="22">
        <f t="shared" si="12"/>
        <v>830.34</v>
      </c>
      <c r="AP5" s="22">
        <f t="shared" si="3"/>
        <v>46.13</v>
      </c>
      <c r="AQ5" s="22">
        <v>18.45</v>
      </c>
      <c r="AR5" s="22"/>
      <c r="AS5" s="22">
        <f t="shared" si="4"/>
        <v>646</v>
      </c>
      <c r="AT5" s="22">
        <f t="shared" si="5"/>
        <v>138.38999999999999</v>
      </c>
      <c r="AU5" s="21">
        <f t="shared" si="6"/>
        <v>3155.47</v>
      </c>
      <c r="AV5" s="21">
        <f>VLOOKUP(D5,[1]Sheet1!$F:$Q,12,0)</f>
        <v>101</v>
      </c>
      <c r="AW5" s="21">
        <f t="shared" si="7"/>
        <v>8941.17</v>
      </c>
      <c r="AX5" s="32"/>
      <c r="AY5" s="45">
        <v>-5.1700000000000017</v>
      </c>
      <c r="AZ5" s="45"/>
      <c r="BA5" s="47" t="s">
        <v>179</v>
      </c>
      <c r="BB5" s="21">
        <v>255</v>
      </c>
      <c r="BC5" s="34">
        <f t="shared" si="13"/>
        <v>9191</v>
      </c>
      <c r="BD5" s="21">
        <f t="shared" si="14"/>
        <v>551.46</v>
      </c>
      <c r="BE5" s="21">
        <f t="shared" si="15"/>
        <v>9742.4599999999991</v>
      </c>
      <c r="BF5" s="46" t="str">
        <f t="shared" si="8"/>
        <v/>
      </c>
    </row>
    <row r="6" spans="1:58" s="3" customFormat="1" ht="15" customHeight="1" x14ac:dyDescent="0.25">
      <c r="A6" s="10">
        <f t="shared" si="9"/>
        <v>4</v>
      </c>
      <c r="B6" s="11">
        <v>2502</v>
      </c>
      <c r="C6" s="11" t="s">
        <v>100</v>
      </c>
      <c r="D6" s="10" t="s">
        <v>101</v>
      </c>
      <c r="E6" s="12" t="s">
        <v>102</v>
      </c>
      <c r="F6" s="13">
        <v>45444</v>
      </c>
      <c r="G6" s="13">
        <v>45808</v>
      </c>
      <c r="H6" s="10"/>
      <c r="I6" s="17" t="s">
        <v>93</v>
      </c>
      <c r="J6" s="18">
        <v>1030</v>
      </c>
      <c r="K6" s="18">
        <v>2464.8000000000002</v>
      </c>
      <c r="L6" s="18">
        <v>1514.04</v>
      </c>
      <c r="M6" s="18"/>
      <c r="N6" s="18"/>
      <c r="O6" s="18"/>
      <c r="P6" s="18"/>
      <c r="Q6" s="18"/>
      <c r="R6" s="18">
        <v>630</v>
      </c>
      <c r="S6" s="18"/>
      <c r="T6" s="18"/>
      <c r="U6" s="18"/>
      <c r="V6" s="18"/>
      <c r="W6" s="18"/>
      <c r="X6" s="18" t="str">
        <f t="shared" si="16"/>
        <v/>
      </c>
      <c r="Y6" s="18"/>
      <c r="Z6" s="21">
        <f t="shared" si="10"/>
        <v>5638.84</v>
      </c>
      <c r="AA6" s="22">
        <v>10979</v>
      </c>
      <c r="AB6" s="23">
        <v>878.32</v>
      </c>
      <c r="AC6" s="23">
        <v>219.58</v>
      </c>
      <c r="AD6" s="23">
        <v>54.9</v>
      </c>
      <c r="AE6" s="22">
        <v>10979</v>
      </c>
      <c r="AF6" s="22">
        <f t="shared" si="0"/>
        <v>769</v>
      </c>
      <c r="AG6" s="21">
        <f t="shared" si="1"/>
        <v>1921.8000000000002</v>
      </c>
      <c r="AH6" s="25"/>
      <c r="AI6" s="25"/>
      <c r="AJ6" s="25"/>
      <c r="AK6" s="21">
        <f t="shared" si="11"/>
        <v>3717.04</v>
      </c>
      <c r="AL6" s="22">
        <v>10979</v>
      </c>
      <c r="AM6" s="22">
        <v>10979</v>
      </c>
      <c r="AN6" s="22">
        <f t="shared" si="2"/>
        <v>1756.64</v>
      </c>
      <c r="AO6" s="22">
        <v>988.12</v>
      </c>
      <c r="AP6" s="22">
        <f t="shared" si="3"/>
        <v>54.9</v>
      </c>
      <c r="AQ6" s="22">
        <v>21.96</v>
      </c>
      <c r="AR6" s="22"/>
      <c r="AS6" s="22">
        <f t="shared" si="4"/>
        <v>769</v>
      </c>
      <c r="AT6" s="22">
        <f t="shared" si="5"/>
        <v>164.69</v>
      </c>
      <c r="AU6" s="21">
        <f t="shared" si="6"/>
        <v>3755.3100000000004</v>
      </c>
      <c r="AV6" s="21">
        <f>VLOOKUP(D6,[1]Sheet1!$F:$Q,12,0)</f>
        <v>100</v>
      </c>
      <c r="AW6" s="21">
        <f t="shared" si="7"/>
        <v>9494.1500000000015</v>
      </c>
      <c r="AX6" s="32"/>
      <c r="AY6" s="45">
        <v>-6.1499999999999986</v>
      </c>
      <c r="AZ6" s="45"/>
      <c r="BA6" s="47" t="s">
        <v>179</v>
      </c>
      <c r="BB6" s="21">
        <v>255</v>
      </c>
      <c r="BC6" s="34">
        <f t="shared" si="13"/>
        <v>9743</v>
      </c>
      <c r="BD6" s="21">
        <f t="shared" si="14"/>
        <v>584.58000000000004</v>
      </c>
      <c r="BE6" s="21">
        <f t="shared" si="15"/>
        <v>10327.58</v>
      </c>
      <c r="BF6" s="46" t="str">
        <f t="shared" si="8"/>
        <v/>
      </c>
    </row>
    <row r="7" spans="1:58" s="3" customFormat="1" ht="15" customHeight="1" x14ac:dyDescent="0.25">
      <c r="A7" s="10">
        <f t="shared" si="9"/>
        <v>5</v>
      </c>
      <c r="B7" s="11">
        <v>2502</v>
      </c>
      <c r="C7" s="11" t="s">
        <v>103</v>
      </c>
      <c r="D7" s="10" t="s">
        <v>104</v>
      </c>
      <c r="E7" s="12" t="s">
        <v>105</v>
      </c>
      <c r="F7" s="13">
        <v>45444</v>
      </c>
      <c r="G7" s="13">
        <v>45808</v>
      </c>
      <c r="H7" s="10"/>
      <c r="I7" s="17" t="s">
        <v>93</v>
      </c>
      <c r="J7" s="18">
        <v>1030</v>
      </c>
      <c r="K7" s="18">
        <f>3143-371</f>
        <v>2772</v>
      </c>
      <c r="L7" s="18">
        <v>2156</v>
      </c>
      <c r="M7" s="18"/>
      <c r="N7" s="18"/>
      <c r="O7" s="18"/>
      <c r="P7" s="18"/>
      <c r="Q7" s="18"/>
      <c r="R7" s="18">
        <v>630</v>
      </c>
      <c r="S7" s="18"/>
      <c r="T7" s="18"/>
      <c r="U7" s="18">
        <v>371</v>
      </c>
      <c r="V7" s="18"/>
      <c r="W7" s="18"/>
      <c r="X7" s="18" t="str">
        <f t="shared" si="16"/>
        <v/>
      </c>
      <c r="Y7" s="18"/>
      <c r="Z7" s="21">
        <f t="shared" si="10"/>
        <v>6959</v>
      </c>
      <c r="AA7" s="22">
        <v>16443</v>
      </c>
      <c r="AB7" s="23">
        <v>1315.44</v>
      </c>
      <c r="AC7" s="23">
        <v>328.86</v>
      </c>
      <c r="AD7" s="23">
        <v>82.22</v>
      </c>
      <c r="AE7" s="22">
        <v>16443</v>
      </c>
      <c r="AF7" s="22">
        <f t="shared" si="0"/>
        <v>1151</v>
      </c>
      <c r="AG7" s="21">
        <f t="shared" si="1"/>
        <v>2877.5200000000004</v>
      </c>
      <c r="AH7" s="25"/>
      <c r="AI7" s="25"/>
      <c r="AJ7" s="25"/>
      <c r="AK7" s="21">
        <f t="shared" si="11"/>
        <v>4081.4799999999996</v>
      </c>
      <c r="AL7" s="22">
        <v>16443</v>
      </c>
      <c r="AM7" s="22">
        <v>16443</v>
      </c>
      <c r="AN7" s="22">
        <f t="shared" si="2"/>
        <v>2630.88</v>
      </c>
      <c r="AO7" s="22">
        <v>1479.88</v>
      </c>
      <c r="AP7" s="22">
        <f t="shared" si="3"/>
        <v>82.22</v>
      </c>
      <c r="AQ7" s="22">
        <v>32.89</v>
      </c>
      <c r="AR7" s="22"/>
      <c r="AS7" s="22">
        <f t="shared" si="4"/>
        <v>1151</v>
      </c>
      <c r="AT7" s="22">
        <f t="shared" si="5"/>
        <v>246.65</v>
      </c>
      <c r="AU7" s="21">
        <f t="shared" si="6"/>
        <v>5623.52</v>
      </c>
      <c r="AV7" s="21">
        <f>VLOOKUP(D7,[1]Sheet1!$F:$Q,12,0)</f>
        <v>127</v>
      </c>
      <c r="AW7" s="21">
        <f t="shared" si="7"/>
        <v>12709.52</v>
      </c>
      <c r="AX7" s="32"/>
      <c r="AY7" s="45">
        <v>-9.2000000000000028</v>
      </c>
      <c r="AZ7" s="45"/>
      <c r="BA7" s="47" t="s">
        <v>179</v>
      </c>
      <c r="BB7" s="21">
        <v>255</v>
      </c>
      <c r="BC7" s="34">
        <f t="shared" si="13"/>
        <v>12955.32</v>
      </c>
      <c r="BD7" s="21">
        <f t="shared" si="14"/>
        <v>777.32</v>
      </c>
      <c r="BE7" s="21">
        <f t="shared" si="15"/>
        <v>13732.64</v>
      </c>
      <c r="BF7" s="46" t="str">
        <f t="shared" si="8"/>
        <v/>
      </c>
    </row>
    <row r="8" spans="1:58" s="3" customFormat="1" ht="15" customHeight="1" x14ac:dyDescent="0.25">
      <c r="A8" s="10">
        <f t="shared" si="9"/>
        <v>6</v>
      </c>
      <c r="B8" s="11">
        <v>2502</v>
      </c>
      <c r="C8" s="11" t="s">
        <v>106</v>
      </c>
      <c r="D8" s="10" t="s">
        <v>107</v>
      </c>
      <c r="E8" s="12" t="s">
        <v>108</v>
      </c>
      <c r="F8" s="13">
        <v>45444</v>
      </c>
      <c r="G8" s="13">
        <v>45808</v>
      </c>
      <c r="H8" s="10"/>
      <c r="I8" s="17" t="s">
        <v>93</v>
      </c>
      <c r="J8" s="18">
        <v>1030</v>
      </c>
      <c r="K8" s="18">
        <v>2605.1999999999998</v>
      </c>
      <c r="L8" s="18">
        <v>2033.74</v>
      </c>
      <c r="M8" s="18"/>
      <c r="N8" s="18"/>
      <c r="O8" s="18"/>
      <c r="P8" s="18"/>
      <c r="Q8" s="18"/>
      <c r="R8" s="18">
        <v>630</v>
      </c>
      <c r="S8" s="18"/>
      <c r="T8" s="18"/>
      <c r="U8" s="18"/>
      <c r="V8" s="18"/>
      <c r="W8" s="18"/>
      <c r="X8" s="18" t="str">
        <f t="shared" si="16"/>
        <v/>
      </c>
      <c r="Y8" s="18"/>
      <c r="Z8" s="21">
        <f t="shared" si="10"/>
        <v>6298.94</v>
      </c>
      <c r="AA8" s="22">
        <v>8261</v>
      </c>
      <c r="AB8" s="23">
        <v>660.88</v>
      </c>
      <c r="AC8" s="23">
        <v>165.22</v>
      </c>
      <c r="AD8" s="23">
        <v>41.31</v>
      </c>
      <c r="AE8" s="22">
        <v>8261</v>
      </c>
      <c r="AF8" s="22">
        <f t="shared" si="0"/>
        <v>578</v>
      </c>
      <c r="AG8" s="21">
        <f t="shared" si="1"/>
        <v>1445.41</v>
      </c>
      <c r="AH8" s="25"/>
      <c r="AI8" s="25"/>
      <c r="AJ8" s="25"/>
      <c r="AK8" s="21">
        <f t="shared" si="11"/>
        <v>4853.53</v>
      </c>
      <c r="AL8" s="22">
        <v>8261</v>
      </c>
      <c r="AM8" s="22">
        <v>8261</v>
      </c>
      <c r="AN8" s="22">
        <f t="shared" si="2"/>
        <v>1321.76</v>
      </c>
      <c r="AO8" s="22">
        <v>743.5</v>
      </c>
      <c r="AP8" s="22">
        <f t="shared" si="3"/>
        <v>41.31</v>
      </c>
      <c r="AQ8" s="22">
        <v>16.52</v>
      </c>
      <c r="AR8" s="22"/>
      <c r="AS8" s="22">
        <f t="shared" si="4"/>
        <v>578</v>
      </c>
      <c r="AT8" s="22">
        <f t="shared" si="5"/>
        <v>123.92</v>
      </c>
      <c r="AU8" s="21">
        <f t="shared" si="6"/>
        <v>2825.01</v>
      </c>
      <c r="AV8" s="21">
        <f>VLOOKUP(D8,[1]Sheet1!$F:$Q,12,0)</f>
        <v>113</v>
      </c>
      <c r="AW8" s="21">
        <f t="shared" si="7"/>
        <v>9236.9500000000007</v>
      </c>
      <c r="AX8" s="32"/>
      <c r="AY8" s="45">
        <v>-4.629999999999999</v>
      </c>
      <c r="AZ8" s="45"/>
      <c r="BA8" s="47" t="s">
        <v>179</v>
      </c>
      <c r="BB8" s="21">
        <v>255</v>
      </c>
      <c r="BC8" s="34">
        <f t="shared" si="13"/>
        <v>9487.32</v>
      </c>
      <c r="BD8" s="21">
        <f t="shared" si="14"/>
        <v>569.24</v>
      </c>
      <c r="BE8" s="21">
        <f t="shared" si="15"/>
        <v>10056.56</v>
      </c>
      <c r="BF8" s="46" t="str">
        <f t="shared" si="8"/>
        <v/>
      </c>
    </row>
    <row r="9" spans="1:58" s="3" customFormat="1" ht="15" customHeight="1" x14ac:dyDescent="0.25">
      <c r="A9" s="10">
        <f t="shared" si="9"/>
        <v>7</v>
      </c>
      <c r="B9" s="11">
        <v>2502</v>
      </c>
      <c r="C9" s="11" t="s">
        <v>109</v>
      </c>
      <c r="D9" s="10" t="s">
        <v>110</v>
      </c>
      <c r="E9" s="12" t="s">
        <v>111</v>
      </c>
      <c r="F9" s="13">
        <v>45444</v>
      </c>
      <c r="G9" s="13">
        <v>45808</v>
      </c>
      <c r="H9" s="10"/>
      <c r="I9" s="17" t="s">
        <v>93</v>
      </c>
      <c r="J9" s="18">
        <v>1030</v>
      </c>
      <c r="K9" s="18">
        <f>1555.4-U9</f>
        <v>1184.4000000000001</v>
      </c>
      <c r="L9" s="18">
        <v>392.1</v>
      </c>
      <c r="M9" s="18"/>
      <c r="N9" s="18"/>
      <c r="O9" s="18"/>
      <c r="P9" s="18"/>
      <c r="Q9" s="18"/>
      <c r="R9" s="18">
        <v>630</v>
      </c>
      <c r="S9" s="18"/>
      <c r="T9" s="18"/>
      <c r="U9" s="18">
        <v>371</v>
      </c>
      <c r="V9" s="18"/>
      <c r="W9" s="18"/>
      <c r="X9" s="18">
        <f>IF((SUM(J9:L9,R9)-AG9)&lt;3325,3325-(SUM(J9:L9,R9)-AG9),"")</f>
        <v>1191.8200000000002</v>
      </c>
      <c r="Y9" s="18"/>
      <c r="Z9" s="21">
        <f t="shared" si="10"/>
        <v>4799.32</v>
      </c>
      <c r="AA9" s="22">
        <v>7384</v>
      </c>
      <c r="AB9" s="23">
        <v>590.72</v>
      </c>
      <c r="AC9" s="23">
        <v>147.68</v>
      </c>
      <c r="AD9" s="23">
        <v>36.92</v>
      </c>
      <c r="AE9" s="22">
        <v>4686</v>
      </c>
      <c r="AF9" s="22">
        <f t="shared" si="0"/>
        <v>328</v>
      </c>
      <c r="AG9" s="21">
        <f t="shared" si="1"/>
        <v>1103.3200000000002</v>
      </c>
      <c r="AH9" s="25"/>
      <c r="AI9" s="25"/>
      <c r="AJ9" s="25"/>
      <c r="AK9" s="21">
        <f t="shared" si="11"/>
        <v>3695.9999999999995</v>
      </c>
      <c r="AL9" s="22">
        <v>7384</v>
      </c>
      <c r="AM9" s="22">
        <v>4686</v>
      </c>
      <c r="AN9" s="22">
        <f t="shared" si="2"/>
        <v>1181.44</v>
      </c>
      <c r="AO9" s="22">
        <f t="shared" si="12"/>
        <v>664.56</v>
      </c>
      <c r="AP9" s="22">
        <f t="shared" si="3"/>
        <v>36.92</v>
      </c>
      <c r="AQ9" s="22">
        <v>14.77</v>
      </c>
      <c r="AR9" s="22"/>
      <c r="AS9" s="22">
        <f t="shared" si="4"/>
        <v>328</v>
      </c>
      <c r="AT9" s="22">
        <f t="shared" si="5"/>
        <v>110.76</v>
      </c>
      <c r="AU9" s="21">
        <f t="shared" si="6"/>
        <v>2336.4500000000003</v>
      </c>
      <c r="AV9" s="21">
        <f>VLOOKUP(D9,[1]Sheet1!$F:$Q,12,0)</f>
        <v>83</v>
      </c>
      <c r="AW9" s="21">
        <f t="shared" si="7"/>
        <v>7218.77</v>
      </c>
      <c r="AX9" s="32">
        <f>5</f>
        <v>5</v>
      </c>
      <c r="AY9" s="45">
        <v>-4.129999999999999</v>
      </c>
      <c r="AZ9" s="48">
        <f>5</f>
        <v>5</v>
      </c>
      <c r="BA9" s="33" t="s">
        <v>188</v>
      </c>
      <c r="BB9" s="21">
        <v>255</v>
      </c>
      <c r="BC9" s="34">
        <f t="shared" si="13"/>
        <v>7479.64</v>
      </c>
      <c r="BD9" s="21">
        <f t="shared" si="14"/>
        <v>448.78</v>
      </c>
      <c r="BE9" s="21">
        <f t="shared" si="15"/>
        <v>7928.42</v>
      </c>
      <c r="BF9" s="46" t="str">
        <f t="shared" si="8"/>
        <v/>
      </c>
    </row>
    <row r="10" spans="1:58" s="3" customFormat="1" ht="15" customHeight="1" x14ac:dyDescent="0.25">
      <c r="A10" s="10">
        <f t="shared" si="9"/>
        <v>8</v>
      </c>
      <c r="B10" s="11">
        <v>2502</v>
      </c>
      <c r="C10" s="11" t="s">
        <v>112</v>
      </c>
      <c r="D10" s="10" t="s">
        <v>113</v>
      </c>
      <c r="E10" s="12" t="s">
        <v>114</v>
      </c>
      <c r="F10" s="13">
        <v>45444</v>
      </c>
      <c r="G10" s="13">
        <v>45808</v>
      </c>
      <c r="H10" s="10"/>
      <c r="I10" s="17" t="s">
        <v>93</v>
      </c>
      <c r="J10" s="18">
        <v>1300</v>
      </c>
      <c r="K10" s="18">
        <f>5334.2-U10</f>
        <v>4963.2</v>
      </c>
      <c r="L10" s="18">
        <v>1445.9</v>
      </c>
      <c r="M10" s="18"/>
      <c r="N10" s="18"/>
      <c r="O10" s="18"/>
      <c r="P10" s="18"/>
      <c r="Q10" s="18"/>
      <c r="R10" s="18">
        <v>630</v>
      </c>
      <c r="S10" s="18"/>
      <c r="T10" s="18"/>
      <c r="U10" s="18">
        <v>371</v>
      </c>
      <c r="V10" s="18"/>
      <c r="W10" s="18"/>
      <c r="X10" s="18" t="str">
        <f t="shared" si="16"/>
        <v/>
      </c>
      <c r="Y10" s="18"/>
      <c r="Z10" s="21">
        <f t="shared" si="10"/>
        <v>8710.1</v>
      </c>
      <c r="AA10" s="22">
        <v>9424</v>
      </c>
      <c r="AB10" s="23">
        <v>753.92</v>
      </c>
      <c r="AC10" s="23">
        <v>188.48</v>
      </c>
      <c r="AD10" s="23">
        <v>47.12</v>
      </c>
      <c r="AE10" s="22">
        <v>9424</v>
      </c>
      <c r="AF10" s="22">
        <f t="shared" si="0"/>
        <v>660</v>
      </c>
      <c r="AG10" s="21">
        <f t="shared" si="1"/>
        <v>1649.52</v>
      </c>
      <c r="AH10" s="25"/>
      <c r="AI10" s="25"/>
      <c r="AJ10" s="25"/>
      <c r="AK10" s="21">
        <f t="shared" si="11"/>
        <v>7060.58</v>
      </c>
      <c r="AL10" s="22">
        <v>9424</v>
      </c>
      <c r="AM10" s="22">
        <v>9424</v>
      </c>
      <c r="AN10" s="22">
        <f t="shared" si="2"/>
        <v>1507.84</v>
      </c>
      <c r="AO10" s="22">
        <f t="shared" si="12"/>
        <v>848.16</v>
      </c>
      <c r="AP10" s="22">
        <f t="shared" si="3"/>
        <v>47.12</v>
      </c>
      <c r="AQ10" s="22">
        <v>18.850000000000001</v>
      </c>
      <c r="AR10" s="22"/>
      <c r="AS10" s="22">
        <f t="shared" si="4"/>
        <v>660</v>
      </c>
      <c r="AT10" s="22">
        <f t="shared" si="5"/>
        <v>141.36000000000001</v>
      </c>
      <c r="AU10" s="21">
        <f t="shared" si="6"/>
        <v>3223.33</v>
      </c>
      <c r="AV10" s="21">
        <f>VLOOKUP(D10,[1]Sheet1!$F:$Q,12,0)</f>
        <v>162</v>
      </c>
      <c r="AW10" s="21">
        <f t="shared" si="7"/>
        <v>12095.43</v>
      </c>
      <c r="AX10" s="32"/>
      <c r="AY10" s="45">
        <v>-5.2799999999999976</v>
      </c>
      <c r="AZ10" s="45"/>
      <c r="BA10" s="47" t="s">
        <v>180</v>
      </c>
      <c r="BB10" s="21">
        <v>255</v>
      </c>
      <c r="BC10" s="34">
        <f t="shared" si="13"/>
        <v>12345.15</v>
      </c>
      <c r="BD10" s="21">
        <f t="shared" si="14"/>
        <v>740.71</v>
      </c>
      <c r="BE10" s="21">
        <f t="shared" si="15"/>
        <v>13085.86</v>
      </c>
      <c r="BF10" s="46" t="str">
        <f t="shared" si="8"/>
        <v/>
      </c>
    </row>
    <row r="11" spans="1:58" s="3" customFormat="1" ht="15" customHeight="1" x14ac:dyDescent="0.25">
      <c r="A11" s="10">
        <f t="shared" si="9"/>
        <v>9</v>
      </c>
      <c r="B11" s="11">
        <v>2502</v>
      </c>
      <c r="C11" s="11" t="s">
        <v>115</v>
      </c>
      <c r="D11" s="10" t="s">
        <v>116</v>
      </c>
      <c r="E11" s="12" t="s">
        <v>117</v>
      </c>
      <c r="F11" s="13">
        <v>45444</v>
      </c>
      <c r="G11" s="13">
        <v>45808</v>
      </c>
      <c r="H11" s="10"/>
      <c r="I11" s="17" t="s">
        <v>93</v>
      </c>
      <c r="J11" s="18">
        <v>1300</v>
      </c>
      <c r="K11" s="18">
        <f>8754-U12</f>
        <v>8383</v>
      </c>
      <c r="L11" s="18">
        <v>920</v>
      </c>
      <c r="M11" s="18"/>
      <c r="N11" s="18"/>
      <c r="O11" s="18"/>
      <c r="P11" s="18"/>
      <c r="Q11" s="18"/>
      <c r="R11" s="18">
        <v>630</v>
      </c>
      <c r="S11" s="18"/>
      <c r="T11" s="18"/>
      <c r="U11" s="18">
        <v>371</v>
      </c>
      <c r="V11" s="18"/>
      <c r="W11" s="18"/>
      <c r="X11" s="18" t="str">
        <f t="shared" si="16"/>
        <v/>
      </c>
      <c r="Y11" s="18"/>
      <c r="Z11" s="21">
        <f t="shared" si="10"/>
        <v>11604</v>
      </c>
      <c r="AA11" s="22">
        <v>10475</v>
      </c>
      <c r="AB11" s="23">
        <v>838</v>
      </c>
      <c r="AC11" s="23">
        <v>209.5</v>
      </c>
      <c r="AD11" s="23">
        <v>52.38</v>
      </c>
      <c r="AE11" s="22">
        <v>10475</v>
      </c>
      <c r="AF11" s="22">
        <f t="shared" si="0"/>
        <v>733</v>
      </c>
      <c r="AG11" s="21">
        <f t="shared" si="1"/>
        <v>1832.88</v>
      </c>
      <c r="AH11" s="25"/>
      <c r="AI11" s="25"/>
      <c r="AJ11" s="25"/>
      <c r="AK11" s="21">
        <f t="shared" si="11"/>
        <v>9771.119999999999</v>
      </c>
      <c r="AL11" s="22">
        <v>10475</v>
      </c>
      <c r="AM11" s="22">
        <v>10475</v>
      </c>
      <c r="AN11" s="22">
        <f t="shared" si="2"/>
        <v>1676</v>
      </c>
      <c r="AO11" s="22">
        <v>942.76</v>
      </c>
      <c r="AP11" s="22">
        <f t="shared" si="3"/>
        <v>52.38</v>
      </c>
      <c r="AQ11" s="22">
        <v>20.95</v>
      </c>
      <c r="AR11" s="22"/>
      <c r="AS11" s="22">
        <f t="shared" si="4"/>
        <v>733</v>
      </c>
      <c r="AT11" s="22">
        <f t="shared" si="5"/>
        <v>157.13</v>
      </c>
      <c r="AU11" s="21">
        <f t="shared" si="6"/>
        <v>3582.2200000000003</v>
      </c>
      <c r="AV11" s="21">
        <f>VLOOKUP(D11,[1]Sheet1!$F:$Q,12,0)</f>
        <v>219</v>
      </c>
      <c r="AW11" s="21">
        <f t="shared" si="7"/>
        <v>15405.220000000001</v>
      </c>
      <c r="AX11" s="32"/>
      <c r="AY11" s="45">
        <v>-5.870000000000001</v>
      </c>
      <c r="AZ11" s="45"/>
      <c r="BA11" s="47" t="s">
        <v>179</v>
      </c>
      <c r="BB11" s="21">
        <v>255</v>
      </c>
      <c r="BC11" s="34">
        <f t="shared" si="13"/>
        <v>15654.35</v>
      </c>
      <c r="BD11" s="21">
        <f t="shared" si="14"/>
        <v>939.26</v>
      </c>
      <c r="BE11" s="21">
        <f t="shared" si="15"/>
        <v>16593.61</v>
      </c>
      <c r="BF11" s="46" t="str">
        <f t="shared" si="8"/>
        <v/>
      </c>
    </row>
    <row r="12" spans="1:58" s="3" customFormat="1" ht="15" customHeight="1" x14ac:dyDescent="0.25">
      <c r="A12" s="10">
        <f t="shared" si="9"/>
        <v>10</v>
      </c>
      <c r="B12" s="11">
        <v>2502</v>
      </c>
      <c r="C12" s="11" t="s">
        <v>118</v>
      </c>
      <c r="D12" s="10" t="s">
        <v>119</v>
      </c>
      <c r="E12" s="12" t="s">
        <v>120</v>
      </c>
      <c r="F12" s="13">
        <v>45444</v>
      </c>
      <c r="G12" s="13">
        <v>45808</v>
      </c>
      <c r="H12" s="10"/>
      <c r="I12" s="17" t="s">
        <v>93</v>
      </c>
      <c r="J12" s="18">
        <v>1030</v>
      </c>
      <c r="K12" s="18">
        <f>3928-U12</f>
        <v>3557</v>
      </c>
      <c r="L12" s="18">
        <v>2037</v>
      </c>
      <c r="M12" s="18"/>
      <c r="N12" s="18"/>
      <c r="O12" s="18"/>
      <c r="P12" s="18"/>
      <c r="Q12" s="18"/>
      <c r="R12" s="18">
        <v>630</v>
      </c>
      <c r="S12" s="18"/>
      <c r="T12" s="18"/>
      <c r="U12" s="18">
        <v>371</v>
      </c>
      <c r="V12" s="18"/>
      <c r="W12" s="18"/>
      <c r="X12" s="18" t="str">
        <f>IF((SUM(J12:L12,R12)-AG12)&lt;3325,3325-(SUM(J12:L12,R12)-AG12),"")</f>
        <v/>
      </c>
      <c r="Y12" s="18"/>
      <c r="Z12" s="21">
        <f t="shared" si="10"/>
        <v>7625</v>
      </c>
      <c r="AA12" s="22">
        <v>8472</v>
      </c>
      <c r="AB12" s="23">
        <v>677.76</v>
      </c>
      <c r="AC12" s="23">
        <v>169.44</v>
      </c>
      <c r="AD12" s="23">
        <v>42.36</v>
      </c>
      <c r="AE12" s="22">
        <v>8472</v>
      </c>
      <c r="AF12" s="22">
        <f t="shared" si="0"/>
        <v>593</v>
      </c>
      <c r="AG12" s="21">
        <f t="shared" si="1"/>
        <v>1482.56</v>
      </c>
      <c r="AH12" s="25"/>
      <c r="AI12" s="25"/>
      <c r="AJ12" s="25"/>
      <c r="AK12" s="21">
        <f t="shared" si="11"/>
        <v>6142.4400000000005</v>
      </c>
      <c r="AL12" s="22">
        <v>8472</v>
      </c>
      <c r="AM12" s="22">
        <v>8472</v>
      </c>
      <c r="AN12" s="22">
        <f t="shared" si="2"/>
        <v>1355.52</v>
      </c>
      <c r="AO12" s="22">
        <f t="shared" si="12"/>
        <v>762.48</v>
      </c>
      <c r="AP12" s="22">
        <f t="shared" si="3"/>
        <v>42.36</v>
      </c>
      <c r="AQ12" s="22">
        <v>16.940000000000001</v>
      </c>
      <c r="AR12" s="22"/>
      <c r="AS12" s="22">
        <f t="shared" si="4"/>
        <v>593</v>
      </c>
      <c r="AT12" s="22">
        <f t="shared" si="5"/>
        <v>127.08</v>
      </c>
      <c r="AU12" s="21">
        <f t="shared" si="6"/>
        <v>2897.38</v>
      </c>
      <c r="AV12" s="21">
        <f>VLOOKUP(D12,[1]Sheet1!$F:$Q,12,0)</f>
        <v>140</v>
      </c>
      <c r="AW12" s="21">
        <f t="shared" si="7"/>
        <v>10662.380000000001</v>
      </c>
      <c r="AX12" s="32"/>
      <c r="AY12" s="45">
        <v>-4.75</v>
      </c>
      <c r="AZ12" s="45"/>
      <c r="BA12" s="47" t="s">
        <v>179</v>
      </c>
      <c r="BB12" s="21">
        <v>255</v>
      </c>
      <c r="BC12" s="34">
        <f t="shared" si="13"/>
        <v>10912.63</v>
      </c>
      <c r="BD12" s="21">
        <f t="shared" si="14"/>
        <v>654.76</v>
      </c>
      <c r="BE12" s="21">
        <f t="shared" si="15"/>
        <v>11567.39</v>
      </c>
      <c r="BF12" s="46" t="str">
        <f t="shared" si="8"/>
        <v/>
      </c>
    </row>
    <row r="13" spans="1:58" s="3" customFormat="1" ht="15" customHeight="1" x14ac:dyDescent="0.25">
      <c r="A13" s="10">
        <f t="shared" si="9"/>
        <v>11</v>
      </c>
      <c r="B13" s="11">
        <v>2502</v>
      </c>
      <c r="C13" s="11" t="s">
        <v>121</v>
      </c>
      <c r="D13" s="10" t="s">
        <v>122</v>
      </c>
      <c r="E13" s="12" t="s">
        <v>123</v>
      </c>
      <c r="F13" s="13">
        <v>45444</v>
      </c>
      <c r="G13" s="13">
        <v>45808</v>
      </c>
      <c r="H13" s="10"/>
      <c r="I13" s="17" t="s">
        <v>93</v>
      </c>
      <c r="J13" s="18">
        <v>1300</v>
      </c>
      <c r="K13" s="18">
        <f>5683.6-U13</f>
        <v>5312.6</v>
      </c>
      <c r="L13" s="18">
        <v>1714.74</v>
      </c>
      <c r="M13" s="18"/>
      <c r="N13" s="18"/>
      <c r="O13" s="18"/>
      <c r="P13" s="18"/>
      <c r="Q13" s="18"/>
      <c r="R13" s="18">
        <v>630</v>
      </c>
      <c r="S13" s="18"/>
      <c r="T13" s="18"/>
      <c r="U13" s="18">
        <v>371</v>
      </c>
      <c r="V13" s="18"/>
      <c r="W13" s="18"/>
      <c r="X13" s="18" t="str">
        <f t="shared" si="16"/>
        <v/>
      </c>
      <c r="Y13" s="18"/>
      <c r="Z13" s="21">
        <f t="shared" si="10"/>
        <v>9328.34</v>
      </c>
      <c r="AA13" s="22">
        <v>9241</v>
      </c>
      <c r="AB13" s="23">
        <v>739.28</v>
      </c>
      <c r="AC13" s="23">
        <v>184.82</v>
      </c>
      <c r="AD13" s="23">
        <v>46.21</v>
      </c>
      <c r="AE13" s="22">
        <v>9241</v>
      </c>
      <c r="AF13" s="22">
        <f t="shared" si="0"/>
        <v>647</v>
      </c>
      <c r="AG13" s="21">
        <f t="shared" si="1"/>
        <v>1617.31</v>
      </c>
      <c r="AH13" s="25"/>
      <c r="AI13" s="25"/>
      <c r="AJ13" s="25"/>
      <c r="AK13" s="21">
        <f t="shared" si="11"/>
        <v>7711.0300000000007</v>
      </c>
      <c r="AL13" s="22">
        <v>9241</v>
      </c>
      <c r="AM13" s="22">
        <v>9241</v>
      </c>
      <c r="AN13" s="22">
        <f t="shared" si="2"/>
        <v>1478.56</v>
      </c>
      <c r="AO13" s="22">
        <v>831.7</v>
      </c>
      <c r="AP13" s="22">
        <f t="shared" si="3"/>
        <v>46.21</v>
      </c>
      <c r="AQ13" s="22">
        <v>18.48</v>
      </c>
      <c r="AR13" s="22"/>
      <c r="AS13" s="22">
        <f t="shared" si="4"/>
        <v>647</v>
      </c>
      <c r="AT13" s="22">
        <f t="shared" si="5"/>
        <v>138.62</v>
      </c>
      <c r="AU13" s="21">
        <f t="shared" si="6"/>
        <v>3160.57</v>
      </c>
      <c r="AV13" s="21">
        <f>VLOOKUP(D13,[1]Sheet1!$F:$Q,12,0)</f>
        <v>174</v>
      </c>
      <c r="AW13" s="21">
        <f t="shared" si="7"/>
        <v>12662.91</v>
      </c>
      <c r="AX13" s="32"/>
      <c r="AY13" s="45">
        <v>-5.18</v>
      </c>
      <c r="AZ13" s="45"/>
      <c r="BA13" s="47" t="s">
        <v>179</v>
      </c>
      <c r="BB13" s="21">
        <v>255</v>
      </c>
      <c r="BC13" s="34">
        <f t="shared" si="13"/>
        <v>12912.73</v>
      </c>
      <c r="BD13" s="21">
        <f t="shared" si="14"/>
        <v>774.76</v>
      </c>
      <c r="BE13" s="21">
        <f t="shared" si="15"/>
        <v>13687.49</v>
      </c>
      <c r="BF13" s="46" t="str">
        <f t="shared" si="8"/>
        <v/>
      </c>
    </row>
    <row r="14" spans="1:58" s="3" customFormat="1" ht="15" customHeight="1" x14ac:dyDescent="0.25">
      <c r="A14" s="10">
        <f t="shared" si="9"/>
        <v>12</v>
      </c>
      <c r="B14" s="11">
        <v>2502</v>
      </c>
      <c r="C14" s="11" t="s">
        <v>124</v>
      </c>
      <c r="D14" s="10" t="s">
        <v>125</v>
      </c>
      <c r="E14" s="12" t="s">
        <v>126</v>
      </c>
      <c r="F14" s="13">
        <v>45444</v>
      </c>
      <c r="G14" s="13">
        <v>45808</v>
      </c>
      <c r="H14" s="10"/>
      <c r="I14" s="17" t="s">
        <v>93</v>
      </c>
      <c r="J14" s="18">
        <v>1030</v>
      </c>
      <c r="K14" s="18">
        <v>3364</v>
      </c>
      <c r="L14" s="18">
        <v>1187.7</v>
      </c>
      <c r="M14" s="18"/>
      <c r="N14" s="18"/>
      <c r="O14" s="18"/>
      <c r="P14" s="18"/>
      <c r="Q14" s="18"/>
      <c r="R14" s="18">
        <v>630</v>
      </c>
      <c r="S14" s="18"/>
      <c r="T14" s="18"/>
      <c r="U14" s="18"/>
      <c r="V14" s="18"/>
      <c r="W14" s="18"/>
      <c r="X14" s="18" t="str">
        <f t="shared" si="16"/>
        <v/>
      </c>
      <c r="Y14" s="18"/>
      <c r="Z14" s="21">
        <f t="shared" si="10"/>
        <v>6211.7</v>
      </c>
      <c r="AA14" s="22">
        <v>7384</v>
      </c>
      <c r="AB14" s="23">
        <v>590.72</v>
      </c>
      <c r="AC14" s="23">
        <v>147.68</v>
      </c>
      <c r="AD14" s="23">
        <v>36.92</v>
      </c>
      <c r="AE14" s="22">
        <v>6830</v>
      </c>
      <c r="AF14" s="22">
        <f t="shared" si="0"/>
        <v>478</v>
      </c>
      <c r="AG14" s="21">
        <f t="shared" si="1"/>
        <v>1253.3200000000002</v>
      </c>
      <c r="AH14" s="25"/>
      <c r="AI14" s="25"/>
      <c r="AJ14" s="25"/>
      <c r="AK14" s="21">
        <f t="shared" si="11"/>
        <v>4958.3799999999992</v>
      </c>
      <c r="AL14" s="22">
        <v>7384</v>
      </c>
      <c r="AM14" s="22">
        <v>6830</v>
      </c>
      <c r="AN14" s="22">
        <f t="shared" si="2"/>
        <v>1181.44</v>
      </c>
      <c r="AO14" s="22">
        <f t="shared" si="12"/>
        <v>664.56</v>
      </c>
      <c r="AP14" s="22">
        <f t="shared" si="3"/>
        <v>36.92</v>
      </c>
      <c r="AQ14" s="22">
        <v>14.77</v>
      </c>
      <c r="AR14" s="22"/>
      <c r="AS14" s="22">
        <f t="shared" si="4"/>
        <v>478</v>
      </c>
      <c r="AT14" s="22">
        <f t="shared" si="5"/>
        <v>110.76</v>
      </c>
      <c r="AU14" s="21">
        <f t="shared" si="6"/>
        <v>2486.4500000000003</v>
      </c>
      <c r="AV14" s="21">
        <f>VLOOKUP(D14,[1]Sheet1!$F:$Q,12,0)</f>
        <v>112</v>
      </c>
      <c r="AW14" s="21">
        <f t="shared" si="7"/>
        <v>8810.15</v>
      </c>
      <c r="AX14" s="32"/>
      <c r="AY14" s="45">
        <v>-4.129999999999999</v>
      </c>
      <c r="AZ14" s="45"/>
      <c r="BA14" s="47" t="s">
        <v>179</v>
      </c>
      <c r="BB14" s="21">
        <v>255</v>
      </c>
      <c r="BC14" s="34">
        <f t="shared" si="13"/>
        <v>9061.02</v>
      </c>
      <c r="BD14" s="21">
        <f t="shared" si="14"/>
        <v>543.66</v>
      </c>
      <c r="BE14" s="21">
        <f t="shared" si="15"/>
        <v>9604.68</v>
      </c>
      <c r="BF14" s="46" t="str">
        <f t="shared" si="8"/>
        <v/>
      </c>
    </row>
    <row r="15" spans="1:58" s="3" customFormat="1" ht="15" customHeight="1" x14ac:dyDescent="0.25">
      <c r="A15" s="10">
        <f t="shared" si="9"/>
        <v>13</v>
      </c>
      <c r="B15" s="11">
        <v>2502</v>
      </c>
      <c r="C15" s="11" t="s">
        <v>127</v>
      </c>
      <c r="D15" s="10" t="s">
        <v>128</v>
      </c>
      <c r="E15" s="12" t="s">
        <v>129</v>
      </c>
      <c r="F15" s="13">
        <v>45444</v>
      </c>
      <c r="G15" s="13">
        <v>45808</v>
      </c>
      <c r="H15" s="10"/>
      <c r="I15" s="17" t="s">
        <v>93</v>
      </c>
      <c r="J15" s="18">
        <v>1300</v>
      </c>
      <c r="K15" s="18">
        <f>19582.6-U15</f>
        <v>19211.599999999999</v>
      </c>
      <c r="L15" s="18">
        <v>2681.33</v>
      </c>
      <c r="M15" s="18"/>
      <c r="N15" s="18"/>
      <c r="O15" s="18"/>
      <c r="P15" s="18"/>
      <c r="Q15" s="18"/>
      <c r="R15" s="18">
        <v>630</v>
      </c>
      <c r="S15" s="18"/>
      <c r="T15" s="18"/>
      <c r="U15" s="18">
        <v>371</v>
      </c>
      <c r="V15" s="18"/>
      <c r="W15" s="18"/>
      <c r="X15" s="18" t="str">
        <f t="shared" si="16"/>
        <v/>
      </c>
      <c r="Y15" s="18"/>
      <c r="Z15" s="21">
        <f t="shared" si="10"/>
        <v>24193.93</v>
      </c>
      <c r="AA15" s="22">
        <v>18040</v>
      </c>
      <c r="AB15" s="23">
        <v>1443.2</v>
      </c>
      <c r="AC15" s="23">
        <v>360.8</v>
      </c>
      <c r="AD15" s="23">
        <v>90.2</v>
      </c>
      <c r="AE15" s="22">
        <v>18040</v>
      </c>
      <c r="AF15" s="22">
        <f t="shared" si="0"/>
        <v>1263</v>
      </c>
      <c r="AG15" s="21">
        <f t="shared" si="1"/>
        <v>3157.2</v>
      </c>
      <c r="AH15" s="25"/>
      <c r="AI15" s="25"/>
      <c r="AJ15" s="25"/>
      <c r="AK15" s="21">
        <f t="shared" si="11"/>
        <v>21036.73</v>
      </c>
      <c r="AL15" s="22">
        <v>18040</v>
      </c>
      <c r="AM15" s="22">
        <v>18040</v>
      </c>
      <c r="AN15" s="22">
        <f t="shared" si="2"/>
        <v>2886.4</v>
      </c>
      <c r="AO15" s="22">
        <f t="shared" si="12"/>
        <v>1623.6</v>
      </c>
      <c r="AP15" s="22">
        <f t="shared" si="3"/>
        <v>90.2</v>
      </c>
      <c r="AQ15" s="22">
        <v>36.08</v>
      </c>
      <c r="AR15" s="22"/>
      <c r="AS15" s="22">
        <f t="shared" si="4"/>
        <v>1263</v>
      </c>
      <c r="AT15" s="22">
        <f t="shared" si="5"/>
        <v>270.60000000000002</v>
      </c>
      <c r="AU15" s="21">
        <f t="shared" si="6"/>
        <v>6169.88</v>
      </c>
      <c r="AV15" s="21">
        <f>VLOOKUP(D15,[1]Sheet1!$F:$Q,12,0)</f>
        <v>471</v>
      </c>
      <c r="AW15" s="21">
        <f t="shared" si="7"/>
        <v>30834.81</v>
      </c>
      <c r="AX15" s="32"/>
      <c r="AY15" s="45">
        <v>-10.100000000000001</v>
      </c>
      <c r="AZ15" s="45"/>
      <c r="BA15" s="47" t="s">
        <v>179</v>
      </c>
      <c r="BB15" s="21">
        <v>255</v>
      </c>
      <c r="BC15" s="34">
        <f t="shared" si="13"/>
        <v>31079.71</v>
      </c>
      <c r="BD15" s="21">
        <f t="shared" si="14"/>
        <v>1864.78</v>
      </c>
      <c r="BE15" s="21">
        <f t="shared" si="15"/>
        <v>32944.49</v>
      </c>
      <c r="BF15" s="46" t="str">
        <f t="shared" si="8"/>
        <v/>
      </c>
    </row>
    <row r="16" spans="1:58" s="3" customFormat="1" ht="15" customHeight="1" x14ac:dyDescent="0.25">
      <c r="A16" s="10">
        <f t="shared" si="9"/>
        <v>14</v>
      </c>
      <c r="B16" s="11">
        <v>2502</v>
      </c>
      <c r="C16" s="11" t="s">
        <v>130</v>
      </c>
      <c r="D16" s="10" t="s">
        <v>131</v>
      </c>
      <c r="E16" s="12" t="s">
        <v>132</v>
      </c>
      <c r="F16" s="13">
        <v>45444</v>
      </c>
      <c r="G16" s="13">
        <v>45808</v>
      </c>
      <c r="H16" s="10"/>
      <c r="I16" s="17" t="s">
        <v>93</v>
      </c>
      <c r="J16" s="18">
        <v>1030</v>
      </c>
      <c r="K16" s="18">
        <f>3113-U16</f>
        <v>2742</v>
      </c>
      <c r="L16" s="18">
        <v>1177.8599999999999</v>
      </c>
      <c r="M16" s="18"/>
      <c r="N16" s="18"/>
      <c r="O16" s="18"/>
      <c r="P16" s="18"/>
      <c r="Q16" s="18"/>
      <c r="R16" s="18">
        <v>630</v>
      </c>
      <c r="S16" s="18"/>
      <c r="T16" s="18"/>
      <c r="U16" s="18">
        <v>371</v>
      </c>
      <c r="V16" s="18"/>
      <c r="W16" s="18"/>
      <c r="X16" s="18" t="str">
        <f t="shared" si="16"/>
        <v/>
      </c>
      <c r="Y16" s="18"/>
      <c r="Z16" s="21">
        <f t="shared" si="10"/>
        <v>5950.86</v>
      </c>
      <c r="AA16" s="22">
        <v>7474</v>
      </c>
      <c r="AB16" s="23">
        <v>597.91999999999996</v>
      </c>
      <c r="AC16" s="23">
        <v>149.47999999999999</v>
      </c>
      <c r="AD16" s="23">
        <v>37.369999999999997</v>
      </c>
      <c r="AE16" s="22">
        <v>7474</v>
      </c>
      <c r="AF16" s="22">
        <f t="shared" si="0"/>
        <v>523</v>
      </c>
      <c r="AG16" s="21">
        <f t="shared" si="1"/>
        <v>1307.77</v>
      </c>
      <c r="AH16" s="25"/>
      <c r="AI16" s="25"/>
      <c r="AJ16" s="25"/>
      <c r="AK16" s="21">
        <f t="shared" si="11"/>
        <v>4643.09</v>
      </c>
      <c r="AL16" s="22">
        <v>7474</v>
      </c>
      <c r="AM16" s="22">
        <v>7474</v>
      </c>
      <c r="AN16" s="22">
        <f t="shared" si="2"/>
        <v>1195.8399999999999</v>
      </c>
      <c r="AO16" s="22">
        <f t="shared" si="12"/>
        <v>672.66</v>
      </c>
      <c r="AP16" s="22">
        <f t="shared" si="3"/>
        <v>37.369999999999997</v>
      </c>
      <c r="AQ16" s="22">
        <v>14.95</v>
      </c>
      <c r="AR16" s="22"/>
      <c r="AS16" s="22">
        <f t="shared" si="4"/>
        <v>523</v>
      </c>
      <c r="AT16" s="22">
        <f t="shared" si="5"/>
        <v>112.11</v>
      </c>
      <c r="AU16" s="21">
        <f t="shared" si="6"/>
        <v>2555.9299999999998</v>
      </c>
      <c r="AV16" s="21">
        <f>VLOOKUP(D16,[1]Sheet1!$F:$Q,12,0)</f>
        <v>106</v>
      </c>
      <c r="AW16" s="21">
        <f t="shared" si="7"/>
        <v>8612.7899999999991</v>
      </c>
      <c r="AX16" s="32"/>
      <c r="AY16" s="45">
        <v>-4.18</v>
      </c>
      <c r="AZ16" s="45"/>
      <c r="BA16" s="47" t="s">
        <v>179</v>
      </c>
      <c r="BB16" s="21">
        <v>255</v>
      </c>
      <c r="BC16" s="34">
        <f t="shared" si="13"/>
        <v>8863.61</v>
      </c>
      <c r="BD16" s="21">
        <f t="shared" si="14"/>
        <v>531.82000000000005</v>
      </c>
      <c r="BE16" s="21">
        <f t="shared" si="15"/>
        <v>9395.43</v>
      </c>
      <c r="BF16" s="46" t="str">
        <f t="shared" si="8"/>
        <v/>
      </c>
    </row>
    <row r="17" spans="1:58" s="3" customFormat="1" ht="15" customHeight="1" x14ac:dyDescent="0.25">
      <c r="A17" s="10">
        <f t="shared" si="9"/>
        <v>15</v>
      </c>
      <c r="B17" s="11">
        <v>2502</v>
      </c>
      <c r="C17" s="11" t="s">
        <v>136</v>
      </c>
      <c r="D17" s="10" t="s">
        <v>137</v>
      </c>
      <c r="E17" s="12" t="s">
        <v>138</v>
      </c>
      <c r="F17" s="13">
        <v>45444</v>
      </c>
      <c r="G17" s="13">
        <v>45808</v>
      </c>
      <c r="H17" s="10"/>
      <c r="I17" s="17" t="s">
        <v>93</v>
      </c>
      <c r="J17" s="18">
        <v>1030</v>
      </c>
      <c r="K17" s="18">
        <f>4525-U17</f>
        <v>4154</v>
      </c>
      <c r="L17" s="18">
        <v>3010.78</v>
      </c>
      <c r="M17" s="18"/>
      <c r="N17" s="18"/>
      <c r="O17" s="18"/>
      <c r="P17" s="18"/>
      <c r="Q17" s="18"/>
      <c r="R17" s="18">
        <v>630</v>
      </c>
      <c r="S17" s="18"/>
      <c r="T17" s="18"/>
      <c r="U17" s="18">
        <v>371</v>
      </c>
      <c r="V17" s="18"/>
      <c r="W17" s="18"/>
      <c r="X17" s="18" t="str">
        <f t="shared" si="16"/>
        <v/>
      </c>
      <c r="Y17" s="18"/>
      <c r="Z17" s="21">
        <f t="shared" si="10"/>
        <v>9195.7800000000007</v>
      </c>
      <c r="AA17" s="22">
        <v>10443</v>
      </c>
      <c r="AB17" s="23">
        <v>835.44</v>
      </c>
      <c r="AC17" s="23">
        <v>208.86</v>
      </c>
      <c r="AD17" s="23">
        <v>52.22</v>
      </c>
      <c r="AE17" s="22">
        <v>10443</v>
      </c>
      <c r="AF17" s="22">
        <f t="shared" si="0"/>
        <v>731</v>
      </c>
      <c r="AG17" s="21">
        <f t="shared" si="1"/>
        <v>1827.5200000000002</v>
      </c>
      <c r="AH17" s="25"/>
      <c r="AI17" s="25"/>
      <c r="AJ17" s="25"/>
      <c r="AK17" s="21">
        <f t="shared" si="11"/>
        <v>7368.26</v>
      </c>
      <c r="AL17" s="22">
        <v>10443</v>
      </c>
      <c r="AM17" s="22">
        <v>10443</v>
      </c>
      <c r="AN17" s="22">
        <f t="shared" si="2"/>
        <v>1670.88</v>
      </c>
      <c r="AO17" s="22">
        <v>939.88</v>
      </c>
      <c r="AP17" s="22">
        <f t="shared" si="3"/>
        <v>52.22</v>
      </c>
      <c r="AQ17" s="22">
        <v>20.89</v>
      </c>
      <c r="AR17" s="22"/>
      <c r="AS17" s="22">
        <f t="shared" si="4"/>
        <v>731</v>
      </c>
      <c r="AT17" s="22">
        <f t="shared" si="5"/>
        <v>156.65</v>
      </c>
      <c r="AU17" s="21">
        <f t="shared" si="6"/>
        <v>3571.52</v>
      </c>
      <c r="AV17" s="21">
        <f>VLOOKUP(D17,[1]Sheet1!$F:$Q,12,0)</f>
        <v>171</v>
      </c>
      <c r="AW17" s="21">
        <f t="shared" si="7"/>
        <v>12938.300000000001</v>
      </c>
      <c r="AX17" s="32"/>
      <c r="AY17" s="45">
        <v>-5.84</v>
      </c>
      <c r="AZ17" s="45"/>
      <c r="BA17" s="47" t="s">
        <v>179</v>
      </c>
      <c r="BB17" s="21">
        <v>255</v>
      </c>
      <c r="BC17" s="34">
        <f t="shared" si="13"/>
        <v>13187.46</v>
      </c>
      <c r="BD17" s="21">
        <f t="shared" si="14"/>
        <v>791.25</v>
      </c>
      <c r="BE17" s="21">
        <f t="shared" si="15"/>
        <v>13978.71</v>
      </c>
      <c r="BF17" s="46" t="str">
        <f t="shared" si="8"/>
        <v/>
      </c>
    </row>
    <row r="18" spans="1:58" s="3" customFormat="1" ht="15" customHeight="1" x14ac:dyDescent="0.25">
      <c r="A18" s="10">
        <f t="shared" si="9"/>
        <v>16</v>
      </c>
      <c r="B18" s="11">
        <v>2502</v>
      </c>
      <c r="C18" s="11" t="s">
        <v>139</v>
      </c>
      <c r="D18" s="10" t="s">
        <v>140</v>
      </c>
      <c r="E18" s="12" t="s">
        <v>141</v>
      </c>
      <c r="F18" s="13">
        <v>45444</v>
      </c>
      <c r="G18" s="13">
        <v>45808</v>
      </c>
      <c r="H18" s="10"/>
      <c r="I18" s="17" t="s">
        <v>93</v>
      </c>
      <c r="J18" s="18">
        <v>1030</v>
      </c>
      <c r="K18" s="18">
        <f>6845.48-U18</f>
        <v>6474.48</v>
      </c>
      <c r="L18" s="18">
        <v>1345.3</v>
      </c>
      <c r="M18" s="18"/>
      <c r="N18" s="18"/>
      <c r="O18" s="18"/>
      <c r="P18" s="18"/>
      <c r="Q18" s="18"/>
      <c r="R18" s="18">
        <v>630</v>
      </c>
      <c r="S18" s="18"/>
      <c r="T18" s="18"/>
      <c r="U18" s="18">
        <v>371</v>
      </c>
      <c r="V18" s="18"/>
      <c r="W18" s="18"/>
      <c r="X18" s="18" t="str">
        <f t="shared" si="16"/>
        <v/>
      </c>
      <c r="Y18" s="18"/>
      <c r="Z18" s="21">
        <f t="shared" si="10"/>
        <v>9850.7799999999988</v>
      </c>
      <c r="AA18" s="22">
        <v>8102</v>
      </c>
      <c r="AB18" s="23">
        <v>648.16</v>
      </c>
      <c r="AC18" s="23">
        <v>162.04</v>
      </c>
      <c r="AD18" s="23">
        <v>40.51</v>
      </c>
      <c r="AE18" s="22">
        <v>8102</v>
      </c>
      <c r="AF18" s="22">
        <f t="shared" si="0"/>
        <v>567</v>
      </c>
      <c r="AG18" s="21">
        <f t="shared" si="1"/>
        <v>1417.71</v>
      </c>
      <c r="AH18" s="25"/>
      <c r="AI18" s="25"/>
      <c r="AJ18" s="25"/>
      <c r="AK18" s="21">
        <f t="shared" si="11"/>
        <v>8433.07</v>
      </c>
      <c r="AL18" s="22">
        <v>8102</v>
      </c>
      <c r="AM18" s="22">
        <v>8102</v>
      </c>
      <c r="AN18" s="22">
        <f t="shared" si="2"/>
        <v>1296.32</v>
      </c>
      <c r="AO18" s="22">
        <f t="shared" si="12"/>
        <v>729.18</v>
      </c>
      <c r="AP18" s="22">
        <f t="shared" si="3"/>
        <v>40.51</v>
      </c>
      <c r="AQ18" s="22">
        <v>16.2</v>
      </c>
      <c r="AR18" s="22"/>
      <c r="AS18" s="22">
        <f t="shared" si="4"/>
        <v>567</v>
      </c>
      <c r="AT18" s="22">
        <f t="shared" si="5"/>
        <v>121.53</v>
      </c>
      <c r="AU18" s="21">
        <f t="shared" si="6"/>
        <v>2770.7400000000002</v>
      </c>
      <c r="AV18" s="21">
        <f>VLOOKUP(D18,[1]Sheet1!$F:$Q,12,0)</f>
        <v>184</v>
      </c>
      <c r="AW18" s="21">
        <f t="shared" si="7"/>
        <v>12805.519999999999</v>
      </c>
      <c r="AX18" s="32"/>
      <c r="AY18" s="45">
        <v>-4.5399999999999991</v>
      </c>
      <c r="AZ18" s="45"/>
      <c r="BA18" s="47" t="s">
        <v>179</v>
      </c>
      <c r="BB18" s="21">
        <v>255</v>
      </c>
      <c r="BC18" s="34">
        <f t="shared" si="13"/>
        <v>13055.98</v>
      </c>
      <c r="BD18" s="21">
        <f t="shared" si="14"/>
        <v>783.36</v>
      </c>
      <c r="BE18" s="21">
        <f t="shared" si="15"/>
        <v>13839.34</v>
      </c>
      <c r="BF18" s="46" t="str">
        <f t="shared" si="8"/>
        <v/>
      </c>
    </row>
    <row r="19" spans="1:58" s="3" customFormat="1" ht="15" customHeight="1" x14ac:dyDescent="0.25">
      <c r="A19" s="10">
        <f t="shared" si="9"/>
        <v>17</v>
      </c>
      <c r="B19" s="11">
        <v>2502</v>
      </c>
      <c r="C19" s="11" t="s">
        <v>142</v>
      </c>
      <c r="D19" s="14" t="s">
        <v>143</v>
      </c>
      <c r="E19" s="12" t="s">
        <v>144</v>
      </c>
      <c r="F19" s="13">
        <v>45444</v>
      </c>
      <c r="G19" s="13">
        <v>45808</v>
      </c>
      <c r="H19" s="10"/>
      <c r="I19" s="17" t="s">
        <v>93</v>
      </c>
      <c r="J19" s="18">
        <v>800</v>
      </c>
      <c r="K19" s="18">
        <f>1572-U19</f>
        <v>1572</v>
      </c>
      <c r="L19" s="18">
        <v>943.8</v>
      </c>
      <c r="M19" s="18"/>
      <c r="N19" s="18"/>
      <c r="O19" s="18"/>
      <c r="P19" s="18"/>
      <c r="Q19" s="18"/>
      <c r="R19" s="18">
        <v>630</v>
      </c>
      <c r="S19" s="18"/>
      <c r="T19" s="18"/>
      <c r="U19" s="18"/>
      <c r="V19" s="18"/>
      <c r="W19" s="18"/>
      <c r="X19" s="18">
        <f t="shared" si="16"/>
        <v>497.52</v>
      </c>
      <c r="Y19" s="18"/>
      <c r="Z19" s="21">
        <f t="shared" si="10"/>
        <v>4443.32</v>
      </c>
      <c r="AA19" s="22">
        <v>7384</v>
      </c>
      <c r="AB19" s="23">
        <v>590.72</v>
      </c>
      <c r="AC19" s="23">
        <v>147.68</v>
      </c>
      <c r="AD19" s="23">
        <v>36.92</v>
      </c>
      <c r="AE19" s="22">
        <v>4906</v>
      </c>
      <c r="AF19" s="22">
        <f t="shared" si="0"/>
        <v>343</v>
      </c>
      <c r="AG19" s="21">
        <f t="shared" si="1"/>
        <v>1118.3200000000002</v>
      </c>
      <c r="AH19" s="25"/>
      <c r="AI19" s="25"/>
      <c r="AJ19" s="25"/>
      <c r="AK19" s="21">
        <f t="shared" si="11"/>
        <v>3324.9999999999995</v>
      </c>
      <c r="AL19" s="22">
        <v>7384</v>
      </c>
      <c r="AM19" s="22">
        <v>4906</v>
      </c>
      <c r="AN19" s="22">
        <f t="shared" si="2"/>
        <v>1181.44</v>
      </c>
      <c r="AO19" s="22">
        <f t="shared" si="12"/>
        <v>664.56</v>
      </c>
      <c r="AP19" s="22">
        <f t="shared" si="3"/>
        <v>36.92</v>
      </c>
      <c r="AQ19" s="22">
        <v>14.77</v>
      </c>
      <c r="AR19" s="22"/>
      <c r="AS19" s="22">
        <f t="shared" si="4"/>
        <v>343</v>
      </c>
      <c r="AT19" s="22">
        <f t="shared" si="5"/>
        <v>110.76</v>
      </c>
      <c r="AU19" s="21">
        <f t="shared" si="6"/>
        <v>2351.4500000000003</v>
      </c>
      <c r="AV19" s="21">
        <f>VLOOKUP(D19,[1]Sheet1!$F:$Q,12,0)</f>
        <v>76</v>
      </c>
      <c r="AW19" s="21">
        <f t="shared" si="7"/>
        <v>6870.77</v>
      </c>
      <c r="AX19" s="32"/>
      <c r="AY19" s="45">
        <v>-4.129999999999999</v>
      </c>
      <c r="AZ19" s="45"/>
      <c r="BA19" s="47" t="s">
        <v>179</v>
      </c>
      <c r="BB19" s="21">
        <v>255</v>
      </c>
      <c r="BC19" s="34">
        <f t="shared" si="13"/>
        <v>7121.64</v>
      </c>
      <c r="BD19" s="21">
        <f t="shared" si="14"/>
        <v>427.3</v>
      </c>
      <c r="BE19" s="21">
        <f t="shared" si="15"/>
        <v>7548.94</v>
      </c>
      <c r="BF19" s="46" t="str">
        <f t="shared" si="8"/>
        <v/>
      </c>
    </row>
    <row r="20" spans="1:58" s="3" customFormat="1" ht="15" customHeight="1" x14ac:dyDescent="0.25">
      <c r="A20" s="10">
        <f t="shared" si="9"/>
        <v>18</v>
      </c>
      <c r="B20" s="11">
        <v>2502</v>
      </c>
      <c r="C20" s="11" t="s">
        <v>145</v>
      </c>
      <c r="D20" s="14" t="s">
        <v>146</v>
      </c>
      <c r="E20" s="12" t="s">
        <v>147</v>
      </c>
      <c r="F20" s="13">
        <v>45444</v>
      </c>
      <c r="G20" s="13">
        <v>45808</v>
      </c>
      <c r="H20" s="10"/>
      <c r="I20" s="17" t="s">
        <v>93</v>
      </c>
      <c r="J20" s="18">
        <v>1030</v>
      </c>
      <c r="K20" s="18">
        <f>4816-U20</f>
        <v>4445</v>
      </c>
      <c r="L20" s="18">
        <v>1758.84</v>
      </c>
      <c r="M20" s="18"/>
      <c r="N20" s="18"/>
      <c r="O20" s="18"/>
      <c r="P20" s="18"/>
      <c r="Q20" s="18"/>
      <c r="R20" s="18">
        <v>630</v>
      </c>
      <c r="S20" s="18"/>
      <c r="T20" s="18"/>
      <c r="U20" s="18">
        <v>371</v>
      </c>
      <c r="V20" s="18"/>
      <c r="W20" s="18"/>
      <c r="X20" s="18" t="str">
        <f t="shared" si="16"/>
        <v/>
      </c>
      <c r="Y20" s="18"/>
      <c r="Z20" s="21">
        <f t="shared" si="10"/>
        <v>8234.84</v>
      </c>
      <c r="AA20" s="22">
        <v>7759</v>
      </c>
      <c r="AB20" s="23">
        <v>620.72</v>
      </c>
      <c r="AC20" s="23">
        <v>155.18</v>
      </c>
      <c r="AD20" s="23">
        <v>38.799999999999997</v>
      </c>
      <c r="AE20" s="22">
        <v>7759</v>
      </c>
      <c r="AF20" s="22">
        <f t="shared" ref="AF20:AF28" si="17">ROUND(AE20*7%,0)</f>
        <v>543</v>
      </c>
      <c r="AG20" s="21">
        <f t="shared" si="1"/>
        <v>1357.7</v>
      </c>
      <c r="AH20" s="25"/>
      <c r="AI20" s="25"/>
      <c r="AJ20" s="25"/>
      <c r="AK20" s="21">
        <f t="shared" si="11"/>
        <v>6877.14</v>
      </c>
      <c r="AL20" s="22">
        <v>7759</v>
      </c>
      <c r="AM20" s="22">
        <v>7759</v>
      </c>
      <c r="AN20" s="22">
        <f t="shared" ref="AN20:AN25" si="18">ROUND(AL20*16%,2)</f>
        <v>1241.44</v>
      </c>
      <c r="AO20" s="22">
        <v>698.32</v>
      </c>
      <c r="AP20" s="22">
        <f t="shared" si="3"/>
        <v>38.799999999999997</v>
      </c>
      <c r="AQ20" s="22">
        <v>15.52</v>
      </c>
      <c r="AR20" s="22"/>
      <c r="AS20" s="22">
        <f t="shared" si="4"/>
        <v>543</v>
      </c>
      <c r="AT20" s="22">
        <f t="shared" si="5"/>
        <v>116.39</v>
      </c>
      <c r="AU20" s="21">
        <f t="shared" si="6"/>
        <v>2653.47</v>
      </c>
      <c r="AV20" s="21">
        <f>VLOOKUP(D20,[1]Sheet1!$F:$Q,12,0)</f>
        <v>152</v>
      </c>
      <c r="AW20" s="21">
        <f t="shared" si="7"/>
        <v>11040.31</v>
      </c>
      <c r="AX20" s="32"/>
      <c r="AY20" s="45">
        <v>-4.34</v>
      </c>
      <c r="AZ20" s="45"/>
      <c r="BA20" s="47" t="s">
        <v>179</v>
      </c>
      <c r="BB20" s="21">
        <v>255</v>
      </c>
      <c r="BC20" s="34">
        <f t="shared" si="13"/>
        <v>11290.97</v>
      </c>
      <c r="BD20" s="21">
        <f t="shared" si="14"/>
        <v>677.46</v>
      </c>
      <c r="BE20" s="21">
        <f t="shared" si="15"/>
        <v>11968.43</v>
      </c>
      <c r="BF20" s="46" t="str">
        <f t="shared" si="8"/>
        <v/>
      </c>
    </row>
    <row r="21" spans="1:58" s="3" customFormat="1" ht="15" customHeight="1" x14ac:dyDescent="0.25">
      <c r="A21" s="10">
        <f t="shared" si="9"/>
        <v>19</v>
      </c>
      <c r="B21" s="11">
        <v>2502</v>
      </c>
      <c r="C21" s="11" t="s">
        <v>148</v>
      </c>
      <c r="D21" s="14" t="s">
        <v>149</v>
      </c>
      <c r="E21" s="12" t="s">
        <v>150</v>
      </c>
      <c r="F21" s="13">
        <v>45444</v>
      </c>
      <c r="G21" s="13">
        <v>45808</v>
      </c>
      <c r="H21" s="10"/>
      <c r="I21" s="17" t="s">
        <v>93</v>
      </c>
      <c r="J21" s="18">
        <v>1030</v>
      </c>
      <c r="K21" s="18">
        <f>3946.8-U21</f>
        <v>3575.8</v>
      </c>
      <c r="L21" s="18">
        <v>3732.3</v>
      </c>
      <c r="M21" s="18"/>
      <c r="N21" s="18"/>
      <c r="O21" s="18"/>
      <c r="P21" s="18"/>
      <c r="Q21" s="18"/>
      <c r="R21" s="18">
        <v>630</v>
      </c>
      <c r="S21" s="18"/>
      <c r="T21" s="18"/>
      <c r="U21" s="18">
        <v>371</v>
      </c>
      <c r="V21" s="18"/>
      <c r="W21" s="18"/>
      <c r="X21" s="18" t="str">
        <f t="shared" si="16"/>
        <v/>
      </c>
      <c r="Y21" s="18"/>
      <c r="Z21" s="21">
        <f t="shared" si="10"/>
        <v>9339.1</v>
      </c>
      <c r="AA21" s="22">
        <v>10043</v>
      </c>
      <c r="AB21" s="23">
        <v>803.44</v>
      </c>
      <c r="AC21" s="23">
        <v>200.86</v>
      </c>
      <c r="AD21" s="23">
        <v>50.22</v>
      </c>
      <c r="AE21" s="22">
        <v>10043</v>
      </c>
      <c r="AF21" s="22">
        <f t="shared" si="17"/>
        <v>703</v>
      </c>
      <c r="AG21" s="21">
        <f t="shared" si="1"/>
        <v>1757.52</v>
      </c>
      <c r="AH21" s="25"/>
      <c r="AI21" s="25"/>
      <c r="AJ21" s="25"/>
      <c r="AK21" s="21">
        <f t="shared" si="11"/>
        <v>7581.58</v>
      </c>
      <c r="AL21" s="22">
        <v>10043</v>
      </c>
      <c r="AM21" s="22">
        <v>10043</v>
      </c>
      <c r="AN21" s="22">
        <f t="shared" si="18"/>
        <v>1606.88</v>
      </c>
      <c r="AO21" s="22">
        <v>903.88</v>
      </c>
      <c r="AP21" s="22">
        <f t="shared" si="3"/>
        <v>50.22</v>
      </c>
      <c r="AQ21" s="22">
        <v>20.09</v>
      </c>
      <c r="AR21" s="22"/>
      <c r="AS21" s="22">
        <f t="shared" si="4"/>
        <v>703</v>
      </c>
      <c r="AT21" s="22">
        <f t="shared" si="5"/>
        <v>150.65</v>
      </c>
      <c r="AU21" s="21">
        <f t="shared" si="6"/>
        <v>3434.7200000000003</v>
      </c>
      <c r="AV21" s="21">
        <f>VLOOKUP(D21,[1]Sheet1!$F:$Q,12,0)</f>
        <v>174</v>
      </c>
      <c r="AW21" s="21">
        <f t="shared" si="7"/>
        <v>12947.82</v>
      </c>
      <c r="AX21" s="32"/>
      <c r="AY21" s="45">
        <v>-5.620000000000001</v>
      </c>
      <c r="AZ21" s="45"/>
      <c r="BA21" s="47" t="s">
        <v>179</v>
      </c>
      <c r="BB21" s="21">
        <v>255</v>
      </c>
      <c r="BC21" s="34">
        <f t="shared" si="13"/>
        <v>13197.2</v>
      </c>
      <c r="BD21" s="21">
        <f t="shared" si="14"/>
        <v>791.83</v>
      </c>
      <c r="BE21" s="21">
        <f t="shared" si="15"/>
        <v>13989.03</v>
      </c>
      <c r="BF21" s="46" t="str">
        <f t="shared" si="8"/>
        <v/>
      </c>
    </row>
    <row r="22" spans="1:58" s="3" customFormat="1" ht="15" customHeight="1" x14ac:dyDescent="0.25">
      <c r="A22" s="10">
        <f t="shared" si="9"/>
        <v>20</v>
      </c>
      <c r="B22" s="11">
        <v>2502</v>
      </c>
      <c r="C22" s="11" t="s">
        <v>151</v>
      </c>
      <c r="D22" s="14" t="s">
        <v>152</v>
      </c>
      <c r="E22" s="12" t="s">
        <v>153</v>
      </c>
      <c r="F22" s="13">
        <v>45444</v>
      </c>
      <c r="G22" s="13">
        <v>45808</v>
      </c>
      <c r="H22" s="10"/>
      <c r="I22" s="17" t="s">
        <v>93</v>
      </c>
      <c r="J22" s="18">
        <v>1300</v>
      </c>
      <c r="K22" s="18">
        <v>7900.8</v>
      </c>
      <c r="L22" s="18">
        <v>1147.1400000000001</v>
      </c>
      <c r="M22" s="18"/>
      <c r="N22" s="18"/>
      <c r="O22" s="18"/>
      <c r="P22" s="18"/>
      <c r="Q22" s="18"/>
      <c r="R22" s="18">
        <v>630</v>
      </c>
      <c r="S22" s="18"/>
      <c r="T22" s="18"/>
      <c r="U22" s="18"/>
      <c r="V22" s="18"/>
      <c r="W22" s="18"/>
      <c r="X22" s="18" t="str">
        <f t="shared" si="16"/>
        <v/>
      </c>
      <c r="Y22" s="18"/>
      <c r="Z22" s="21">
        <f t="shared" si="10"/>
        <v>10977.939999999999</v>
      </c>
      <c r="AA22" s="22">
        <v>12136</v>
      </c>
      <c r="AB22" s="23">
        <v>970.88</v>
      </c>
      <c r="AC22" s="23">
        <v>242.72</v>
      </c>
      <c r="AD22" s="23">
        <v>60.68</v>
      </c>
      <c r="AE22" s="22">
        <v>12136</v>
      </c>
      <c r="AF22" s="22">
        <f t="shared" si="17"/>
        <v>850</v>
      </c>
      <c r="AG22" s="21">
        <f t="shared" si="1"/>
        <v>2124.2799999999997</v>
      </c>
      <c r="AH22" s="25"/>
      <c r="AI22" s="25"/>
      <c r="AJ22" s="25"/>
      <c r="AK22" s="21">
        <f t="shared" si="11"/>
        <v>8853.66</v>
      </c>
      <c r="AL22" s="22">
        <v>12136</v>
      </c>
      <c r="AM22" s="22">
        <v>12136</v>
      </c>
      <c r="AN22" s="22">
        <f t="shared" si="18"/>
        <v>1941.76</v>
      </c>
      <c r="AO22" s="22">
        <f t="shared" si="12"/>
        <v>1092.24</v>
      </c>
      <c r="AP22" s="22">
        <f t="shared" si="3"/>
        <v>60.68</v>
      </c>
      <c r="AQ22" s="22">
        <v>24.27</v>
      </c>
      <c r="AR22" s="22"/>
      <c r="AS22" s="22">
        <f t="shared" si="4"/>
        <v>850</v>
      </c>
      <c r="AT22" s="22">
        <f t="shared" si="5"/>
        <v>182.04</v>
      </c>
      <c r="AU22" s="21">
        <f t="shared" si="6"/>
        <v>4150.99</v>
      </c>
      <c r="AV22" s="21">
        <f>VLOOKUP(D22,[1]Sheet1!$F:$Q,12,0)</f>
        <v>207</v>
      </c>
      <c r="AW22" s="21">
        <f t="shared" si="7"/>
        <v>15335.929999999998</v>
      </c>
      <c r="AX22" s="32"/>
      <c r="AY22" s="45">
        <v>-6.8000000000000007</v>
      </c>
      <c r="AZ22" s="45"/>
      <c r="BA22" s="47" t="s">
        <v>179</v>
      </c>
      <c r="BB22" s="21">
        <v>255</v>
      </c>
      <c r="BC22" s="34">
        <f t="shared" si="13"/>
        <v>15584.13</v>
      </c>
      <c r="BD22" s="21">
        <f t="shared" si="14"/>
        <v>935.05</v>
      </c>
      <c r="BE22" s="21">
        <f t="shared" si="15"/>
        <v>16519.18</v>
      </c>
      <c r="BF22" s="46" t="str">
        <f t="shared" si="8"/>
        <v/>
      </c>
    </row>
    <row r="23" spans="1:58" s="3" customFormat="1" ht="15" customHeight="1" x14ac:dyDescent="0.25">
      <c r="A23" s="10">
        <f t="shared" si="9"/>
        <v>21</v>
      </c>
      <c r="B23" s="11">
        <v>2502</v>
      </c>
      <c r="C23" s="11" t="s">
        <v>154</v>
      </c>
      <c r="D23" s="14" t="s">
        <v>155</v>
      </c>
      <c r="E23" s="12" t="s">
        <v>156</v>
      </c>
      <c r="F23" s="13">
        <v>45444</v>
      </c>
      <c r="G23" s="13">
        <v>45808</v>
      </c>
      <c r="H23" s="10"/>
      <c r="I23" s="17" t="s">
        <v>93</v>
      </c>
      <c r="J23" s="18">
        <v>1200</v>
      </c>
      <c r="K23" s="18">
        <v>3976.96</v>
      </c>
      <c r="L23" s="18">
        <v>1807.4</v>
      </c>
      <c r="M23" s="18"/>
      <c r="N23" s="18"/>
      <c r="O23" s="18"/>
      <c r="P23" s="18"/>
      <c r="Q23" s="18"/>
      <c r="R23" s="18">
        <v>630</v>
      </c>
      <c r="S23" s="18"/>
      <c r="T23" s="18"/>
      <c r="U23" s="18"/>
      <c r="V23" s="18"/>
      <c r="W23" s="18"/>
      <c r="X23" s="18" t="str">
        <f t="shared" si="16"/>
        <v/>
      </c>
      <c r="Y23" s="18"/>
      <c r="Z23" s="21">
        <f t="shared" si="10"/>
        <v>7614.3600000000006</v>
      </c>
      <c r="AA23" s="22">
        <v>9608</v>
      </c>
      <c r="AB23" s="23">
        <v>768.64</v>
      </c>
      <c r="AC23" s="23">
        <v>192.16</v>
      </c>
      <c r="AD23" s="23">
        <v>48.04</v>
      </c>
      <c r="AE23" s="22">
        <v>9608</v>
      </c>
      <c r="AF23" s="22">
        <f t="shared" si="17"/>
        <v>673</v>
      </c>
      <c r="AG23" s="21">
        <f t="shared" si="1"/>
        <v>1681.84</v>
      </c>
      <c r="AH23" s="25"/>
      <c r="AI23" s="25"/>
      <c r="AJ23" s="25"/>
      <c r="AK23" s="21">
        <f t="shared" si="11"/>
        <v>5932.52</v>
      </c>
      <c r="AL23" s="22">
        <v>9608</v>
      </c>
      <c r="AM23" s="22">
        <v>9608</v>
      </c>
      <c r="AN23" s="22">
        <f t="shared" si="18"/>
        <v>1537.28</v>
      </c>
      <c r="AO23" s="22">
        <f t="shared" si="12"/>
        <v>864.72</v>
      </c>
      <c r="AP23" s="22">
        <f t="shared" si="3"/>
        <v>48.04</v>
      </c>
      <c r="AQ23" s="22">
        <v>19.22</v>
      </c>
      <c r="AR23" s="22"/>
      <c r="AS23" s="22">
        <f t="shared" si="4"/>
        <v>673</v>
      </c>
      <c r="AT23" s="22">
        <f t="shared" si="5"/>
        <v>144.12</v>
      </c>
      <c r="AU23" s="21">
        <f t="shared" si="6"/>
        <v>3286.3799999999997</v>
      </c>
      <c r="AV23" s="21">
        <f>VLOOKUP(D23,[1]Sheet1!$F:$Q,12,0)</f>
        <v>140</v>
      </c>
      <c r="AW23" s="21">
        <f t="shared" si="7"/>
        <v>11040.74</v>
      </c>
      <c r="AX23" s="32"/>
      <c r="AY23" s="45">
        <v>-5.3800000000000026</v>
      </c>
      <c r="AZ23" s="45"/>
      <c r="BA23" s="47" t="s">
        <v>179</v>
      </c>
      <c r="BB23" s="21">
        <v>255</v>
      </c>
      <c r="BC23" s="34">
        <f t="shared" si="13"/>
        <v>11290.36</v>
      </c>
      <c r="BD23" s="21">
        <f t="shared" si="14"/>
        <v>677.42</v>
      </c>
      <c r="BE23" s="21">
        <f t="shared" si="15"/>
        <v>11967.78</v>
      </c>
      <c r="BF23" s="46" t="str">
        <f t="shared" si="8"/>
        <v/>
      </c>
    </row>
    <row r="24" spans="1:58" s="3" customFormat="1" ht="15" customHeight="1" x14ac:dyDescent="0.25">
      <c r="A24" s="10">
        <f t="shared" si="9"/>
        <v>22</v>
      </c>
      <c r="B24" s="11">
        <v>2502</v>
      </c>
      <c r="C24" s="11" t="s">
        <v>157</v>
      </c>
      <c r="D24" s="14" t="s">
        <v>158</v>
      </c>
      <c r="E24" s="12" t="s">
        <v>159</v>
      </c>
      <c r="F24" s="13">
        <v>45444</v>
      </c>
      <c r="G24" s="13">
        <v>45808</v>
      </c>
      <c r="H24" s="10"/>
      <c r="I24" s="17" t="s">
        <v>93</v>
      </c>
      <c r="J24" s="18">
        <v>1030</v>
      </c>
      <c r="K24" s="18">
        <v>3174</v>
      </c>
      <c r="L24" s="18">
        <v>1771.14</v>
      </c>
      <c r="M24" s="18"/>
      <c r="N24" s="18"/>
      <c r="O24" s="18"/>
      <c r="P24" s="18"/>
      <c r="Q24" s="18"/>
      <c r="R24" s="18">
        <v>630</v>
      </c>
      <c r="S24" s="18"/>
      <c r="T24" s="18"/>
      <c r="U24" s="18"/>
      <c r="V24" s="18"/>
      <c r="W24" s="18"/>
      <c r="X24" s="18" t="str">
        <f t="shared" si="16"/>
        <v/>
      </c>
      <c r="Y24" s="18"/>
      <c r="Z24" s="21">
        <f t="shared" si="10"/>
        <v>6605.14</v>
      </c>
      <c r="AA24" s="22">
        <v>7974</v>
      </c>
      <c r="AB24" s="23">
        <v>637.91999999999996</v>
      </c>
      <c r="AC24" s="23">
        <v>159.47999999999999</v>
      </c>
      <c r="AD24" s="23">
        <v>39.869999999999997</v>
      </c>
      <c r="AE24" s="22">
        <v>7974</v>
      </c>
      <c r="AF24" s="22">
        <f t="shared" si="17"/>
        <v>558</v>
      </c>
      <c r="AG24" s="21">
        <f t="shared" si="1"/>
        <v>1395.27</v>
      </c>
      <c r="AH24" s="25"/>
      <c r="AI24" s="25"/>
      <c r="AJ24" s="25"/>
      <c r="AK24" s="21">
        <f t="shared" si="11"/>
        <v>5209.8700000000008</v>
      </c>
      <c r="AL24" s="22">
        <v>7974</v>
      </c>
      <c r="AM24" s="22">
        <v>7974</v>
      </c>
      <c r="AN24" s="22">
        <f t="shared" si="18"/>
        <v>1275.8399999999999</v>
      </c>
      <c r="AO24" s="22">
        <f t="shared" si="12"/>
        <v>717.66</v>
      </c>
      <c r="AP24" s="22">
        <f t="shared" si="3"/>
        <v>39.869999999999997</v>
      </c>
      <c r="AQ24" s="22">
        <v>15.95</v>
      </c>
      <c r="AR24" s="22"/>
      <c r="AS24" s="22">
        <f t="shared" si="4"/>
        <v>558</v>
      </c>
      <c r="AT24" s="22">
        <f t="shared" si="5"/>
        <v>119.61</v>
      </c>
      <c r="AU24" s="21">
        <f t="shared" si="6"/>
        <v>2726.93</v>
      </c>
      <c r="AV24" s="21">
        <f>VLOOKUP(D24,[1]Sheet1!$F:$Q,12,0)</f>
        <v>120</v>
      </c>
      <c r="AW24" s="21">
        <f t="shared" si="7"/>
        <v>9452.07</v>
      </c>
      <c r="AX24" s="32"/>
      <c r="AY24" s="45">
        <v>-4.4600000000000009</v>
      </c>
      <c r="AZ24" s="45"/>
      <c r="BA24" s="47" t="s">
        <v>179</v>
      </c>
      <c r="BB24" s="21">
        <v>255</v>
      </c>
      <c r="BC24" s="34">
        <f t="shared" si="13"/>
        <v>9702.61</v>
      </c>
      <c r="BD24" s="21">
        <f t="shared" si="14"/>
        <v>582.16</v>
      </c>
      <c r="BE24" s="21">
        <f t="shared" si="15"/>
        <v>10284.77</v>
      </c>
      <c r="BF24" s="46" t="str">
        <f t="shared" si="8"/>
        <v/>
      </c>
    </row>
    <row r="25" spans="1:58" s="3" customFormat="1" ht="15" customHeight="1" x14ac:dyDescent="0.25">
      <c r="A25" s="10">
        <f t="shared" si="9"/>
        <v>23</v>
      </c>
      <c r="B25" s="11">
        <v>2502</v>
      </c>
      <c r="C25" s="11" t="s">
        <v>160</v>
      </c>
      <c r="D25" s="14" t="s">
        <v>161</v>
      </c>
      <c r="E25" s="12" t="s">
        <v>162</v>
      </c>
      <c r="F25" s="13">
        <v>45444</v>
      </c>
      <c r="G25" s="13">
        <v>45808</v>
      </c>
      <c r="H25" s="10"/>
      <c r="I25" s="17" t="s">
        <v>93</v>
      </c>
      <c r="J25" s="18">
        <v>1030</v>
      </c>
      <c r="K25" s="18">
        <f>5316.8-U25</f>
        <v>4945.8</v>
      </c>
      <c r="L25" s="18">
        <v>4563.1400000000003</v>
      </c>
      <c r="M25" s="18"/>
      <c r="N25" s="18"/>
      <c r="O25" s="18"/>
      <c r="P25" s="18"/>
      <c r="Q25" s="18"/>
      <c r="R25" s="18">
        <v>630</v>
      </c>
      <c r="S25" s="18"/>
      <c r="T25" s="18"/>
      <c r="U25" s="18">
        <v>371</v>
      </c>
      <c r="V25" s="18"/>
      <c r="W25" s="18"/>
      <c r="X25" s="18" t="str">
        <f t="shared" si="16"/>
        <v/>
      </c>
      <c r="Y25" s="18"/>
      <c r="Z25" s="21">
        <f t="shared" si="10"/>
        <v>11539.94</v>
      </c>
      <c r="AA25" s="22">
        <v>7384</v>
      </c>
      <c r="AB25" s="23">
        <v>590.72</v>
      </c>
      <c r="AC25" s="23">
        <v>147.68</v>
      </c>
      <c r="AD25" s="23">
        <v>36.92</v>
      </c>
      <c r="AE25" s="22">
        <v>7139</v>
      </c>
      <c r="AF25" s="22">
        <f t="shared" si="17"/>
        <v>500</v>
      </c>
      <c r="AG25" s="21">
        <f t="shared" si="1"/>
        <v>1275.3200000000002</v>
      </c>
      <c r="AH25" s="25"/>
      <c r="AI25" s="25"/>
      <c r="AJ25" s="25"/>
      <c r="AK25" s="21">
        <f t="shared" si="11"/>
        <v>10264.620000000001</v>
      </c>
      <c r="AL25" s="22">
        <v>7384</v>
      </c>
      <c r="AM25" s="22">
        <v>7139</v>
      </c>
      <c r="AN25" s="22">
        <f t="shared" si="18"/>
        <v>1181.44</v>
      </c>
      <c r="AO25" s="22">
        <f t="shared" si="12"/>
        <v>664.56</v>
      </c>
      <c r="AP25" s="22">
        <f t="shared" si="3"/>
        <v>36.92</v>
      </c>
      <c r="AQ25" s="22">
        <v>14.77</v>
      </c>
      <c r="AR25" s="22"/>
      <c r="AS25" s="22">
        <f t="shared" si="4"/>
        <v>500</v>
      </c>
      <c r="AT25" s="22">
        <f t="shared" si="5"/>
        <v>110.76</v>
      </c>
      <c r="AU25" s="21">
        <f t="shared" si="6"/>
        <v>2508.4500000000003</v>
      </c>
      <c r="AV25" s="21">
        <f>VLOOKUP(D25,[1]Sheet1!$F:$Q,12,0)</f>
        <v>218</v>
      </c>
      <c r="AW25" s="21">
        <f t="shared" si="7"/>
        <v>14266.390000000001</v>
      </c>
      <c r="AX25" s="32"/>
      <c r="AY25" s="45">
        <v>-4.129999999999999</v>
      </c>
      <c r="AZ25" s="45"/>
      <c r="BA25" s="47" t="s">
        <v>179</v>
      </c>
      <c r="BB25" s="21">
        <v>255</v>
      </c>
      <c r="BC25" s="34">
        <f t="shared" si="13"/>
        <v>14517.26</v>
      </c>
      <c r="BD25" s="21">
        <f t="shared" si="14"/>
        <v>871.04</v>
      </c>
      <c r="BE25" s="21">
        <f t="shared" si="15"/>
        <v>15388.3</v>
      </c>
      <c r="BF25" s="46" t="str">
        <f t="shared" si="8"/>
        <v/>
      </c>
    </row>
    <row r="26" spans="1:58" s="3" customFormat="1" ht="15" customHeight="1" x14ac:dyDescent="0.25">
      <c r="A26" s="10">
        <f t="shared" si="9"/>
        <v>24</v>
      </c>
      <c r="B26" s="11">
        <v>2502</v>
      </c>
      <c r="C26" s="11" t="s">
        <v>163</v>
      </c>
      <c r="D26" s="42" t="s">
        <v>164</v>
      </c>
      <c r="E26" s="12" t="s">
        <v>165</v>
      </c>
      <c r="F26" s="13">
        <v>45444</v>
      </c>
      <c r="G26" s="13">
        <v>45808</v>
      </c>
      <c r="H26" s="10"/>
      <c r="I26" s="17" t="s">
        <v>93</v>
      </c>
      <c r="J26" s="18">
        <v>1030</v>
      </c>
      <c r="K26" s="18">
        <f>1882.2-U26</f>
        <v>1511.2</v>
      </c>
      <c r="L26" s="18">
        <v>893.6</v>
      </c>
      <c r="M26" s="18"/>
      <c r="N26" s="18"/>
      <c r="O26" s="18"/>
      <c r="P26" s="18"/>
      <c r="Q26" s="18"/>
      <c r="R26" s="18">
        <v>630</v>
      </c>
      <c r="S26" s="18"/>
      <c r="T26" s="18"/>
      <c r="U26" s="18">
        <v>371</v>
      </c>
      <c r="V26" s="18"/>
      <c r="W26" s="18"/>
      <c r="X26" s="18">
        <f t="shared" si="16"/>
        <v>1344.65</v>
      </c>
      <c r="Y26" s="18"/>
      <c r="Z26" s="21">
        <f t="shared" si="10"/>
        <v>5780.4499999999989</v>
      </c>
      <c r="AA26" s="22">
        <v>11909</v>
      </c>
      <c r="AB26" s="23">
        <v>952.72</v>
      </c>
      <c r="AC26" s="23">
        <v>238.18</v>
      </c>
      <c r="AD26" s="23">
        <v>59.55</v>
      </c>
      <c r="AE26" s="22">
        <v>11909</v>
      </c>
      <c r="AF26" s="22">
        <f t="shared" si="17"/>
        <v>834</v>
      </c>
      <c r="AG26" s="21">
        <f t="shared" si="1"/>
        <v>2084.4499999999998</v>
      </c>
      <c r="AH26" s="25"/>
      <c r="AI26" s="25"/>
      <c r="AJ26" s="25"/>
      <c r="AK26" s="21">
        <f t="shared" si="11"/>
        <v>3695.9999999999991</v>
      </c>
      <c r="AL26" s="22">
        <v>11909</v>
      </c>
      <c r="AM26" s="22">
        <v>11909</v>
      </c>
      <c r="AN26" s="22">
        <f t="shared" ref="AN26:AN28" si="19">ROUND(AL26*16%,2)</f>
        <v>1905.44</v>
      </c>
      <c r="AO26" s="22">
        <v>1071.82</v>
      </c>
      <c r="AP26" s="22">
        <f t="shared" si="3"/>
        <v>59.55</v>
      </c>
      <c r="AQ26" s="22">
        <v>23.82</v>
      </c>
      <c r="AR26" s="22"/>
      <c r="AS26" s="22">
        <f t="shared" si="4"/>
        <v>834</v>
      </c>
      <c r="AT26" s="22">
        <f t="shared" si="5"/>
        <v>178.64</v>
      </c>
      <c r="AU26" s="21">
        <f t="shared" si="6"/>
        <v>4073.2700000000004</v>
      </c>
      <c r="AV26" s="21">
        <f>VLOOKUP(D26,[1]Sheet1!$F:$Q,12,0)</f>
        <v>103</v>
      </c>
      <c r="AW26" s="21">
        <f t="shared" si="7"/>
        <v>9956.7199999999993</v>
      </c>
      <c r="AX26" s="32">
        <f>5</f>
        <v>5</v>
      </c>
      <c r="AY26" s="45">
        <v>-6.6699999999999982</v>
      </c>
      <c r="AZ26" s="48">
        <f>5</f>
        <v>5</v>
      </c>
      <c r="BA26" s="33" t="s">
        <v>189</v>
      </c>
      <c r="BB26" s="21">
        <v>255</v>
      </c>
      <c r="BC26" s="34">
        <f t="shared" si="13"/>
        <v>10215.049999999999</v>
      </c>
      <c r="BD26" s="21">
        <f t="shared" si="14"/>
        <v>612.9</v>
      </c>
      <c r="BE26" s="21">
        <f t="shared" si="15"/>
        <v>10827.95</v>
      </c>
      <c r="BF26" s="46" t="str">
        <f t="shared" si="8"/>
        <v/>
      </c>
    </row>
    <row r="27" spans="1:58" s="3" customFormat="1" ht="15" customHeight="1" x14ac:dyDescent="0.25">
      <c r="A27" s="10">
        <f t="shared" si="9"/>
        <v>25</v>
      </c>
      <c r="B27" s="11">
        <v>2502</v>
      </c>
      <c r="C27" s="11" t="s">
        <v>166</v>
      </c>
      <c r="D27" s="14" t="s">
        <v>167</v>
      </c>
      <c r="E27" s="12" t="s">
        <v>168</v>
      </c>
      <c r="F27" s="13">
        <v>45444</v>
      </c>
      <c r="G27" s="13">
        <v>45808</v>
      </c>
      <c r="H27" s="10"/>
      <c r="I27" s="17" t="s">
        <v>93</v>
      </c>
      <c r="J27" s="18">
        <v>1200</v>
      </c>
      <c r="K27" s="18">
        <f>3768.2-U27</f>
        <v>3397.2</v>
      </c>
      <c r="L27" s="18">
        <v>1056.44</v>
      </c>
      <c r="M27" s="18"/>
      <c r="N27" s="18"/>
      <c r="O27" s="18"/>
      <c r="P27" s="18"/>
      <c r="Q27" s="18"/>
      <c r="R27" s="18">
        <v>630</v>
      </c>
      <c r="S27" s="18"/>
      <c r="T27" s="18"/>
      <c r="U27" s="18">
        <v>371</v>
      </c>
      <c r="V27" s="18"/>
      <c r="W27" s="18"/>
      <c r="X27" s="18" t="str">
        <f t="shared" si="16"/>
        <v/>
      </c>
      <c r="Y27" s="18"/>
      <c r="Z27" s="21">
        <f t="shared" si="10"/>
        <v>6654.6399999999994</v>
      </c>
      <c r="AA27" s="22">
        <v>14537</v>
      </c>
      <c r="AB27" s="23">
        <v>1162.96</v>
      </c>
      <c r="AC27" s="23">
        <v>290.74</v>
      </c>
      <c r="AD27" s="23">
        <v>72.69</v>
      </c>
      <c r="AE27" s="22">
        <v>14537</v>
      </c>
      <c r="AF27" s="22">
        <f t="shared" si="17"/>
        <v>1018</v>
      </c>
      <c r="AG27" s="21">
        <f t="shared" si="1"/>
        <v>2544.3900000000003</v>
      </c>
      <c r="AH27" s="25"/>
      <c r="AI27" s="25"/>
      <c r="AJ27" s="25"/>
      <c r="AK27" s="21">
        <f t="shared" si="11"/>
        <v>4110.2499999999991</v>
      </c>
      <c r="AL27" s="22">
        <v>14537</v>
      </c>
      <c r="AM27" s="22">
        <v>14537</v>
      </c>
      <c r="AN27" s="22">
        <f t="shared" si="19"/>
        <v>2325.92</v>
      </c>
      <c r="AO27" s="22">
        <v>1308.3399999999999</v>
      </c>
      <c r="AP27" s="22">
        <f t="shared" si="3"/>
        <v>72.69</v>
      </c>
      <c r="AQ27" s="22">
        <v>29.07</v>
      </c>
      <c r="AR27" s="22"/>
      <c r="AS27" s="22">
        <f t="shared" si="4"/>
        <v>1018</v>
      </c>
      <c r="AT27" s="22">
        <f t="shared" si="5"/>
        <v>218.06</v>
      </c>
      <c r="AU27" s="21">
        <f t="shared" si="6"/>
        <v>4972.0800000000008</v>
      </c>
      <c r="AV27" s="21">
        <f>VLOOKUP(D27,[1]Sheet1!$F:$Q,12,0)</f>
        <v>120</v>
      </c>
      <c r="AW27" s="21">
        <f>AU27+Z27+AI27-AJ27+AV27</f>
        <v>11746.720000000001</v>
      </c>
      <c r="AX27" s="32"/>
      <c r="AY27" s="45">
        <v>-8.14</v>
      </c>
      <c r="AZ27" s="45"/>
      <c r="BA27" s="47" t="s">
        <v>179</v>
      </c>
      <c r="BB27" s="21">
        <v>255</v>
      </c>
      <c r="BC27" s="34">
        <f t="shared" si="13"/>
        <v>11993.58</v>
      </c>
      <c r="BD27" s="21">
        <f t="shared" si="14"/>
        <v>719.61</v>
      </c>
      <c r="BE27" s="21">
        <f t="shared" si="15"/>
        <v>12713.19</v>
      </c>
      <c r="BF27" s="46" t="str">
        <f t="shared" si="8"/>
        <v/>
      </c>
    </row>
    <row r="28" spans="1:58" s="3" customFormat="1" ht="15" customHeight="1" x14ac:dyDescent="0.25">
      <c r="A28" s="10">
        <f t="shared" si="9"/>
        <v>26</v>
      </c>
      <c r="B28" s="11">
        <v>2502</v>
      </c>
      <c r="C28" s="11" t="s">
        <v>169</v>
      </c>
      <c r="D28" s="14" t="s">
        <v>170</v>
      </c>
      <c r="E28" s="12" t="s">
        <v>171</v>
      </c>
      <c r="F28" s="13">
        <v>45444</v>
      </c>
      <c r="G28" s="13">
        <v>45808</v>
      </c>
      <c r="H28" s="10"/>
      <c r="I28" s="17" t="s">
        <v>93</v>
      </c>
      <c r="J28" s="18">
        <v>800</v>
      </c>
      <c r="K28" s="18">
        <f>3343.4-U28</f>
        <v>2972.4</v>
      </c>
      <c r="L28" s="18">
        <v>2906.94</v>
      </c>
      <c r="M28" s="18"/>
      <c r="N28" s="18"/>
      <c r="O28" s="18"/>
      <c r="P28" s="18"/>
      <c r="Q28" s="18"/>
      <c r="R28" s="18">
        <v>630</v>
      </c>
      <c r="S28" s="18"/>
      <c r="T28" s="18"/>
      <c r="U28" s="18">
        <v>371</v>
      </c>
      <c r="V28" s="18"/>
      <c r="W28" s="18"/>
      <c r="X28" s="18" t="str">
        <f t="shared" si="16"/>
        <v/>
      </c>
      <c r="Y28" s="18"/>
      <c r="Z28" s="21">
        <f t="shared" si="10"/>
        <v>7680.34</v>
      </c>
      <c r="AA28" s="22">
        <v>7384</v>
      </c>
      <c r="AB28" s="23">
        <v>590.72</v>
      </c>
      <c r="AC28" s="23">
        <v>147.68</v>
      </c>
      <c r="AD28" s="23">
        <v>36.92</v>
      </c>
      <c r="AE28" s="22">
        <v>5239</v>
      </c>
      <c r="AF28" s="22">
        <f t="shared" si="17"/>
        <v>367</v>
      </c>
      <c r="AG28" s="21">
        <f t="shared" si="1"/>
        <v>1142.3200000000002</v>
      </c>
      <c r="AH28" s="25"/>
      <c r="AI28" s="25"/>
      <c r="AJ28" s="25"/>
      <c r="AK28" s="21">
        <f t="shared" si="11"/>
        <v>6538.02</v>
      </c>
      <c r="AL28" s="22">
        <v>7384</v>
      </c>
      <c r="AM28" s="22">
        <v>5239</v>
      </c>
      <c r="AN28" s="22">
        <f t="shared" si="19"/>
        <v>1181.44</v>
      </c>
      <c r="AO28" s="22">
        <f t="shared" si="12"/>
        <v>664.56</v>
      </c>
      <c r="AP28" s="22">
        <f t="shared" si="3"/>
        <v>36.92</v>
      </c>
      <c r="AQ28" s="22">
        <v>14.77</v>
      </c>
      <c r="AR28" s="22"/>
      <c r="AS28" s="22">
        <f t="shared" si="4"/>
        <v>367</v>
      </c>
      <c r="AT28" s="22">
        <f t="shared" si="5"/>
        <v>110.76</v>
      </c>
      <c r="AU28" s="21">
        <f t="shared" si="6"/>
        <v>2375.4500000000003</v>
      </c>
      <c r="AV28" s="21">
        <f>VLOOKUP(D28,[1]Sheet1!$F:$Q,12,0)</f>
        <v>141</v>
      </c>
      <c r="AW28" s="21">
        <f t="shared" si="7"/>
        <v>10196.790000000001</v>
      </c>
      <c r="AX28" s="32"/>
      <c r="AY28" s="45">
        <v>-4.129999999999999</v>
      </c>
      <c r="AZ28" s="45"/>
      <c r="BA28" s="47" t="s">
        <v>179</v>
      </c>
      <c r="BB28" s="21">
        <v>255</v>
      </c>
      <c r="BC28" s="34">
        <f t="shared" si="13"/>
        <v>10447.66</v>
      </c>
      <c r="BD28" s="21">
        <f t="shared" si="14"/>
        <v>626.86</v>
      </c>
      <c r="BE28" s="21">
        <f t="shared" si="15"/>
        <v>11074.52</v>
      </c>
      <c r="BF28" s="46" t="str">
        <f t="shared" si="8"/>
        <v/>
      </c>
    </row>
    <row r="29" spans="1:58" s="3" customFormat="1" ht="15" customHeight="1" x14ac:dyDescent="0.25">
      <c r="A29" s="10">
        <f t="shared" si="9"/>
        <v>27</v>
      </c>
      <c r="B29" s="11">
        <v>2502</v>
      </c>
      <c r="C29" s="12" t="s">
        <v>181</v>
      </c>
      <c r="D29" s="14" t="s">
        <v>175</v>
      </c>
      <c r="E29" s="40" t="s">
        <v>176</v>
      </c>
      <c r="F29" s="13">
        <v>45658</v>
      </c>
      <c r="G29" s="13">
        <v>47118</v>
      </c>
      <c r="H29" s="10"/>
      <c r="I29" s="17" t="s">
        <v>93</v>
      </c>
      <c r="J29" s="18">
        <v>1300</v>
      </c>
      <c r="K29" s="18">
        <v>6021.6</v>
      </c>
      <c r="L29" s="18">
        <v>1015.4</v>
      </c>
      <c r="M29" s="18"/>
      <c r="N29" s="18"/>
      <c r="O29" s="18"/>
      <c r="P29" s="18"/>
      <c r="Q29" s="18"/>
      <c r="R29" s="18">
        <v>630</v>
      </c>
      <c r="S29" s="18"/>
      <c r="T29" s="18"/>
      <c r="U29" s="18"/>
      <c r="V29" s="18"/>
      <c r="W29" s="18"/>
      <c r="X29" s="18" t="str">
        <f t="shared" si="16"/>
        <v/>
      </c>
      <c r="Y29" s="18"/>
      <c r="Z29" s="21">
        <f t="shared" si="10"/>
        <v>8967</v>
      </c>
      <c r="AA29" s="22">
        <v>9575</v>
      </c>
      <c r="AB29" s="23">
        <v>766</v>
      </c>
      <c r="AC29" s="23">
        <v>191.5</v>
      </c>
      <c r="AD29" s="23">
        <v>47.88</v>
      </c>
      <c r="AE29" s="22">
        <v>9575</v>
      </c>
      <c r="AF29" s="22">
        <v>670</v>
      </c>
      <c r="AG29" s="21">
        <f>AB29+AC29+AD29+AF29</f>
        <v>1675.38</v>
      </c>
      <c r="AH29" s="25"/>
      <c r="AI29" s="25"/>
      <c r="AJ29" s="25"/>
      <c r="AK29" s="21">
        <f t="shared" si="11"/>
        <v>7291.62</v>
      </c>
      <c r="AL29" s="22">
        <v>9575</v>
      </c>
      <c r="AM29" s="22">
        <v>9575</v>
      </c>
      <c r="AN29" s="22">
        <v>1532</v>
      </c>
      <c r="AO29" s="22">
        <v>861.76</v>
      </c>
      <c r="AP29" s="22">
        <v>47.88</v>
      </c>
      <c r="AQ29" s="22">
        <v>19.149999999999999</v>
      </c>
      <c r="AR29" s="22"/>
      <c r="AS29" s="22">
        <v>670</v>
      </c>
      <c r="AT29" s="22">
        <v>143.63</v>
      </c>
      <c r="AU29" s="21">
        <f t="shared" si="6"/>
        <v>3274.4200000000005</v>
      </c>
      <c r="AV29" s="21">
        <f>VLOOKUP(D29,[1]Sheet1!$F:$Q,12,0)</f>
        <v>167</v>
      </c>
      <c r="AW29" s="21">
        <f>AU29+Z29+AI29-AJ29+AV29</f>
        <v>12408.42</v>
      </c>
      <c r="AX29" s="32">
        <f>3.76</f>
        <v>3.76</v>
      </c>
      <c r="AY29" s="45">
        <v>0</v>
      </c>
      <c r="AZ29" s="45"/>
      <c r="BA29" s="47" t="s">
        <v>185</v>
      </c>
      <c r="BB29" s="21">
        <v>255</v>
      </c>
      <c r="BC29" s="34">
        <f t="shared" si="13"/>
        <v>12667.18</v>
      </c>
      <c r="BD29" s="21">
        <f>ROUND(BC29*6%,2)</f>
        <v>760.03</v>
      </c>
      <c r="BE29" s="21">
        <f t="shared" si="15"/>
        <v>13427.21</v>
      </c>
      <c r="BF29" s="46" t="str">
        <f t="shared" si="8"/>
        <v/>
      </c>
    </row>
    <row r="30" spans="1:58" s="3" customFormat="1" ht="15" customHeight="1" x14ac:dyDescent="0.25">
      <c r="A30" s="10">
        <f t="shared" si="9"/>
        <v>28</v>
      </c>
      <c r="B30" s="11">
        <v>2502</v>
      </c>
      <c r="C30" s="11" t="s">
        <v>133</v>
      </c>
      <c r="D30" s="43" t="s">
        <v>134</v>
      </c>
      <c r="E30" s="12" t="s">
        <v>135</v>
      </c>
      <c r="F30" s="13">
        <v>45444</v>
      </c>
      <c r="G30" s="13">
        <v>45808</v>
      </c>
      <c r="H30" s="44">
        <v>45661</v>
      </c>
      <c r="I30" s="17" t="s">
        <v>93</v>
      </c>
      <c r="J30" s="18"/>
      <c r="K30" s="18">
        <v>72</v>
      </c>
      <c r="L30" s="18">
        <v>393.9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1">
        <f>SUM(J30:Y30)</f>
        <v>465.9</v>
      </c>
      <c r="AA30" s="22"/>
      <c r="AB30" s="23"/>
      <c r="AC30" s="23"/>
      <c r="AD30" s="23"/>
      <c r="AE30" s="22"/>
      <c r="AF30" s="22"/>
      <c r="AG30" s="21">
        <f>AB30+AC30+AD30+AF30</f>
        <v>0</v>
      </c>
      <c r="AH30" s="25"/>
      <c r="AI30" s="25"/>
      <c r="AJ30" s="25"/>
      <c r="AK30" s="21">
        <f t="shared" si="11"/>
        <v>465.9</v>
      </c>
      <c r="AL30" s="22"/>
      <c r="AM30" s="22"/>
      <c r="AN30" s="22"/>
      <c r="AO30" s="22"/>
      <c r="AP30" s="22"/>
      <c r="AQ30" s="22"/>
      <c r="AR30" s="22"/>
      <c r="AS30" s="22"/>
      <c r="AT30" s="22"/>
      <c r="AU30" s="21">
        <f>SUM(AN30:AT30)</f>
        <v>0</v>
      </c>
      <c r="AV30" s="21">
        <v>9</v>
      </c>
      <c r="AW30" s="21">
        <f>AU30+Z30+AI30-AJ30+AV30</f>
        <v>474.9</v>
      </c>
      <c r="AX30" s="32"/>
      <c r="AY30" s="45">
        <v>-6.25</v>
      </c>
      <c r="AZ30" s="48">
        <f>6.25</f>
        <v>6.25</v>
      </c>
      <c r="BA30" s="33" t="s">
        <v>190</v>
      </c>
      <c r="BB30" s="21">
        <v>0</v>
      </c>
      <c r="BC30" s="34">
        <f t="shared" si="13"/>
        <v>474.9</v>
      </c>
      <c r="BD30" s="21">
        <f>ROUND(BC30*6%,2)</f>
        <v>28.49</v>
      </c>
      <c r="BE30" s="21">
        <f>ROUND(SUM(BC30:BD30),2)</f>
        <v>503.39</v>
      </c>
      <c r="BF30" s="46"/>
    </row>
    <row r="31" spans="1:58" x14ac:dyDescent="0.25">
      <c r="A31" s="4" t="s">
        <v>172</v>
      </c>
      <c r="Z31" s="24">
        <f>SUBTOTAL(9,Z3:Z30)</f>
        <v>222375.34000000003</v>
      </c>
      <c r="AB31" s="36"/>
      <c r="AC31" s="36"/>
      <c r="AD31" s="36"/>
      <c r="AE31" s="35"/>
      <c r="AF31" s="36"/>
      <c r="AG31" s="24">
        <f>SUBTOTAL(9,AG3:AG30)</f>
        <v>45743.839999999989</v>
      </c>
      <c r="AK31" s="24">
        <f>SUBTOTAL(9,AK3:AK30)</f>
        <v>176631.49999999994</v>
      </c>
      <c r="AU31" s="24">
        <f>SUBTOTAL(9,AU3:AU30)</f>
        <v>89938.249999999985</v>
      </c>
      <c r="AV31" s="39">
        <f>SUM(AV3:AV30)</f>
        <v>4105</v>
      </c>
      <c r="AW31" s="24">
        <f>SUBTOTAL(9,AW3:AW30)</f>
        <v>316418.58999999997</v>
      </c>
      <c r="AX31" s="24">
        <f>SUBTOTAL(9,AX3:AX30)</f>
        <v>18.759999999999998</v>
      </c>
      <c r="AY31" s="24">
        <f>SUBTOTAL(9,AY3:AY30)</f>
        <v>-149.05000000000001</v>
      </c>
      <c r="AZ31" s="24">
        <f>SUBTOTAL(9,AZ3:AZ30)</f>
        <v>21.25</v>
      </c>
      <c r="BA31" s="41"/>
      <c r="BB31" s="24">
        <f>SUBTOTAL(9,BB3:BB30)</f>
        <v>6885</v>
      </c>
      <c r="BC31" s="38">
        <f>SUBTOTAL(9,BC3:BC30)</f>
        <v>323194.55000000005</v>
      </c>
      <c r="BD31" s="24">
        <f>SUBTOTAL(9,BD3:BD30)</f>
        <v>19391.680000000004</v>
      </c>
      <c r="BE31" s="24">
        <f>SUBTOTAL(9,BE3:BE30)</f>
        <v>342586.23000000004</v>
      </c>
    </row>
    <row r="32" spans="1:58" x14ac:dyDescent="0.25">
      <c r="BA32" s="41"/>
      <c r="BC32" s="37"/>
    </row>
    <row r="33" spans="50:50" x14ac:dyDescent="0.25">
      <c r="AX33" s="37"/>
    </row>
  </sheetData>
  <autoFilter ref="A1:BF30" xr:uid="{00000000-0009-0000-0000-000000000000}"/>
  <mergeCells count="1">
    <mergeCell ref="M1:Y1"/>
  </mergeCells>
  <phoneticPr fontId="12" type="noConversion"/>
  <conditionalFormatting sqref="C1">
    <cfRule type="duplicateValues" dxfId="21" priority="138"/>
    <cfRule type="duplicateValues" dxfId="20" priority="139"/>
    <cfRule type="duplicateValues" dxfId="19" priority="140"/>
    <cfRule type="duplicateValues" dxfId="18" priority="141"/>
    <cfRule type="duplicateValues" dxfId="17" priority="142"/>
    <cfRule type="duplicateValues" dxfId="16" priority="143"/>
  </conditionalFormatting>
  <conditionalFormatting sqref="D1">
    <cfRule type="duplicateValues" dxfId="15" priority="165"/>
    <cfRule type="duplicateValues" dxfId="14" priority="166"/>
    <cfRule type="duplicateValues" dxfId="13" priority="167"/>
    <cfRule type="duplicateValues" dxfId="12" priority="168"/>
    <cfRule type="duplicateValues" dxfId="11" priority="169"/>
    <cfRule type="duplicateValues" dxfId="10" priority="170"/>
  </conditionalFormatting>
  <conditionalFormatting sqref="C2">
    <cfRule type="duplicateValues" dxfId="9" priority="135"/>
    <cfRule type="duplicateValues" dxfId="8" priority="136"/>
    <cfRule type="duplicateValues" dxfId="7" priority="137"/>
  </conditionalFormatting>
  <conditionalFormatting sqref="D2">
    <cfRule type="duplicateValues" dxfId="6" priority="162"/>
    <cfRule type="duplicateValues" dxfId="5" priority="163"/>
    <cfRule type="duplicateValues" dxfId="4" priority="164"/>
  </conditionalFormatting>
  <conditionalFormatting sqref="AA3:AA30">
    <cfRule type="cellIs" dxfId="3" priority="65" operator="lessThan">
      <formula>7384</formula>
    </cfRule>
  </conditionalFormatting>
  <conditionalFormatting sqref="AL3:AL30">
    <cfRule type="cellIs" dxfId="2" priority="63" operator="lessThan">
      <formula>7384</formula>
    </cfRule>
    <cfRule type="cellIs" dxfId="1" priority="64" operator="lessThan">
      <formula>7384</formula>
    </cfRule>
  </conditionalFormatting>
  <conditionalFormatting sqref="AE29:AE30">
    <cfRule type="cellIs" dxfId="0" priority="61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EB34-FA9B-4FE5-9CEA-8FAAC1A42D43}">
  <dimension ref="A1:J20"/>
  <sheetViews>
    <sheetView tabSelected="1" workbookViewId="0">
      <selection sqref="A1:XFD1048576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101" t="s">
        <v>294</v>
      </c>
      <c r="B1" s="102" t="s">
        <v>295</v>
      </c>
      <c r="C1" s="102" t="s">
        <v>296</v>
      </c>
      <c r="D1" s="102">
        <v>155</v>
      </c>
      <c r="E1" s="102" t="s">
        <v>297</v>
      </c>
      <c r="F1" s="102" t="s">
        <v>351</v>
      </c>
      <c r="G1" s="102" t="s">
        <v>298</v>
      </c>
      <c r="H1" s="102" t="s">
        <v>186</v>
      </c>
      <c r="I1" s="102" t="s">
        <v>172</v>
      </c>
      <c r="J1" s="103" t="s">
        <v>299</v>
      </c>
    </row>
    <row r="2" spans="1:10" x14ac:dyDescent="0.25">
      <c r="A2" s="101" t="s">
        <v>202</v>
      </c>
      <c r="B2" s="102">
        <f>'202502'!BD31</f>
        <v>19391.680000000004</v>
      </c>
      <c r="C2" s="102">
        <f>系统!E44</f>
        <v>21592.729999999996</v>
      </c>
      <c r="D2" s="102">
        <f>27*155</f>
        <v>4185</v>
      </c>
      <c r="E2" s="102"/>
      <c r="F2" s="102"/>
      <c r="G2" s="102"/>
      <c r="H2" s="102"/>
      <c r="I2" s="102">
        <f>SUM(C2:G2)</f>
        <v>25777.729999999996</v>
      </c>
      <c r="J2" s="104">
        <f t="shared" ref="J2:J10" si="0">B2-C2</f>
        <v>-2201.049999999992</v>
      </c>
    </row>
    <row r="3" spans="1:10" x14ac:dyDescent="0.25">
      <c r="A3" s="101" t="s">
        <v>300</v>
      </c>
      <c r="B3" s="102">
        <f>'202502'!BB31</f>
        <v>6885</v>
      </c>
      <c r="C3" s="102">
        <v>0</v>
      </c>
      <c r="D3" s="102"/>
      <c r="E3" s="102"/>
      <c r="F3" s="102"/>
      <c r="G3" s="102"/>
      <c r="H3" s="102"/>
      <c r="I3" s="102">
        <f>SUM(C3:G3)</f>
        <v>0</v>
      </c>
      <c r="J3" s="104">
        <f t="shared" si="0"/>
        <v>6885</v>
      </c>
    </row>
    <row r="4" spans="1:10" x14ac:dyDescent="0.25">
      <c r="A4" s="101" t="s">
        <v>301</v>
      </c>
      <c r="B4" s="102">
        <f>'202502'!AG31</f>
        <v>45743.839999999989</v>
      </c>
      <c r="C4" s="102">
        <f>系统!V44</f>
        <v>45743.839999999997</v>
      </c>
      <c r="D4" s="102"/>
      <c r="E4" s="102"/>
      <c r="F4" s="102"/>
      <c r="G4" s="102"/>
      <c r="H4" s="102"/>
      <c r="I4" s="102">
        <f>SUM(C4:G4)</f>
        <v>45743.839999999997</v>
      </c>
      <c r="J4" s="104">
        <f t="shared" si="0"/>
        <v>0</v>
      </c>
    </row>
    <row r="5" spans="1:10" x14ac:dyDescent="0.25">
      <c r="A5" s="101" t="s">
        <v>302</v>
      </c>
      <c r="B5" s="102">
        <f>'202502'!AU31</f>
        <v>89938.249999999985</v>
      </c>
      <c r="C5" s="102">
        <f>系统!O44</f>
        <v>89938.25</v>
      </c>
      <c r="D5" s="102"/>
      <c r="E5" s="105"/>
      <c r="F5" s="102"/>
      <c r="G5" s="102"/>
      <c r="H5" s="102"/>
      <c r="I5" s="102">
        <f>SUM(C5:E5)</f>
        <v>89938.25</v>
      </c>
      <c r="J5" s="104">
        <f t="shared" si="0"/>
        <v>0</v>
      </c>
    </row>
    <row r="6" spans="1:10" x14ac:dyDescent="0.25">
      <c r="A6" s="101" t="s">
        <v>303</v>
      </c>
      <c r="B6" s="102"/>
      <c r="C6" s="102"/>
      <c r="D6" s="102"/>
      <c r="E6" s="102"/>
      <c r="F6" s="102"/>
      <c r="G6" s="102"/>
      <c r="H6" s="102"/>
      <c r="I6" s="102">
        <f t="shared" ref="I6:I10" si="1">SUM(C6:G6)</f>
        <v>0</v>
      </c>
      <c r="J6" s="104">
        <f t="shared" si="0"/>
        <v>0</v>
      </c>
    </row>
    <row r="7" spans="1:10" x14ac:dyDescent="0.25">
      <c r="A7" s="101" t="s">
        <v>304</v>
      </c>
      <c r="B7" s="102">
        <f>'202502'!Z31-'202502'!AG31</f>
        <v>176631.50000000003</v>
      </c>
      <c r="C7" s="102">
        <f>系统!W44</f>
        <v>176496.5</v>
      </c>
      <c r="D7" s="102">
        <f>5*27</f>
        <v>135</v>
      </c>
      <c r="E7" s="102"/>
      <c r="F7" s="102"/>
      <c r="G7" s="102"/>
      <c r="H7" s="102"/>
      <c r="I7" s="102">
        <f t="shared" si="1"/>
        <v>176631.5</v>
      </c>
      <c r="J7" s="104">
        <f t="shared" si="0"/>
        <v>135.0000000000291</v>
      </c>
    </row>
    <row r="8" spans="1:10" x14ac:dyDescent="0.25">
      <c r="A8" s="101" t="s">
        <v>305</v>
      </c>
      <c r="B8" s="102">
        <f>'202502'!AX31+'202502'!AZ31</f>
        <v>40.01</v>
      </c>
      <c r="C8" s="102"/>
      <c r="D8" s="102">
        <f>40</f>
        <v>40</v>
      </c>
      <c r="E8" s="106"/>
      <c r="F8" s="106"/>
      <c r="G8" s="107"/>
      <c r="H8" s="107"/>
      <c r="I8" s="102">
        <f t="shared" si="1"/>
        <v>40</v>
      </c>
      <c r="J8" s="104">
        <f t="shared" si="0"/>
        <v>40.01</v>
      </c>
    </row>
    <row r="9" spans="1:10" x14ac:dyDescent="0.25">
      <c r="A9" s="101" t="s">
        <v>306</v>
      </c>
      <c r="B9" s="102">
        <f>'202502'!AV31</f>
        <v>4105</v>
      </c>
      <c r="C9" s="102"/>
      <c r="D9" s="102">
        <f>B10</f>
        <v>-149.05000000000001</v>
      </c>
      <c r="E9" s="102"/>
      <c r="F9" s="102">
        <f>B9</f>
        <v>4105</v>
      </c>
      <c r="G9" s="107"/>
      <c r="H9" s="107"/>
      <c r="I9" s="102">
        <f t="shared" si="1"/>
        <v>3955.95</v>
      </c>
      <c r="J9" s="104">
        <f t="shared" si="0"/>
        <v>4105</v>
      </c>
    </row>
    <row r="10" spans="1:10" x14ac:dyDescent="0.25">
      <c r="A10" s="101" t="s">
        <v>307</v>
      </c>
      <c r="B10" s="102">
        <f>'202502'!AY31</f>
        <v>-149.05000000000001</v>
      </c>
      <c r="C10" s="102"/>
      <c r="D10" s="102"/>
      <c r="E10" s="102"/>
      <c r="F10" s="102"/>
      <c r="G10" s="102"/>
      <c r="H10" s="102"/>
      <c r="I10" s="102">
        <f t="shared" si="1"/>
        <v>0</v>
      </c>
      <c r="J10" s="104">
        <f t="shared" si="0"/>
        <v>-149.05000000000001</v>
      </c>
    </row>
    <row r="11" spans="1:10" x14ac:dyDescent="0.25">
      <c r="A11" s="108" t="s">
        <v>308</v>
      </c>
      <c r="B11" s="109">
        <f t="shared" ref="B11" si="2">SUM(B2:B10)</f>
        <v>342586.23000000004</v>
      </c>
      <c r="C11" s="109">
        <f>SUM(C2:C10)</f>
        <v>333771.32</v>
      </c>
      <c r="D11" s="109">
        <f>SUM(D2:D10)</f>
        <v>4210.95</v>
      </c>
      <c r="E11" s="109">
        <f>E5</f>
        <v>0</v>
      </c>
      <c r="F11" s="109">
        <f>F9</f>
        <v>4105</v>
      </c>
      <c r="G11" s="109">
        <f>G9</f>
        <v>0</v>
      </c>
      <c r="H11" s="109">
        <f>H9</f>
        <v>0</v>
      </c>
      <c r="I11" s="109">
        <f>SUM(C11:G11)</f>
        <v>342087.27</v>
      </c>
    </row>
    <row r="12" spans="1:10" x14ac:dyDescent="0.25">
      <c r="A12" s="101" t="s">
        <v>309</v>
      </c>
      <c r="B12" s="102"/>
      <c r="C12" s="102"/>
      <c r="D12" s="102"/>
      <c r="E12" s="102"/>
      <c r="F12" s="102"/>
      <c r="G12" s="102"/>
      <c r="H12" s="102"/>
      <c r="I12" s="102"/>
    </row>
    <row r="13" spans="1:10" x14ac:dyDescent="0.25">
      <c r="A13" s="101" t="s">
        <v>39</v>
      </c>
      <c r="B13" s="102"/>
      <c r="C13" s="102"/>
      <c r="D13" s="102">
        <f>ROUND((D11+D12)*6%,2)</f>
        <v>252.66</v>
      </c>
      <c r="E13" s="102"/>
      <c r="F13" s="102">
        <f>ROUND((F11+F12)*6%,2)</f>
        <v>246.3</v>
      </c>
      <c r="G13" s="102">
        <f>ROUND((G11+G12)*6%,2)</f>
        <v>0</v>
      </c>
      <c r="H13" s="102">
        <f>ROUND((H11+H12)*6%,2)</f>
        <v>0</v>
      </c>
      <c r="I13" s="102">
        <f>SUM(C13:G13)</f>
        <v>498.96000000000004</v>
      </c>
    </row>
    <row r="14" spans="1:10" x14ac:dyDescent="0.25">
      <c r="A14" s="110" t="s">
        <v>40</v>
      </c>
      <c r="B14" s="111">
        <f>SUM(B11:B13)</f>
        <v>342586.23000000004</v>
      </c>
      <c r="C14" s="111">
        <f t="shared" ref="C14" si="3">SUM(C11:C13)</f>
        <v>333771.32</v>
      </c>
      <c r="D14" s="111">
        <f>SUM(D11:D13)</f>
        <v>4463.6099999999997</v>
      </c>
      <c r="E14" s="111">
        <f>E11</f>
        <v>0</v>
      </c>
      <c r="F14" s="111">
        <f>SUM(F11:F13)</f>
        <v>4351.3</v>
      </c>
      <c r="G14" s="111">
        <f>SUM(G11:G13)</f>
        <v>0</v>
      </c>
      <c r="H14" s="111">
        <f>SUM(H11:H13)</f>
        <v>0</v>
      </c>
      <c r="I14" s="111">
        <f>SUM(C14:H14)</f>
        <v>342586.23</v>
      </c>
    </row>
    <row r="15" spans="1:10" x14ac:dyDescent="0.25">
      <c r="A15" s="110" t="s">
        <v>310</v>
      </c>
      <c r="B15" s="111"/>
      <c r="C15" s="111"/>
      <c r="D15" s="111"/>
      <c r="E15" s="111"/>
      <c r="F15" s="111"/>
      <c r="G15" s="111"/>
      <c r="H15" s="111"/>
      <c r="I15" s="111">
        <f>B14</f>
        <v>342586.23000000004</v>
      </c>
    </row>
    <row r="16" spans="1:10" x14ac:dyDescent="0.25">
      <c r="A16" s="101" t="s">
        <v>311</v>
      </c>
      <c r="B16" s="102"/>
      <c r="C16" s="102"/>
      <c r="D16" s="102"/>
      <c r="E16" s="102"/>
      <c r="F16" s="102"/>
      <c r="G16" s="102"/>
      <c r="H16" s="102"/>
      <c r="I16" s="102">
        <f>I15-I14</f>
        <v>0</v>
      </c>
    </row>
    <row r="17" spans="1:9" x14ac:dyDescent="0.25">
      <c r="A17" s="101" t="s">
        <v>312</v>
      </c>
      <c r="B17" s="102"/>
      <c r="C17" s="102"/>
      <c r="D17" s="102"/>
      <c r="E17" s="102"/>
      <c r="F17" s="102"/>
      <c r="G17" s="102"/>
      <c r="H17" s="102"/>
      <c r="I17" s="102">
        <f>ROUND(I16/1.06,2)</f>
        <v>0</v>
      </c>
    </row>
    <row r="19" spans="1:9" x14ac:dyDescent="0.25">
      <c r="C19" s="104"/>
      <c r="D19" s="104"/>
    </row>
    <row r="20" spans="1:9" x14ac:dyDescent="0.25">
      <c r="B20" s="104"/>
    </row>
  </sheetData>
  <phoneticPr fontId="1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9CD5-57DE-444B-8762-BDA4A5E3A624}">
  <dimension ref="A1:AE97"/>
  <sheetViews>
    <sheetView topLeftCell="A53" workbookViewId="0">
      <selection activeCell="H11" sqref="H11"/>
    </sheetView>
  </sheetViews>
  <sheetFormatPr defaultRowHeight="13.8" x14ac:dyDescent="0.25"/>
  <cols>
    <col min="1" max="4" width="8.88671875" style="53"/>
    <col min="5" max="24" width="8.88671875" style="54"/>
    <col min="25" max="25" width="10.21875" style="54" bestFit="1" customWidth="1"/>
    <col min="26" max="27" width="8.88671875" style="53"/>
    <col min="28" max="28" width="15.77734375" style="53" customWidth="1"/>
    <col min="29" max="29" width="8.88671875" style="54"/>
    <col min="30" max="30" width="8.88671875" style="53"/>
    <col min="31" max="31" width="8.88671875" style="54"/>
    <col min="32" max="16384" width="8.88671875" style="53"/>
  </cols>
  <sheetData>
    <row r="1" spans="1:31" x14ac:dyDescent="0.25">
      <c r="A1" s="52" t="s">
        <v>191</v>
      </c>
    </row>
    <row r="2" spans="1:31" x14ac:dyDescent="0.25">
      <c r="A2" s="52" t="s">
        <v>192</v>
      </c>
    </row>
    <row r="3" spans="1:31" x14ac:dyDescent="0.25">
      <c r="B3" s="52" t="s">
        <v>193</v>
      </c>
    </row>
    <row r="6" spans="1:31" ht="20.399999999999999" x14ac:dyDescent="0.25">
      <c r="D6" s="55" t="s">
        <v>194</v>
      </c>
    </row>
    <row r="7" spans="1:31" ht="20.399999999999999" x14ac:dyDescent="0.25">
      <c r="C7" s="55" t="s">
        <v>195</v>
      </c>
    </row>
    <row r="9" spans="1:31" ht="20.399999999999999" x14ac:dyDescent="0.25">
      <c r="E9" s="56" t="s">
        <v>196</v>
      </c>
    </row>
    <row r="10" spans="1:31" ht="20.399999999999999" x14ac:dyDescent="0.25">
      <c r="E10" s="56" t="s">
        <v>197</v>
      </c>
    </row>
    <row r="11" spans="1:31" ht="15.6" x14ac:dyDescent="0.25">
      <c r="E11" s="57" t="s">
        <v>198</v>
      </c>
    </row>
    <row r="13" spans="1:31" s="59" customFormat="1" ht="13.2" x14ac:dyDescent="0.25">
      <c r="A13" s="58" t="s">
        <v>199</v>
      </c>
      <c r="E13" s="60"/>
      <c r="F13" s="60"/>
      <c r="G13" s="60"/>
      <c r="H13" s="60"/>
      <c r="I13" s="60"/>
      <c r="J13" s="61" t="s">
        <v>313</v>
      </c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AC13" s="60"/>
      <c r="AE13" s="60"/>
    </row>
    <row r="14" spans="1:31" s="62" customFormat="1" ht="60" customHeight="1" x14ac:dyDescent="0.15">
      <c r="A14" s="62" t="s">
        <v>0</v>
      </c>
      <c r="B14" s="62" t="s">
        <v>3</v>
      </c>
      <c r="C14" s="62" t="s">
        <v>200</v>
      </c>
      <c r="D14" s="62" t="s">
        <v>201</v>
      </c>
      <c r="E14" s="63" t="s">
        <v>202</v>
      </c>
      <c r="F14" s="63" t="s">
        <v>203</v>
      </c>
      <c r="G14" s="63" t="s">
        <v>204</v>
      </c>
      <c r="H14" s="64" t="s">
        <v>205</v>
      </c>
      <c r="I14" s="65"/>
      <c r="J14" s="65"/>
      <c r="K14" s="65"/>
      <c r="L14" s="65"/>
      <c r="M14" s="66"/>
      <c r="N14" s="67" t="s">
        <v>206</v>
      </c>
      <c r="O14" s="63" t="s">
        <v>207</v>
      </c>
      <c r="P14" s="64" t="s">
        <v>208</v>
      </c>
      <c r="Q14" s="65"/>
      <c r="R14" s="65"/>
      <c r="S14" s="65"/>
      <c r="T14" s="66"/>
      <c r="U14" s="67" t="s">
        <v>209</v>
      </c>
      <c r="V14" s="63" t="s">
        <v>210</v>
      </c>
      <c r="W14" s="63" t="s">
        <v>211</v>
      </c>
      <c r="X14" s="63" t="s">
        <v>212</v>
      </c>
      <c r="Y14" s="68" t="s">
        <v>40</v>
      </c>
      <c r="Z14" s="62" t="s">
        <v>213</v>
      </c>
      <c r="AA14" s="62" t="s">
        <v>214</v>
      </c>
      <c r="AB14" s="62" t="s">
        <v>215</v>
      </c>
      <c r="AC14" s="63" t="s">
        <v>216</v>
      </c>
      <c r="AD14" s="62" t="s">
        <v>217</v>
      </c>
      <c r="AE14" s="63" t="s">
        <v>39</v>
      </c>
    </row>
    <row r="15" spans="1:31" s="69" customFormat="1" ht="60" customHeight="1" x14ac:dyDescent="0.25">
      <c r="A15" s="69" t="s">
        <v>218</v>
      </c>
      <c r="B15" s="69" t="s">
        <v>44</v>
      </c>
      <c r="C15" s="69" t="s">
        <v>219</v>
      </c>
      <c r="D15" s="69" t="s">
        <v>220</v>
      </c>
      <c r="E15" s="70" t="s">
        <v>221</v>
      </c>
      <c r="F15" s="70" t="s">
        <v>222</v>
      </c>
      <c r="G15" s="70" t="s">
        <v>223</v>
      </c>
      <c r="H15" s="71" t="s">
        <v>224</v>
      </c>
      <c r="I15" s="71" t="s">
        <v>225</v>
      </c>
      <c r="J15" s="71" t="s">
        <v>226</v>
      </c>
      <c r="K15" s="71" t="s">
        <v>227</v>
      </c>
      <c r="L15" s="71" t="s">
        <v>228</v>
      </c>
      <c r="M15" s="71" t="s">
        <v>229</v>
      </c>
      <c r="N15" s="71" t="s">
        <v>230</v>
      </c>
      <c r="O15" s="70" t="s">
        <v>231</v>
      </c>
      <c r="P15" s="71" t="s">
        <v>224</v>
      </c>
      <c r="Q15" s="71" t="s">
        <v>225</v>
      </c>
      <c r="R15" s="71" t="s">
        <v>226</v>
      </c>
      <c r="S15" s="71" t="s">
        <v>227</v>
      </c>
      <c r="T15" s="71" t="s">
        <v>228</v>
      </c>
      <c r="U15" s="71" t="s">
        <v>230</v>
      </c>
      <c r="V15" s="70" t="s">
        <v>232</v>
      </c>
      <c r="W15" s="70" t="s">
        <v>233</v>
      </c>
      <c r="X15" s="70" t="s">
        <v>234</v>
      </c>
      <c r="Y15" s="72" t="s">
        <v>87</v>
      </c>
      <c r="Z15" s="69" t="s">
        <v>235</v>
      </c>
      <c r="AA15" s="69" t="s">
        <v>236</v>
      </c>
      <c r="AB15" s="69" t="s">
        <v>237</v>
      </c>
      <c r="AC15" s="70" t="s">
        <v>238</v>
      </c>
      <c r="AD15" s="69" t="s">
        <v>239</v>
      </c>
      <c r="AE15" s="70" t="s">
        <v>88</v>
      </c>
    </row>
    <row r="16" spans="1:31" s="73" customFormat="1" ht="11.4" x14ac:dyDescent="0.25">
      <c r="A16" s="73">
        <v>1</v>
      </c>
      <c r="B16" s="73" t="s">
        <v>149</v>
      </c>
      <c r="C16" s="73" t="s">
        <v>240</v>
      </c>
      <c r="D16" s="73" t="s">
        <v>241</v>
      </c>
      <c r="E16" s="74">
        <v>872.12</v>
      </c>
      <c r="F16" s="74">
        <v>10043</v>
      </c>
      <c r="G16" s="74">
        <v>10043</v>
      </c>
      <c r="H16" s="74">
        <v>1606.88</v>
      </c>
      <c r="I16" s="74">
        <v>903.88</v>
      </c>
      <c r="J16" s="74">
        <v>50.22</v>
      </c>
      <c r="K16" s="74">
        <v>20.09</v>
      </c>
      <c r="L16" s="74"/>
      <c r="M16" s="74">
        <v>150.65</v>
      </c>
      <c r="N16" s="74">
        <v>703</v>
      </c>
      <c r="O16" s="74">
        <f t="shared" ref="O16:O43" si="0">SUM(H16:N16)</f>
        <v>3434.7200000000003</v>
      </c>
      <c r="P16" s="74">
        <v>803.44</v>
      </c>
      <c r="Q16" s="74">
        <v>200.86</v>
      </c>
      <c r="R16" s="74">
        <v>50.22</v>
      </c>
      <c r="S16" s="74"/>
      <c r="T16" s="74"/>
      <c r="U16" s="74">
        <v>703</v>
      </c>
      <c r="V16" s="74">
        <f t="shared" ref="V16:V43" si="1">SUM(P16:U16)</f>
        <v>1757.52</v>
      </c>
      <c r="W16" s="74">
        <v>7576.58</v>
      </c>
      <c r="X16" s="74"/>
      <c r="Y16" s="75">
        <f t="shared" ref="Y16:Y42" si="2">SUM(E16,O16,V16:X16)</f>
        <v>13640.94</v>
      </c>
      <c r="AA16" s="73" t="s">
        <v>314</v>
      </c>
      <c r="AB16" s="73" t="s">
        <v>150</v>
      </c>
      <c r="AC16" s="76">
        <v>12868.82</v>
      </c>
      <c r="AD16" s="73" t="s">
        <v>242</v>
      </c>
      <c r="AE16" s="76">
        <v>772.12</v>
      </c>
    </row>
    <row r="17" spans="1:31" s="73" customFormat="1" ht="11.4" x14ac:dyDescent="0.25">
      <c r="A17" s="73">
        <v>2</v>
      </c>
      <c r="B17" s="73" t="s">
        <v>155</v>
      </c>
      <c r="C17" s="73" t="s">
        <v>240</v>
      </c>
      <c r="D17" s="73" t="s">
        <v>241</v>
      </c>
      <c r="E17" s="74">
        <v>759.74</v>
      </c>
      <c r="F17" s="74">
        <v>9608</v>
      </c>
      <c r="G17" s="74">
        <v>9608</v>
      </c>
      <c r="H17" s="74">
        <v>1537.28</v>
      </c>
      <c r="I17" s="74">
        <v>864.72</v>
      </c>
      <c r="J17" s="74">
        <v>48.04</v>
      </c>
      <c r="K17" s="74">
        <v>19.22</v>
      </c>
      <c r="L17" s="74"/>
      <c r="M17" s="74">
        <v>144.12</v>
      </c>
      <c r="N17" s="74">
        <v>673</v>
      </c>
      <c r="O17" s="74">
        <f t="shared" si="0"/>
        <v>3286.3799999999997</v>
      </c>
      <c r="P17" s="74">
        <v>768.64</v>
      </c>
      <c r="Q17" s="74">
        <v>192.16</v>
      </c>
      <c r="R17" s="74">
        <v>48.04</v>
      </c>
      <c r="S17" s="74"/>
      <c r="T17" s="74"/>
      <c r="U17" s="74">
        <v>673</v>
      </c>
      <c r="V17" s="74">
        <f t="shared" si="1"/>
        <v>1681.84</v>
      </c>
      <c r="W17" s="74">
        <v>5927.52</v>
      </c>
      <c r="X17" s="74"/>
      <c r="Y17" s="75">
        <f t="shared" si="2"/>
        <v>11655.48</v>
      </c>
      <c r="AA17" s="73" t="s">
        <v>315</v>
      </c>
      <c r="AB17" s="73" t="s">
        <v>156</v>
      </c>
      <c r="AC17" s="76">
        <v>10995.74</v>
      </c>
      <c r="AD17" s="73" t="s">
        <v>242</v>
      </c>
      <c r="AE17" s="76">
        <v>659.74</v>
      </c>
    </row>
    <row r="18" spans="1:31" s="73" customFormat="1" ht="11.4" x14ac:dyDescent="0.25">
      <c r="A18" s="73">
        <v>3</v>
      </c>
      <c r="B18" s="73" t="s">
        <v>113</v>
      </c>
      <c r="C18" s="73" t="s">
        <v>240</v>
      </c>
      <c r="D18" s="73" t="s">
        <v>241</v>
      </c>
      <c r="E18" s="74">
        <v>821.7</v>
      </c>
      <c r="F18" s="74">
        <v>9424</v>
      </c>
      <c r="G18" s="74">
        <v>9424</v>
      </c>
      <c r="H18" s="74">
        <v>1507.84</v>
      </c>
      <c r="I18" s="74">
        <v>848.16</v>
      </c>
      <c r="J18" s="74">
        <v>47.12</v>
      </c>
      <c r="K18" s="74">
        <v>18.850000000000001</v>
      </c>
      <c r="L18" s="74"/>
      <c r="M18" s="74">
        <v>141.36000000000001</v>
      </c>
      <c r="N18" s="74">
        <v>660</v>
      </c>
      <c r="O18" s="74">
        <f t="shared" si="0"/>
        <v>3223.33</v>
      </c>
      <c r="P18" s="74">
        <v>753.92</v>
      </c>
      <c r="Q18" s="74">
        <v>188.48</v>
      </c>
      <c r="R18" s="74">
        <v>47.12</v>
      </c>
      <c r="S18" s="74"/>
      <c r="T18" s="74"/>
      <c r="U18" s="74">
        <v>660</v>
      </c>
      <c r="V18" s="74">
        <f t="shared" si="1"/>
        <v>1649.52</v>
      </c>
      <c r="W18" s="74">
        <v>7055.58</v>
      </c>
      <c r="X18" s="74"/>
      <c r="Y18" s="75">
        <f t="shared" si="2"/>
        <v>12750.13</v>
      </c>
      <c r="AA18" s="73" t="s">
        <v>316</v>
      </c>
      <c r="AB18" s="73" t="s">
        <v>114</v>
      </c>
      <c r="AC18" s="76">
        <v>12028.42</v>
      </c>
      <c r="AD18" s="73" t="s">
        <v>242</v>
      </c>
      <c r="AE18" s="76">
        <v>721.71</v>
      </c>
    </row>
    <row r="19" spans="1:31" s="73" customFormat="1" ht="11.4" x14ac:dyDescent="0.25">
      <c r="A19" s="73">
        <v>4</v>
      </c>
      <c r="B19" s="73" t="s">
        <v>137</v>
      </c>
      <c r="C19" s="73" t="s">
        <v>240</v>
      </c>
      <c r="D19" s="73" t="s">
        <v>241</v>
      </c>
      <c r="E19" s="74">
        <v>871.74</v>
      </c>
      <c r="F19" s="74">
        <v>10443</v>
      </c>
      <c r="G19" s="74">
        <v>10443</v>
      </c>
      <c r="H19" s="74">
        <v>1670.88</v>
      </c>
      <c r="I19" s="74">
        <v>939.88</v>
      </c>
      <c r="J19" s="74">
        <v>52.22</v>
      </c>
      <c r="K19" s="74">
        <v>20.89</v>
      </c>
      <c r="L19" s="74"/>
      <c r="M19" s="74">
        <v>156.65</v>
      </c>
      <c r="N19" s="74">
        <v>731</v>
      </c>
      <c r="O19" s="74">
        <f t="shared" si="0"/>
        <v>3571.52</v>
      </c>
      <c r="P19" s="74">
        <v>835.44</v>
      </c>
      <c r="Q19" s="74">
        <v>208.86</v>
      </c>
      <c r="R19" s="74">
        <v>52.22</v>
      </c>
      <c r="S19" s="74"/>
      <c r="T19" s="74"/>
      <c r="U19" s="74">
        <v>731</v>
      </c>
      <c r="V19" s="74">
        <f t="shared" si="1"/>
        <v>1827.5200000000002</v>
      </c>
      <c r="W19" s="74">
        <v>7363.26</v>
      </c>
      <c r="X19" s="74"/>
      <c r="Y19" s="75">
        <f t="shared" si="2"/>
        <v>13634.04</v>
      </c>
      <c r="AA19" s="73" t="s">
        <v>317</v>
      </c>
      <c r="AB19" s="73" t="s">
        <v>138</v>
      </c>
      <c r="AC19" s="76">
        <v>12862.31</v>
      </c>
      <c r="AD19" s="73" t="s">
        <v>242</v>
      </c>
      <c r="AE19" s="76">
        <v>771.73</v>
      </c>
    </row>
    <row r="20" spans="1:31" s="73" customFormat="1" ht="11.4" x14ac:dyDescent="0.25">
      <c r="A20" s="73">
        <v>5</v>
      </c>
      <c r="B20" s="73" t="s">
        <v>152</v>
      </c>
      <c r="C20" s="73" t="s">
        <v>240</v>
      </c>
      <c r="D20" s="73" t="s">
        <v>241</v>
      </c>
      <c r="E20" s="74">
        <v>1013.4399999999999</v>
      </c>
      <c r="F20" s="74">
        <v>12136</v>
      </c>
      <c r="G20" s="74">
        <v>12136</v>
      </c>
      <c r="H20" s="74">
        <v>1941.76</v>
      </c>
      <c r="I20" s="74">
        <v>1092.24</v>
      </c>
      <c r="J20" s="74">
        <v>60.68</v>
      </c>
      <c r="K20" s="74">
        <v>24.27</v>
      </c>
      <c r="L20" s="74"/>
      <c r="M20" s="74">
        <v>182.04</v>
      </c>
      <c r="N20" s="74">
        <v>850</v>
      </c>
      <c r="O20" s="74">
        <f t="shared" si="0"/>
        <v>4150.99</v>
      </c>
      <c r="P20" s="74">
        <v>970.88</v>
      </c>
      <c r="Q20" s="74">
        <v>242.72</v>
      </c>
      <c r="R20" s="74">
        <v>60.68</v>
      </c>
      <c r="S20" s="74"/>
      <c r="T20" s="74"/>
      <c r="U20" s="74">
        <v>850</v>
      </c>
      <c r="V20" s="74">
        <f t="shared" si="1"/>
        <v>2124.2799999999997</v>
      </c>
      <c r="W20" s="74">
        <v>8848.66</v>
      </c>
      <c r="X20" s="74"/>
      <c r="Y20" s="75">
        <f t="shared" si="2"/>
        <v>16137.369999999999</v>
      </c>
      <c r="AA20" s="73" t="s">
        <v>318</v>
      </c>
      <c r="AB20" s="73" t="s">
        <v>153</v>
      </c>
      <c r="AC20" s="76">
        <v>15223.94</v>
      </c>
      <c r="AD20" s="73" t="s">
        <v>242</v>
      </c>
      <c r="AE20" s="76">
        <v>913.43</v>
      </c>
    </row>
    <row r="21" spans="1:31" s="73" customFormat="1" ht="11.4" x14ac:dyDescent="0.25">
      <c r="A21" s="73">
        <v>6</v>
      </c>
      <c r="B21" s="73" t="s">
        <v>98</v>
      </c>
      <c r="C21" s="73" t="s">
        <v>240</v>
      </c>
      <c r="D21" s="73" t="s">
        <v>241</v>
      </c>
      <c r="E21" s="74">
        <v>636.11</v>
      </c>
      <c r="F21" s="74">
        <v>9226</v>
      </c>
      <c r="G21" s="74">
        <v>9226</v>
      </c>
      <c r="H21" s="74">
        <v>1476.16</v>
      </c>
      <c r="I21" s="74">
        <v>830.34</v>
      </c>
      <c r="J21" s="74">
        <v>46.13</v>
      </c>
      <c r="K21" s="74">
        <v>18.45</v>
      </c>
      <c r="L21" s="74"/>
      <c r="M21" s="74">
        <v>138.38999999999999</v>
      </c>
      <c r="N21" s="74">
        <v>646</v>
      </c>
      <c r="O21" s="74">
        <f t="shared" si="0"/>
        <v>3155.47</v>
      </c>
      <c r="P21" s="74">
        <v>738.08</v>
      </c>
      <c r="Q21" s="74">
        <v>184.52</v>
      </c>
      <c r="R21" s="74">
        <v>46.13</v>
      </c>
      <c r="S21" s="74"/>
      <c r="T21" s="74"/>
      <c r="U21" s="74">
        <v>646</v>
      </c>
      <c r="V21" s="74">
        <f t="shared" si="1"/>
        <v>1614.73</v>
      </c>
      <c r="W21" s="74">
        <v>4064.97</v>
      </c>
      <c r="X21" s="74"/>
      <c r="Y21" s="75">
        <f t="shared" si="2"/>
        <v>9471.2799999999988</v>
      </c>
      <c r="AA21" s="73" t="s">
        <v>319</v>
      </c>
      <c r="AB21" s="73" t="s">
        <v>99</v>
      </c>
      <c r="AC21" s="76">
        <v>8935.17</v>
      </c>
      <c r="AD21" s="73" t="s">
        <v>242</v>
      </c>
      <c r="AE21" s="76">
        <v>536.11</v>
      </c>
    </row>
    <row r="22" spans="1:31" s="73" customFormat="1" ht="11.4" x14ac:dyDescent="0.25">
      <c r="A22" s="73">
        <v>7</v>
      </c>
      <c r="B22" s="73" t="s">
        <v>143</v>
      </c>
      <c r="C22" s="73" t="s">
        <v>240</v>
      </c>
      <c r="D22" s="73" t="s">
        <v>241</v>
      </c>
      <c r="E22" s="74">
        <v>513.39</v>
      </c>
      <c r="F22" s="74">
        <v>7384</v>
      </c>
      <c r="G22" s="74">
        <v>4906</v>
      </c>
      <c r="H22" s="74">
        <v>1181.44</v>
      </c>
      <c r="I22" s="74">
        <v>664.56</v>
      </c>
      <c r="J22" s="74">
        <v>36.92</v>
      </c>
      <c r="K22" s="74">
        <v>14.77</v>
      </c>
      <c r="L22" s="74"/>
      <c r="M22" s="74">
        <v>110.76</v>
      </c>
      <c r="N22" s="74">
        <v>343</v>
      </c>
      <c r="O22" s="74">
        <f t="shared" si="0"/>
        <v>2351.4499999999998</v>
      </c>
      <c r="P22" s="74">
        <v>590.72</v>
      </c>
      <c r="Q22" s="74">
        <v>147.68</v>
      </c>
      <c r="R22" s="74">
        <v>36.92</v>
      </c>
      <c r="S22" s="74"/>
      <c r="T22" s="74"/>
      <c r="U22" s="74">
        <v>343</v>
      </c>
      <c r="V22" s="74">
        <f t="shared" si="1"/>
        <v>1118.3200000000002</v>
      </c>
      <c r="W22" s="74">
        <v>3320</v>
      </c>
      <c r="X22" s="74"/>
      <c r="Y22" s="75">
        <f t="shared" si="2"/>
        <v>7303.16</v>
      </c>
      <c r="AA22" s="73" t="s">
        <v>320</v>
      </c>
      <c r="AB22" s="73" t="s">
        <v>144</v>
      </c>
      <c r="AC22" s="76">
        <v>6889.76</v>
      </c>
      <c r="AD22" s="73" t="s">
        <v>242</v>
      </c>
      <c r="AE22" s="76">
        <v>413.4</v>
      </c>
    </row>
    <row r="23" spans="1:31" s="73" customFormat="1" ht="11.4" x14ac:dyDescent="0.25">
      <c r="A23" s="73">
        <v>8</v>
      </c>
      <c r="B23" s="73" t="s">
        <v>175</v>
      </c>
      <c r="C23" s="73" t="s">
        <v>240</v>
      </c>
      <c r="D23" s="73" t="s">
        <v>321</v>
      </c>
      <c r="E23" s="74">
        <v>840.19</v>
      </c>
      <c r="F23" s="74">
        <v>9575</v>
      </c>
      <c r="G23" s="74">
        <v>9575</v>
      </c>
      <c r="H23" s="74">
        <v>1532</v>
      </c>
      <c r="I23" s="74">
        <v>861.76</v>
      </c>
      <c r="J23" s="74">
        <v>47.88</v>
      </c>
      <c r="K23" s="74">
        <v>19.149999999999999</v>
      </c>
      <c r="L23" s="74"/>
      <c r="M23" s="74">
        <v>143.63</v>
      </c>
      <c r="N23" s="74">
        <v>670</v>
      </c>
      <c r="O23" s="74">
        <f t="shared" si="0"/>
        <v>3274.4200000000005</v>
      </c>
      <c r="P23" s="74">
        <v>766</v>
      </c>
      <c r="Q23" s="74">
        <v>191.5</v>
      </c>
      <c r="R23" s="74">
        <v>47.88</v>
      </c>
      <c r="S23" s="74"/>
      <c r="T23" s="74"/>
      <c r="U23" s="74">
        <v>670</v>
      </c>
      <c r="V23" s="74">
        <f t="shared" si="1"/>
        <v>1675.38</v>
      </c>
      <c r="W23" s="74">
        <v>7286.62</v>
      </c>
      <c r="X23" s="74"/>
      <c r="Y23" s="75">
        <f t="shared" si="2"/>
        <v>13076.61</v>
      </c>
      <c r="AA23" s="73" t="s">
        <v>322</v>
      </c>
      <c r="AB23" s="73" t="s">
        <v>323</v>
      </c>
      <c r="AC23" s="76">
        <v>12336.42</v>
      </c>
      <c r="AD23" s="73" t="s">
        <v>242</v>
      </c>
      <c r="AE23" s="76">
        <v>740.19</v>
      </c>
    </row>
    <row r="24" spans="1:31" s="73" customFormat="1" ht="11.4" x14ac:dyDescent="0.25">
      <c r="A24" s="73">
        <v>9</v>
      </c>
      <c r="B24" s="73" t="s">
        <v>116</v>
      </c>
      <c r="C24" s="73" t="s">
        <v>240</v>
      </c>
      <c r="D24" s="73" t="s">
        <v>241</v>
      </c>
      <c r="E24" s="74">
        <v>1016.88</v>
      </c>
      <c r="F24" s="74">
        <v>10475</v>
      </c>
      <c r="G24" s="74">
        <v>10475</v>
      </c>
      <c r="H24" s="74">
        <v>1676</v>
      </c>
      <c r="I24" s="74">
        <v>942.76</v>
      </c>
      <c r="J24" s="74">
        <v>52.38</v>
      </c>
      <c r="K24" s="74">
        <v>20.95</v>
      </c>
      <c r="L24" s="74"/>
      <c r="M24" s="74">
        <v>157.13</v>
      </c>
      <c r="N24" s="74">
        <v>733</v>
      </c>
      <c r="O24" s="74">
        <f t="shared" si="0"/>
        <v>3582.2200000000003</v>
      </c>
      <c r="P24" s="74">
        <v>838</v>
      </c>
      <c r="Q24" s="74">
        <v>209.5</v>
      </c>
      <c r="R24" s="74">
        <v>52.38</v>
      </c>
      <c r="S24" s="74"/>
      <c r="T24" s="74"/>
      <c r="U24" s="74">
        <v>733</v>
      </c>
      <c r="V24" s="74">
        <f t="shared" si="1"/>
        <v>1832.88</v>
      </c>
      <c r="W24" s="74">
        <v>9766.1200000000008</v>
      </c>
      <c r="X24" s="74"/>
      <c r="Y24" s="75">
        <f t="shared" si="2"/>
        <v>16198.100000000002</v>
      </c>
      <c r="AA24" s="73" t="s">
        <v>324</v>
      </c>
      <c r="AB24" s="73" t="s">
        <v>117</v>
      </c>
      <c r="AC24" s="76">
        <v>15281.22</v>
      </c>
      <c r="AD24" s="73" t="s">
        <v>242</v>
      </c>
      <c r="AE24" s="76">
        <v>916.88</v>
      </c>
    </row>
    <row r="25" spans="1:31" s="73" customFormat="1" ht="11.4" x14ac:dyDescent="0.25">
      <c r="A25" s="73">
        <v>10</v>
      </c>
      <c r="B25" s="73" t="s">
        <v>161</v>
      </c>
      <c r="C25" s="73" t="s">
        <v>240</v>
      </c>
      <c r="D25" s="73" t="s">
        <v>241</v>
      </c>
      <c r="E25" s="74">
        <v>948.61</v>
      </c>
      <c r="F25" s="74">
        <v>7384</v>
      </c>
      <c r="G25" s="74">
        <v>7139</v>
      </c>
      <c r="H25" s="74">
        <v>1181.44</v>
      </c>
      <c r="I25" s="74">
        <v>664.56</v>
      </c>
      <c r="J25" s="74">
        <v>36.92</v>
      </c>
      <c r="K25" s="74">
        <v>14.77</v>
      </c>
      <c r="L25" s="74"/>
      <c r="M25" s="74">
        <v>110.76</v>
      </c>
      <c r="N25" s="74">
        <v>500</v>
      </c>
      <c r="O25" s="74">
        <f t="shared" si="0"/>
        <v>2508.4499999999998</v>
      </c>
      <c r="P25" s="74">
        <v>590.72</v>
      </c>
      <c r="Q25" s="74">
        <v>147.68</v>
      </c>
      <c r="R25" s="74">
        <v>36.92</v>
      </c>
      <c r="S25" s="74"/>
      <c r="T25" s="74"/>
      <c r="U25" s="74">
        <v>500</v>
      </c>
      <c r="V25" s="74">
        <f t="shared" si="1"/>
        <v>1275.3200000000002</v>
      </c>
      <c r="W25" s="74">
        <v>10259.620000000001</v>
      </c>
      <c r="X25" s="74"/>
      <c r="Y25" s="75">
        <f t="shared" si="2"/>
        <v>14992</v>
      </c>
      <c r="AA25" s="73" t="s">
        <v>325</v>
      </c>
      <c r="AB25" s="73" t="s">
        <v>162</v>
      </c>
      <c r="AC25" s="76">
        <v>14143.38</v>
      </c>
      <c r="AD25" s="73" t="s">
        <v>242</v>
      </c>
      <c r="AE25" s="76">
        <v>848.62</v>
      </c>
    </row>
    <row r="26" spans="1:31" s="73" customFormat="1" ht="11.4" x14ac:dyDescent="0.25">
      <c r="A26" s="73">
        <v>11</v>
      </c>
      <c r="B26" s="73" t="s">
        <v>167</v>
      </c>
      <c r="C26" s="73" t="s">
        <v>240</v>
      </c>
      <c r="D26" s="73" t="s">
        <v>241</v>
      </c>
      <c r="E26" s="74">
        <v>803.31</v>
      </c>
      <c r="F26" s="74">
        <v>14537</v>
      </c>
      <c r="G26" s="74">
        <v>14537</v>
      </c>
      <c r="H26" s="74">
        <v>2325.92</v>
      </c>
      <c r="I26" s="74">
        <v>1308.3399999999999</v>
      </c>
      <c r="J26" s="74">
        <v>72.69</v>
      </c>
      <c r="K26" s="74">
        <v>29.07</v>
      </c>
      <c r="L26" s="74"/>
      <c r="M26" s="74">
        <v>218.06</v>
      </c>
      <c r="N26" s="74">
        <v>1018</v>
      </c>
      <c r="O26" s="74">
        <f t="shared" si="0"/>
        <v>4972.08</v>
      </c>
      <c r="P26" s="74">
        <v>1162.96</v>
      </c>
      <c r="Q26" s="74">
        <v>290.74</v>
      </c>
      <c r="R26" s="74">
        <v>72.69</v>
      </c>
      <c r="S26" s="74"/>
      <c r="T26" s="74"/>
      <c r="U26" s="74">
        <v>1018</v>
      </c>
      <c r="V26" s="74">
        <f t="shared" si="1"/>
        <v>2544.3900000000003</v>
      </c>
      <c r="W26" s="74">
        <v>4105.25</v>
      </c>
      <c r="X26" s="74"/>
      <c r="Y26" s="75">
        <f t="shared" si="2"/>
        <v>12425.029999999999</v>
      </c>
      <c r="AA26" s="73" t="s">
        <v>326</v>
      </c>
      <c r="AB26" s="73" t="s">
        <v>168</v>
      </c>
      <c r="AC26" s="76">
        <v>11721.73</v>
      </c>
      <c r="AD26" s="73" t="s">
        <v>242</v>
      </c>
      <c r="AE26" s="76">
        <v>703.3</v>
      </c>
    </row>
    <row r="27" spans="1:31" s="73" customFormat="1" ht="11.4" x14ac:dyDescent="0.25">
      <c r="A27" s="73">
        <v>12</v>
      </c>
      <c r="B27" s="73" t="s">
        <v>122</v>
      </c>
      <c r="C27" s="73" t="s">
        <v>240</v>
      </c>
      <c r="D27" s="73" t="s">
        <v>241</v>
      </c>
      <c r="E27" s="74">
        <v>855.03</v>
      </c>
      <c r="F27" s="74">
        <v>9241</v>
      </c>
      <c r="G27" s="74">
        <v>9241</v>
      </c>
      <c r="H27" s="74">
        <v>1478.56</v>
      </c>
      <c r="I27" s="74">
        <v>831.7</v>
      </c>
      <c r="J27" s="74">
        <v>46.21</v>
      </c>
      <c r="K27" s="74">
        <v>18.48</v>
      </c>
      <c r="L27" s="74"/>
      <c r="M27" s="74">
        <v>138.62</v>
      </c>
      <c r="N27" s="74">
        <v>647</v>
      </c>
      <c r="O27" s="74">
        <f t="shared" si="0"/>
        <v>3160.57</v>
      </c>
      <c r="P27" s="74">
        <v>739.28</v>
      </c>
      <c r="Q27" s="74">
        <v>184.82</v>
      </c>
      <c r="R27" s="74">
        <v>46.21</v>
      </c>
      <c r="S27" s="74"/>
      <c r="T27" s="74"/>
      <c r="U27" s="74">
        <v>647</v>
      </c>
      <c r="V27" s="74">
        <f t="shared" si="1"/>
        <v>1617.31</v>
      </c>
      <c r="W27" s="74">
        <v>7706.03</v>
      </c>
      <c r="X27" s="74"/>
      <c r="Y27" s="75">
        <f t="shared" si="2"/>
        <v>13338.939999999999</v>
      </c>
      <c r="AA27" s="73" t="s">
        <v>327</v>
      </c>
      <c r="AB27" s="73" t="s">
        <v>123</v>
      </c>
      <c r="AC27" s="76">
        <v>12583.91</v>
      </c>
      <c r="AD27" s="73" t="s">
        <v>242</v>
      </c>
      <c r="AE27" s="76">
        <v>755.03</v>
      </c>
    </row>
    <row r="28" spans="1:31" s="73" customFormat="1" ht="11.4" x14ac:dyDescent="0.25">
      <c r="A28" s="73">
        <v>13</v>
      </c>
      <c r="B28" s="73" t="s">
        <v>134</v>
      </c>
      <c r="C28" s="73" t="s">
        <v>240</v>
      </c>
      <c r="D28" s="73" t="s">
        <v>241</v>
      </c>
      <c r="E28" s="74">
        <v>27.95</v>
      </c>
      <c r="F28" s="74"/>
      <c r="G28" s="74"/>
      <c r="H28" s="74"/>
      <c r="I28" s="74"/>
      <c r="J28" s="74"/>
      <c r="K28" s="74"/>
      <c r="L28" s="74"/>
      <c r="M28" s="74"/>
      <c r="N28" s="74"/>
      <c r="O28" s="74">
        <f t="shared" si="0"/>
        <v>0</v>
      </c>
      <c r="P28" s="74"/>
      <c r="Q28" s="74"/>
      <c r="R28" s="74"/>
      <c r="S28" s="74"/>
      <c r="T28" s="74"/>
      <c r="U28" s="74"/>
      <c r="V28" s="74">
        <f t="shared" si="1"/>
        <v>0</v>
      </c>
      <c r="W28" s="74">
        <v>465.9</v>
      </c>
      <c r="X28" s="74"/>
      <c r="Y28" s="75">
        <f t="shared" si="2"/>
        <v>493.84999999999997</v>
      </c>
      <c r="AA28" s="73" t="s">
        <v>328</v>
      </c>
      <c r="AB28" s="73" t="s">
        <v>135</v>
      </c>
      <c r="AC28" s="76">
        <v>465.9</v>
      </c>
      <c r="AD28" s="73" t="s">
        <v>242</v>
      </c>
      <c r="AE28" s="76">
        <v>27.95</v>
      </c>
    </row>
    <row r="29" spans="1:31" s="73" customFormat="1" ht="11.4" x14ac:dyDescent="0.25">
      <c r="A29" s="73">
        <v>14</v>
      </c>
      <c r="B29" s="73" t="s">
        <v>131</v>
      </c>
      <c r="C29" s="73" t="s">
        <v>240</v>
      </c>
      <c r="D29" s="73" t="s">
        <v>241</v>
      </c>
      <c r="E29" s="74">
        <v>616.11</v>
      </c>
      <c r="F29" s="74">
        <v>7474</v>
      </c>
      <c r="G29" s="74">
        <v>7474</v>
      </c>
      <c r="H29" s="74">
        <v>1195.8399999999999</v>
      </c>
      <c r="I29" s="74">
        <v>672.66</v>
      </c>
      <c r="J29" s="74">
        <v>37.369999999999997</v>
      </c>
      <c r="K29" s="74">
        <v>14.95</v>
      </c>
      <c r="L29" s="74"/>
      <c r="M29" s="74">
        <v>112.11</v>
      </c>
      <c r="N29" s="74">
        <v>523</v>
      </c>
      <c r="O29" s="74">
        <f t="shared" si="0"/>
        <v>2555.9299999999998</v>
      </c>
      <c r="P29" s="74">
        <v>597.91999999999996</v>
      </c>
      <c r="Q29" s="74">
        <v>149.47999999999999</v>
      </c>
      <c r="R29" s="74">
        <v>37.369999999999997</v>
      </c>
      <c r="S29" s="74"/>
      <c r="T29" s="74"/>
      <c r="U29" s="74">
        <v>523</v>
      </c>
      <c r="V29" s="74">
        <f t="shared" si="1"/>
        <v>1307.77</v>
      </c>
      <c r="W29" s="74">
        <v>4638.09</v>
      </c>
      <c r="X29" s="74"/>
      <c r="Y29" s="75">
        <f t="shared" si="2"/>
        <v>9117.9</v>
      </c>
      <c r="AA29" s="73" t="s">
        <v>329</v>
      </c>
      <c r="AB29" s="73" t="s">
        <v>132</v>
      </c>
      <c r="AC29" s="76">
        <v>8601.7800000000007</v>
      </c>
      <c r="AD29" s="73" t="s">
        <v>242</v>
      </c>
      <c r="AE29" s="76">
        <v>516.12</v>
      </c>
    </row>
    <row r="30" spans="1:31" s="73" customFormat="1" ht="11.4" x14ac:dyDescent="0.25">
      <c r="A30" s="73">
        <v>15</v>
      </c>
      <c r="B30" s="73" t="s">
        <v>107</v>
      </c>
      <c r="C30" s="73" t="s">
        <v>240</v>
      </c>
      <c r="D30" s="73" t="s">
        <v>241</v>
      </c>
      <c r="E30" s="74">
        <v>653.14</v>
      </c>
      <c r="F30" s="74">
        <v>8261</v>
      </c>
      <c r="G30" s="74">
        <v>8261</v>
      </c>
      <c r="H30" s="74">
        <v>1321.76</v>
      </c>
      <c r="I30" s="74">
        <v>743.5</v>
      </c>
      <c r="J30" s="74">
        <v>41.31</v>
      </c>
      <c r="K30" s="74">
        <v>16.52</v>
      </c>
      <c r="L30" s="74"/>
      <c r="M30" s="74">
        <v>123.92</v>
      </c>
      <c r="N30" s="74">
        <v>578</v>
      </c>
      <c r="O30" s="74">
        <f t="shared" si="0"/>
        <v>2825.01</v>
      </c>
      <c r="P30" s="74">
        <v>660.88</v>
      </c>
      <c r="Q30" s="74">
        <v>165.22</v>
      </c>
      <c r="R30" s="74">
        <v>41.31</v>
      </c>
      <c r="S30" s="74"/>
      <c r="T30" s="74"/>
      <c r="U30" s="74">
        <v>578</v>
      </c>
      <c r="V30" s="74">
        <f t="shared" si="1"/>
        <v>1445.41</v>
      </c>
      <c r="W30" s="74">
        <v>4848.53</v>
      </c>
      <c r="X30" s="74"/>
      <c r="Y30" s="75">
        <f t="shared" si="2"/>
        <v>9772.09</v>
      </c>
      <c r="AA30" s="73" t="s">
        <v>330</v>
      </c>
      <c r="AB30" s="73" t="s">
        <v>108</v>
      </c>
      <c r="AC30" s="76">
        <v>9218.9500000000007</v>
      </c>
      <c r="AD30" s="73" t="s">
        <v>242</v>
      </c>
      <c r="AE30" s="76">
        <v>553.14</v>
      </c>
    </row>
    <row r="31" spans="1:31" s="73" customFormat="1" ht="11.4" x14ac:dyDescent="0.25">
      <c r="A31" s="73">
        <v>16</v>
      </c>
      <c r="B31" s="73" t="s">
        <v>110</v>
      </c>
      <c r="C31" s="73" t="s">
        <v>240</v>
      </c>
      <c r="D31" s="73" t="s">
        <v>241</v>
      </c>
      <c r="E31" s="74">
        <v>533.85</v>
      </c>
      <c r="F31" s="74">
        <v>7384</v>
      </c>
      <c r="G31" s="74">
        <v>4686</v>
      </c>
      <c r="H31" s="74">
        <v>1181.44</v>
      </c>
      <c r="I31" s="74">
        <v>664.56</v>
      </c>
      <c r="J31" s="74">
        <v>36.92</v>
      </c>
      <c r="K31" s="74">
        <v>14.77</v>
      </c>
      <c r="L31" s="74"/>
      <c r="M31" s="74">
        <v>110.76</v>
      </c>
      <c r="N31" s="74">
        <v>328</v>
      </c>
      <c r="O31" s="74">
        <f t="shared" si="0"/>
        <v>2336.4499999999998</v>
      </c>
      <c r="P31" s="74">
        <v>590.72</v>
      </c>
      <c r="Q31" s="74">
        <v>147.68</v>
      </c>
      <c r="R31" s="74">
        <v>36.92</v>
      </c>
      <c r="S31" s="74"/>
      <c r="T31" s="74"/>
      <c r="U31" s="74">
        <v>328</v>
      </c>
      <c r="V31" s="74">
        <f t="shared" si="1"/>
        <v>1103.3200000000002</v>
      </c>
      <c r="W31" s="74">
        <v>3691</v>
      </c>
      <c r="X31" s="74"/>
      <c r="Y31" s="75">
        <f t="shared" si="2"/>
        <v>7664.62</v>
      </c>
      <c r="AA31" s="73" t="s">
        <v>331</v>
      </c>
      <c r="AB31" s="73" t="s">
        <v>111</v>
      </c>
      <c r="AC31" s="76">
        <v>7230.76</v>
      </c>
      <c r="AD31" s="73" t="s">
        <v>242</v>
      </c>
      <c r="AE31" s="76">
        <v>433.86</v>
      </c>
    </row>
    <row r="32" spans="1:31" s="73" customFormat="1" ht="11.4" x14ac:dyDescent="0.25">
      <c r="A32" s="73">
        <v>17</v>
      </c>
      <c r="B32" s="73" t="s">
        <v>104</v>
      </c>
      <c r="C32" s="73" t="s">
        <v>240</v>
      </c>
      <c r="D32" s="73" t="s">
        <v>241</v>
      </c>
      <c r="E32" s="74">
        <v>860.65</v>
      </c>
      <c r="F32" s="74">
        <v>16443</v>
      </c>
      <c r="G32" s="74">
        <v>16443</v>
      </c>
      <c r="H32" s="74">
        <v>2630.88</v>
      </c>
      <c r="I32" s="74">
        <v>1479.88</v>
      </c>
      <c r="J32" s="74">
        <v>82.22</v>
      </c>
      <c r="K32" s="74">
        <v>32.89</v>
      </c>
      <c r="L32" s="74"/>
      <c r="M32" s="74">
        <v>246.65</v>
      </c>
      <c r="N32" s="74">
        <v>1151</v>
      </c>
      <c r="O32" s="74">
        <f t="shared" si="0"/>
        <v>5623.52</v>
      </c>
      <c r="P32" s="74">
        <v>1315.44</v>
      </c>
      <c r="Q32" s="74">
        <v>328.86</v>
      </c>
      <c r="R32" s="74">
        <v>82.22</v>
      </c>
      <c r="S32" s="74"/>
      <c r="T32" s="74"/>
      <c r="U32" s="74">
        <v>1151</v>
      </c>
      <c r="V32" s="74">
        <f t="shared" si="1"/>
        <v>2877.5200000000004</v>
      </c>
      <c r="W32" s="74">
        <v>4076.48</v>
      </c>
      <c r="X32" s="74"/>
      <c r="Y32" s="75">
        <f t="shared" si="2"/>
        <v>13438.17</v>
      </c>
      <c r="AA32" s="73" t="s">
        <v>332</v>
      </c>
      <c r="AB32" s="73" t="s">
        <v>105</v>
      </c>
      <c r="AC32" s="76">
        <v>12677.53</v>
      </c>
      <c r="AD32" s="73" t="s">
        <v>242</v>
      </c>
      <c r="AE32" s="76">
        <v>760.64</v>
      </c>
    </row>
    <row r="33" spans="1:31" s="73" customFormat="1" ht="11.4" x14ac:dyDescent="0.25">
      <c r="A33" s="73">
        <v>18</v>
      </c>
      <c r="B33" s="73" t="s">
        <v>91</v>
      </c>
      <c r="C33" s="73" t="s">
        <v>240</v>
      </c>
      <c r="D33" s="73" t="s">
        <v>241</v>
      </c>
      <c r="E33" s="74">
        <v>712.79</v>
      </c>
      <c r="F33" s="74">
        <v>8707</v>
      </c>
      <c r="G33" s="74">
        <v>8707</v>
      </c>
      <c r="H33" s="74">
        <v>1393.12</v>
      </c>
      <c r="I33" s="74">
        <v>783.64</v>
      </c>
      <c r="J33" s="74">
        <v>43.54</v>
      </c>
      <c r="K33" s="74">
        <v>17.41</v>
      </c>
      <c r="L33" s="74"/>
      <c r="M33" s="74">
        <v>130.61000000000001</v>
      </c>
      <c r="N33" s="74">
        <v>609</v>
      </c>
      <c r="O33" s="74">
        <f t="shared" si="0"/>
        <v>2977.3199999999997</v>
      </c>
      <c r="P33" s="74">
        <v>696.56</v>
      </c>
      <c r="Q33" s="74">
        <v>174.14</v>
      </c>
      <c r="R33" s="74">
        <v>43.54</v>
      </c>
      <c r="S33" s="74"/>
      <c r="T33" s="74"/>
      <c r="U33" s="74">
        <v>609</v>
      </c>
      <c r="V33" s="74">
        <f t="shared" si="1"/>
        <v>1523.2399999999998</v>
      </c>
      <c r="W33" s="74">
        <v>5612.6</v>
      </c>
      <c r="X33" s="74"/>
      <c r="Y33" s="75">
        <f t="shared" si="2"/>
        <v>10825.95</v>
      </c>
      <c r="AA33" s="73" t="s">
        <v>333</v>
      </c>
      <c r="AB33" s="73" t="s">
        <v>92</v>
      </c>
      <c r="AC33" s="76">
        <v>10213.16</v>
      </c>
      <c r="AD33" s="73" t="s">
        <v>242</v>
      </c>
      <c r="AE33" s="76">
        <v>612.79</v>
      </c>
    </row>
    <row r="34" spans="1:31" s="73" customFormat="1" ht="11.4" x14ac:dyDescent="0.25">
      <c r="A34" s="73">
        <v>19</v>
      </c>
      <c r="B34" s="73" t="s">
        <v>128</v>
      </c>
      <c r="C34" s="73" t="s">
        <v>240</v>
      </c>
      <c r="D34" s="73" t="s">
        <v>241</v>
      </c>
      <c r="E34" s="74">
        <v>1927.52</v>
      </c>
      <c r="F34" s="74">
        <v>18040</v>
      </c>
      <c r="G34" s="74">
        <v>18040</v>
      </c>
      <c r="H34" s="74">
        <v>2886.4</v>
      </c>
      <c r="I34" s="74">
        <v>1623.6</v>
      </c>
      <c r="J34" s="74">
        <v>90.2</v>
      </c>
      <c r="K34" s="74">
        <v>36.08</v>
      </c>
      <c r="L34" s="74"/>
      <c r="M34" s="74">
        <v>270.60000000000002</v>
      </c>
      <c r="N34" s="74">
        <v>1263</v>
      </c>
      <c r="O34" s="74">
        <f t="shared" si="0"/>
        <v>6169.88</v>
      </c>
      <c r="P34" s="74">
        <v>1443.2</v>
      </c>
      <c r="Q34" s="74">
        <v>360.8</v>
      </c>
      <c r="R34" s="74">
        <v>90.2</v>
      </c>
      <c r="S34" s="74"/>
      <c r="T34" s="74"/>
      <c r="U34" s="74">
        <v>1263</v>
      </c>
      <c r="V34" s="74">
        <f t="shared" si="1"/>
        <v>3157.2</v>
      </c>
      <c r="W34" s="74">
        <v>21031.73</v>
      </c>
      <c r="X34" s="74"/>
      <c r="Y34" s="75">
        <f t="shared" si="2"/>
        <v>32286.329999999998</v>
      </c>
      <c r="AA34" s="73" t="s">
        <v>334</v>
      </c>
      <c r="AB34" s="73" t="s">
        <v>129</v>
      </c>
      <c r="AC34" s="76">
        <v>30458.81</v>
      </c>
      <c r="AD34" s="73" t="s">
        <v>242</v>
      </c>
      <c r="AE34" s="76">
        <v>1827.52</v>
      </c>
    </row>
    <row r="35" spans="1:31" s="73" customFormat="1" ht="11.4" x14ac:dyDescent="0.25">
      <c r="A35" s="73">
        <v>20</v>
      </c>
      <c r="B35" s="73" t="s">
        <v>140</v>
      </c>
      <c r="C35" s="73" t="s">
        <v>240</v>
      </c>
      <c r="D35" s="73" t="s">
        <v>241</v>
      </c>
      <c r="E35" s="74">
        <v>862.99</v>
      </c>
      <c r="F35" s="74">
        <v>8102</v>
      </c>
      <c r="G35" s="74">
        <v>8102</v>
      </c>
      <c r="H35" s="74">
        <v>1296.32</v>
      </c>
      <c r="I35" s="74">
        <v>729.18</v>
      </c>
      <c r="J35" s="74">
        <v>40.51</v>
      </c>
      <c r="K35" s="74">
        <v>16.2</v>
      </c>
      <c r="L35" s="74"/>
      <c r="M35" s="74">
        <v>121.53</v>
      </c>
      <c r="N35" s="74">
        <v>567</v>
      </c>
      <c r="O35" s="74">
        <f t="shared" si="0"/>
        <v>2770.7400000000002</v>
      </c>
      <c r="P35" s="74">
        <v>648.16</v>
      </c>
      <c r="Q35" s="74">
        <v>162.04</v>
      </c>
      <c r="R35" s="74">
        <v>40.51</v>
      </c>
      <c r="S35" s="74"/>
      <c r="T35" s="74"/>
      <c r="U35" s="74">
        <v>567</v>
      </c>
      <c r="V35" s="74">
        <f t="shared" si="1"/>
        <v>1417.71</v>
      </c>
      <c r="W35" s="74">
        <v>8428.07</v>
      </c>
      <c r="X35" s="74"/>
      <c r="Y35" s="75">
        <f t="shared" si="2"/>
        <v>13479.51</v>
      </c>
      <c r="AA35" s="73" t="s">
        <v>335</v>
      </c>
      <c r="AB35" s="73" t="s">
        <v>141</v>
      </c>
      <c r="AC35" s="76">
        <v>12716.53</v>
      </c>
      <c r="AD35" s="73" t="s">
        <v>242</v>
      </c>
      <c r="AE35" s="76">
        <v>762.98</v>
      </c>
    </row>
    <row r="36" spans="1:31" s="73" customFormat="1" ht="11.4" x14ac:dyDescent="0.25">
      <c r="A36" s="73">
        <v>21</v>
      </c>
      <c r="B36" s="73" t="s">
        <v>158</v>
      </c>
      <c r="C36" s="73" t="s">
        <v>240</v>
      </c>
      <c r="D36" s="73" t="s">
        <v>241</v>
      </c>
      <c r="E36" s="74">
        <v>665.62</v>
      </c>
      <c r="F36" s="74">
        <v>7974</v>
      </c>
      <c r="G36" s="74">
        <v>7974</v>
      </c>
      <c r="H36" s="74">
        <v>1275.8399999999999</v>
      </c>
      <c r="I36" s="74">
        <v>717.66</v>
      </c>
      <c r="J36" s="74">
        <v>39.869999999999997</v>
      </c>
      <c r="K36" s="74">
        <v>15.95</v>
      </c>
      <c r="L36" s="74"/>
      <c r="M36" s="74">
        <v>119.61</v>
      </c>
      <c r="N36" s="74">
        <v>558</v>
      </c>
      <c r="O36" s="74">
        <f t="shared" si="0"/>
        <v>2726.93</v>
      </c>
      <c r="P36" s="74">
        <v>637.91999999999996</v>
      </c>
      <c r="Q36" s="74">
        <v>159.47999999999999</v>
      </c>
      <c r="R36" s="74">
        <v>39.869999999999997</v>
      </c>
      <c r="S36" s="74"/>
      <c r="T36" s="74"/>
      <c r="U36" s="74">
        <v>558</v>
      </c>
      <c r="V36" s="74">
        <f t="shared" si="1"/>
        <v>1395.27</v>
      </c>
      <c r="W36" s="74">
        <v>5204.87</v>
      </c>
      <c r="X36" s="74"/>
      <c r="Y36" s="75">
        <f t="shared" si="2"/>
        <v>9992.6899999999987</v>
      </c>
      <c r="AA36" s="73" t="s">
        <v>336</v>
      </c>
      <c r="AB36" s="73" t="s">
        <v>159</v>
      </c>
      <c r="AC36" s="76">
        <v>9427.06</v>
      </c>
      <c r="AD36" s="73" t="s">
        <v>242</v>
      </c>
      <c r="AE36" s="76">
        <v>565.63</v>
      </c>
    </row>
    <row r="37" spans="1:31" s="73" customFormat="1" ht="11.4" x14ac:dyDescent="0.25">
      <c r="A37" s="73">
        <v>22</v>
      </c>
      <c r="B37" s="73" t="s">
        <v>95</v>
      </c>
      <c r="C37" s="73" t="s">
        <v>240</v>
      </c>
      <c r="D37" s="73" t="s">
        <v>241</v>
      </c>
      <c r="E37" s="74">
        <v>580.89</v>
      </c>
      <c r="F37" s="74">
        <v>8888</v>
      </c>
      <c r="G37" s="74">
        <v>8888</v>
      </c>
      <c r="H37" s="74">
        <v>1422.08</v>
      </c>
      <c r="I37" s="74">
        <v>799.92</v>
      </c>
      <c r="J37" s="74">
        <v>44.44</v>
      </c>
      <c r="K37" s="74">
        <v>17.78</v>
      </c>
      <c r="L37" s="74"/>
      <c r="M37" s="74">
        <v>133.32</v>
      </c>
      <c r="N37" s="74">
        <v>622</v>
      </c>
      <c r="O37" s="74">
        <f t="shared" si="0"/>
        <v>3039.5400000000004</v>
      </c>
      <c r="P37" s="74">
        <v>711.04</v>
      </c>
      <c r="Q37" s="74">
        <v>177.76</v>
      </c>
      <c r="R37" s="74">
        <v>44.44</v>
      </c>
      <c r="S37" s="74"/>
      <c r="T37" s="74"/>
      <c r="U37" s="74">
        <v>622</v>
      </c>
      <c r="V37" s="74">
        <f t="shared" si="1"/>
        <v>1555.24</v>
      </c>
      <c r="W37" s="74">
        <v>3320</v>
      </c>
      <c r="X37" s="74"/>
      <c r="Y37" s="75">
        <f t="shared" si="2"/>
        <v>8495.67</v>
      </c>
      <c r="AA37" s="73" t="s">
        <v>337</v>
      </c>
      <c r="AB37" s="73" t="s">
        <v>96</v>
      </c>
      <c r="AC37" s="76">
        <v>8014.77</v>
      </c>
      <c r="AD37" s="73" t="s">
        <v>242</v>
      </c>
      <c r="AE37" s="76">
        <v>480.9</v>
      </c>
    </row>
    <row r="38" spans="1:31" s="73" customFormat="1" ht="11.4" x14ac:dyDescent="0.25">
      <c r="A38" s="73">
        <v>23</v>
      </c>
      <c r="B38" s="73" t="s">
        <v>119</v>
      </c>
      <c r="C38" s="73" t="s">
        <v>240</v>
      </c>
      <c r="D38" s="73" t="s">
        <v>241</v>
      </c>
      <c r="E38" s="74">
        <v>737.05</v>
      </c>
      <c r="F38" s="74">
        <v>8472</v>
      </c>
      <c r="G38" s="74">
        <v>8472</v>
      </c>
      <c r="H38" s="74">
        <v>1355.52</v>
      </c>
      <c r="I38" s="74">
        <v>762.48</v>
      </c>
      <c r="J38" s="74">
        <v>42.36</v>
      </c>
      <c r="K38" s="74">
        <v>16.940000000000001</v>
      </c>
      <c r="L38" s="74"/>
      <c r="M38" s="74">
        <v>127.08</v>
      </c>
      <c r="N38" s="74">
        <v>593</v>
      </c>
      <c r="O38" s="74">
        <f t="shared" si="0"/>
        <v>2897.38</v>
      </c>
      <c r="P38" s="74">
        <v>677.76</v>
      </c>
      <c r="Q38" s="74">
        <v>169.44</v>
      </c>
      <c r="R38" s="74">
        <v>42.36</v>
      </c>
      <c r="S38" s="74"/>
      <c r="T38" s="74"/>
      <c r="U38" s="74">
        <v>593</v>
      </c>
      <c r="V38" s="74">
        <f t="shared" si="1"/>
        <v>1482.56</v>
      </c>
      <c r="W38" s="74">
        <v>6137.44</v>
      </c>
      <c r="X38" s="74"/>
      <c r="Y38" s="75">
        <f t="shared" si="2"/>
        <v>11254.43</v>
      </c>
      <c r="AA38" s="73" t="s">
        <v>338</v>
      </c>
      <c r="AB38" s="73" t="s">
        <v>120</v>
      </c>
      <c r="AC38" s="76">
        <v>10617.38</v>
      </c>
      <c r="AD38" s="73" t="s">
        <v>242</v>
      </c>
      <c r="AE38" s="76">
        <v>637.04999999999995</v>
      </c>
    </row>
    <row r="39" spans="1:31" s="73" customFormat="1" ht="11.4" x14ac:dyDescent="0.25">
      <c r="A39" s="73">
        <v>24</v>
      </c>
      <c r="B39" s="73" t="s">
        <v>146</v>
      </c>
      <c r="C39" s="73" t="s">
        <v>240</v>
      </c>
      <c r="D39" s="73" t="s">
        <v>241</v>
      </c>
      <c r="E39" s="74">
        <v>759</v>
      </c>
      <c r="F39" s="74">
        <v>7759</v>
      </c>
      <c r="G39" s="74">
        <v>7759</v>
      </c>
      <c r="H39" s="74">
        <v>1241.44</v>
      </c>
      <c r="I39" s="74">
        <v>698.32</v>
      </c>
      <c r="J39" s="74">
        <v>38.799999999999997</v>
      </c>
      <c r="K39" s="74">
        <v>15.52</v>
      </c>
      <c r="L39" s="74"/>
      <c r="M39" s="74">
        <v>116.39</v>
      </c>
      <c r="N39" s="74">
        <v>543</v>
      </c>
      <c r="O39" s="74">
        <f t="shared" si="0"/>
        <v>2653.4700000000003</v>
      </c>
      <c r="P39" s="74">
        <v>620.72</v>
      </c>
      <c r="Q39" s="74">
        <v>155.18</v>
      </c>
      <c r="R39" s="74">
        <v>38.799999999999997</v>
      </c>
      <c r="S39" s="74"/>
      <c r="T39" s="74"/>
      <c r="U39" s="74">
        <v>543</v>
      </c>
      <c r="V39" s="74">
        <f t="shared" si="1"/>
        <v>1357.7</v>
      </c>
      <c r="W39" s="74">
        <v>6872.14</v>
      </c>
      <c r="X39" s="74"/>
      <c r="Y39" s="75">
        <f t="shared" si="2"/>
        <v>11642.310000000001</v>
      </c>
      <c r="AA39" s="73" t="s">
        <v>339</v>
      </c>
      <c r="AB39" s="73" t="s">
        <v>147</v>
      </c>
      <c r="AC39" s="76">
        <v>10983.31</v>
      </c>
      <c r="AD39" s="73" t="s">
        <v>242</v>
      </c>
      <c r="AE39" s="76">
        <v>659</v>
      </c>
    </row>
    <row r="40" spans="1:31" s="73" customFormat="1" ht="11.4" x14ac:dyDescent="0.25">
      <c r="A40" s="73">
        <v>25</v>
      </c>
      <c r="B40" s="73" t="s">
        <v>170</v>
      </c>
      <c r="C40" s="73" t="s">
        <v>240</v>
      </c>
      <c r="D40" s="73" t="s">
        <v>241</v>
      </c>
      <c r="E40" s="74">
        <v>709.05</v>
      </c>
      <c r="F40" s="74">
        <v>7384</v>
      </c>
      <c r="G40" s="74">
        <v>5239</v>
      </c>
      <c r="H40" s="74">
        <v>1181.44</v>
      </c>
      <c r="I40" s="74">
        <v>664.56</v>
      </c>
      <c r="J40" s="74">
        <v>36.92</v>
      </c>
      <c r="K40" s="74">
        <v>14.77</v>
      </c>
      <c r="L40" s="74"/>
      <c r="M40" s="74">
        <v>110.76</v>
      </c>
      <c r="N40" s="74">
        <v>367</v>
      </c>
      <c r="O40" s="74">
        <f t="shared" si="0"/>
        <v>2375.4499999999998</v>
      </c>
      <c r="P40" s="74">
        <v>590.72</v>
      </c>
      <c r="Q40" s="74">
        <v>147.68</v>
      </c>
      <c r="R40" s="74">
        <v>36.92</v>
      </c>
      <c r="S40" s="74"/>
      <c r="T40" s="74"/>
      <c r="U40" s="74">
        <v>367</v>
      </c>
      <c r="V40" s="74">
        <f t="shared" si="1"/>
        <v>1142.3200000000002</v>
      </c>
      <c r="W40" s="74">
        <v>6533.02</v>
      </c>
      <c r="X40" s="74"/>
      <c r="Y40" s="75">
        <f t="shared" si="2"/>
        <v>10759.84</v>
      </c>
      <c r="AA40" s="73" t="s">
        <v>340</v>
      </c>
      <c r="AB40" s="73" t="s">
        <v>171</v>
      </c>
      <c r="AC40" s="76">
        <v>10150.780000000001</v>
      </c>
      <c r="AD40" s="73" t="s">
        <v>242</v>
      </c>
      <c r="AE40" s="76">
        <v>609.05999999999995</v>
      </c>
    </row>
    <row r="41" spans="1:31" s="73" customFormat="1" ht="11.4" x14ac:dyDescent="0.25">
      <c r="A41" s="73">
        <v>26</v>
      </c>
      <c r="B41" s="73" t="s">
        <v>125</v>
      </c>
      <c r="C41" s="73" t="s">
        <v>240</v>
      </c>
      <c r="D41" s="73" t="s">
        <v>241</v>
      </c>
      <c r="E41" s="74">
        <v>627.59</v>
      </c>
      <c r="F41" s="74">
        <v>7384</v>
      </c>
      <c r="G41" s="74">
        <v>6830</v>
      </c>
      <c r="H41" s="74">
        <v>1181.44</v>
      </c>
      <c r="I41" s="74">
        <v>664.56</v>
      </c>
      <c r="J41" s="74">
        <v>36.92</v>
      </c>
      <c r="K41" s="74">
        <v>14.77</v>
      </c>
      <c r="L41" s="74"/>
      <c r="M41" s="74">
        <v>110.76</v>
      </c>
      <c r="N41" s="74">
        <v>478</v>
      </c>
      <c r="O41" s="74">
        <f t="shared" si="0"/>
        <v>2486.4499999999998</v>
      </c>
      <c r="P41" s="74">
        <v>590.72</v>
      </c>
      <c r="Q41" s="74">
        <v>147.68</v>
      </c>
      <c r="R41" s="74">
        <v>36.92</v>
      </c>
      <c r="S41" s="74"/>
      <c r="T41" s="74"/>
      <c r="U41" s="74">
        <v>478</v>
      </c>
      <c r="V41" s="74">
        <f t="shared" si="1"/>
        <v>1253.3200000000002</v>
      </c>
      <c r="W41" s="74">
        <v>4953.38</v>
      </c>
      <c r="X41" s="74"/>
      <c r="Y41" s="75">
        <f t="shared" si="2"/>
        <v>9320.7400000000016</v>
      </c>
      <c r="AA41" s="73" t="s">
        <v>341</v>
      </c>
      <c r="AB41" s="73" t="s">
        <v>126</v>
      </c>
      <c r="AC41" s="76">
        <v>8793.14</v>
      </c>
      <c r="AD41" s="73" t="s">
        <v>242</v>
      </c>
      <c r="AE41" s="76">
        <v>527.6</v>
      </c>
    </row>
    <row r="42" spans="1:31" s="73" customFormat="1" ht="11.4" x14ac:dyDescent="0.25">
      <c r="A42" s="73">
        <v>27</v>
      </c>
      <c r="B42" s="73" t="s">
        <v>101</v>
      </c>
      <c r="C42" s="73" t="s">
        <v>240</v>
      </c>
      <c r="D42" s="73" t="s">
        <v>241</v>
      </c>
      <c r="E42" s="74">
        <v>669.35</v>
      </c>
      <c r="F42" s="74">
        <v>10979</v>
      </c>
      <c r="G42" s="74">
        <v>10979</v>
      </c>
      <c r="H42" s="74">
        <v>1756.64</v>
      </c>
      <c r="I42" s="74">
        <v>988.12</v>
      </c>
      <c r="J42" s="74">
        <v>54.9</v>
      </c>
      <c r="K42" s="74">
        <v>21.96</v>
      </c>
      <c r="L42" s="74"/>
      <c r="M42" s="74">
        <v>164.69</v>
      </c>
      <c r="N42" s="74">
        <v>769</v>
      </c>
      <c r="O42" s="74">
        <f t="shared" si="0"/>
        <v>3755.3100000000004</v>
      </c>
      <c r="P42" s="74">
        <v>878.32</v>
      </c>
      <c r="Q42" s="74">
        <v>219.58</v>
      </c>
      <c r="R42" s="74">
        <v>54.9</v>
      </c>
      <c r="S42" s="74"/>
      <c r="T42" s="74"/>
      <c r="U42" s="74">
        <v>769</v>
      </c>
      <c r="V42" s="74">
        <f t="shared" si="1"/>
        <v>1921.8000000000002</v>
      </c>
      <c r="W42" s="74">
        <v>3712.04</v>
      </c>
      <c r="X42" s="74"/>
      <c r="Y42" s="75">
        <f t="shared" si="2"/>
        <v>10058.5</v>
      </c>
      <c r="AA42" s="73" t="s">
        <v>342</v>
      </c>
      <c r="AB42" s="73" t="s">
        <v>102</v>
      </c>
      <c r="AC42" s="76">
        <v>9489.16</v>
      </c>
      <c r="AD42" s="73" t="s">
        <v>242</v>
      </c>
      <c r="AE42" s="76">
        <v>569.34</v>
      </c>
    </row>
    <row r="43" spans="1:31" s="73" customFormat="1" ht="11.4" x14ac:dyDescent="0.25">
      <c r="A43" s="73">
        <v>28</v>
      </c>
      <c r="B43" s="73" t="s">
        <v>164</v>
      </c>
      <c r="C43" s="73" t="s">
        <v>240</v>
      </c>
      <c r="D43" s="73" t="s">
        <v>241</v>
      </c>
      <c r="E43" s="74">
        <v>696.92</v>
      </c>
      <c r="F43" s="74">
        <v>11909</v>
      </c>
      <c r="G43" s="74">
        <v>11909</v>
      </c>
      <c r="H43" s="74">
        <v>1905.44</v>
      </c>
      <c r="I43" s="74">
        <v>1071.82</v>
      </c>
      <c r="J43" s="74">
        <v>59.55</v>
      </c>
      <c r="K43" s="74">
        <v>23.82</v>
      </c>
      <c r="L43" s="74"/>
      <c r="M43" s="74">
        <v>178.64</v>
      </c>
      <c r="N43" s="74">
        <v>834</v>
      </c>
      <c r="O43" s="74">
        <f t="shared" si="0"/>
        <v>4073.2700000000004</v>
      </c>
      <c r="P43" s="74">
        <v>952.72</v>
      </c>
      <c r="Q43" s="74">
        <v>238.18</v>
      </c>
      <c r="R43" s="74">
        <v>59.55</v>
      </c>
      <c r="S43" s="74"/>
      <c r="T43" s="74"/>
      <c r="U43" s="74">
        <v>834</v>
      </c>
      <c r="V43" s="74">
        <f t="shared" si="1"/>
        <v>2084.4499999999998</v>
      </c>
      <c r="W43" s="74">
        <v>3691</v>
      </c>
      <c r="X43" s="74"/>
      <c r="Y43" s="75">
        <f>SUM(E43,O43,V43:X43)</f>
        <v>10545.64</v>
      </c>
      <c r="AA43" s="73" t="s">
        <v>343</v>
      </c>
      <c r="AB43" s="73" t="s">
        <v>165</v>
      </c>
      <c r="AC43" s="76">
        <v>9948.7199999999993</v>
      </c>
      <c r="AD43" s="73" t="s">
        <v>242</v>
      </c>
      <c r="AE43" s="76">
        <v>596.91999999999996</v>
      </c>
    </row>
    <row r="44" spans="1:31" s="73" customFormat="1" ht="11.4" x14ac:dyDescent="0.25">
      <c r="A44" s="73" t="s">
        <v>243</v>
      </c>
      <c r="E44" s="74">
        <f>SUM(E16:E43)</f>
        <v>21592.729999999996</v>
      </c>
      <c r="F44" s="74"/>
      <c r="G44" s="74"/>
      <c r="H44" s="74">
        <f t="shared" ref="H44:Y44" si="3">SUM(H16:H43)</f>
        <v>42341.760000000002</v>
      </c>
      <c r="I44" s="74">
        <f t="shared" si="3"/>
        <v>23817.359999999997</v>
      </c>
      <c r="J44" s="74">
        <f t="shared" si="3"/>
        <v>1323.2400000000002</v>
      </c>
      <c r="K44" s="74">
        <f t="shared" si="3"/>
        <v>529.29</v>
      </c>
      <c r="L44" s="74">
        <f t="shared" si="3"/>
        <v>0</v>
      </c>
      <c r="M44" s="74">
        <f t="shared" si="3"/>
        <v>3969.6000000000008</v>
      </c>
      <c r="N44" s="74">
        <f t="shared" si="3"/>
        <v>17957</v>
      </c>
      <c r="O44" s="74">
        <f t="shared" si="3"/>
        <v>89938.25</v>
      </c>
      <c r="P44" s="74">
        <f t="shared" si="3"/>
        <v>21170.880000000001</v>
      </c>
      <c r="Q44" s="74">
        <f t="shared" si="3"/>
        <v>5292.72</v>
      </c>
      <c r="R44" s="74">
        <f t="shared" si="3"/>
        <v>1323.2400000000002</v>
      </c>
      <c r="S44" s="74">
        <f t="shared" si="3"/>
        <v>0</v>
      </c>
      <c r="T44" s="74">
        <f t="shared" si="3"/>
        <v>0</v>
      </c>
      <c r="U44" s="74">
        <f t="shared" si="3"/>
        <v>17957</v>
      </c>
      <c r="V44" s="74">
        <f t="shared" si="3"/>
        <v>45743.839999999997</v>
      </c>
      <c r="W44" s="74">
        <f t="shared" si="3"/>
        <v>176496.5</v>
      </c>
      <c r="X44" s="74">
        <f t="shared" si="3"/>
        <v>0</v>
      </c>
      <c r="Y44" s="75">
        <f t="shared" si="3"/>
        <v>333771.32000000007</v>
      </c>
      <c r="AC44" s="76">
        <f>SUM(AC16:AC43)</f>
        <v>314878.56</v>
      </c>
      <c r="AE44" s="76">
        <f>SUM(AE16:AE43)</f>
        <v>18892.759999999998</v>
      </c>
    </row>
    <row r="45" spans="1:31" s="73" customFormat="1" ht="11.4" x14ac:dyDescent="0.25">
      <c r="A45" s="77" t="s">
        <v>344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8">
        <v>333771.32</v>
      </c>
      <c r="AC45" s="76"/>
      <c r="AE45" s="76"/>
    </row>
    <row r="46" spans="1:31" x14ac:dyDescent="0.25"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 spans="1:31" s="81" customFormat="1" ht="11.4" x14ac:dyDescent="0.25">
      <c r="A47" s="80" t="s">
        <v>244</v>
      </c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AC47" s="82"/>
      <c r="AE47" s="82"/>
    </row>
    <row r="48" spans="1:31" s="84" customFormat="1" ht="30" customHeight="1" x14ac:dyDescent="0.15">
      <c r="A48" s="62" t="s">
        <v>0</v>
      </c>
      <c r="B48" s="62" t="s">
        <v>200</v>
      </c>
      <c r="C48" s="62" t="s">
        <v>245</v>
      </c>
      <c r="D48" s="62" t="s">
        <v>246</v>
      </c>
      <c r="E48" s="63" t="s">
        <v>213</v>
      </c>
      <c r="F48" s="63" t="s">
        <v>216</v>
      </c>
      <c r="G48" s="63" t="s">
        <v>217</v>
      </c>
      <c r="H48" s="63" t="s">
        <v>39</v>
      </c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AC48" s="83"/>
      <c r="AE48" s="83"/>
    </row>
    <row r="49" spans="1:31" s="86" customFormat="1" ht="30" customHeight="1" x14ac:dyDescent="0.25">
      <c r="A49" s="69" t="s">
        <v>218</v>
      </c>
      <c r="B49" s="69" t="s">
        <v>219</v>
      </c>
      <c r="C49" s="69" t="s">
        <v>247</v>
      </c>
      <c r="D49" s="69" t="s">
        <v>248</v>
      </c>
      <c r="E49" s="70" t="s">
        <v>235</v>
      </c>
      <c r="F49" s="70" t="s">
        <v>238</v>
      </c>
      <c r="G49" s="70" t="s">
        <v>239</v>
      </c>
      <c r="H49" s="70" t="s">
        <v>88</v>
      </c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AC49" s="85"/>
      <c r="AE49" s="85"/>
    </row>
    <row r="50" spans="1:31" s="81" customFormat="1" ht="11.4" x14ac:dyDescent="0.25">
      <c r="A50" s="73">
        <v>1</v>
      </c>
      <c r="B50" s="73" t="s">
        <v>240</v>
      </c>
      <c r="C50" s="73" t="s">
        <v>249</v>
      </c>
      <c r="D50" s="74">
        <v>0</v>
      </c>
      <c r="E50" s="76"/>
      <c r="F50" s="74">
        <v>0.04</v>
      </c>
      <c r="G50" s="76">
        <v>0.06</v>
      </c>
      <c r="H50" s="74">
        <v>-0.04</v>
      </c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AC50" s="82"/>
      <c r="AE50" s="82"/>
    </row>
    <row r="51" spans="1:31" s="81" customFormat="1" ht="11.4" x14ac:dyDescent="0.25">
      <c r="A51" s="73" t="s">
        <v>243</v>
      </c>
      <c r="B51" s="73"/>
      <c r="C51" s="73"/>
      <c r="D51" s="74">
        <f>SUM(D50:D50)</f>
        <v>0</v>
      </c>
      <c r="E51" s="76"/>
      <c r="F51" s="74">
        <f>SUM(F50:F50)</f>
        <v>0.04</v>
      </c>
      <c r="G51" s="76"/>
      <c r="H51" s="74">
        <f>SUM(H50:H50)</f>
        <v>-0.04</v>
      </c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AC51" s="82"/>
      <c r="AE51" s="82"/>
    </row>
    <row r="52" spans="1:31" s="81" customFormat="1" ht="11.4" x14ac:dyDescent="0.25">
      <c r="A52" s="77" t="s">
        <v>250</v>
      </c>
      <c r="B52" s="73"/>
      <c r="C52" s="73"/>
      <c r="D52" s="87">
        <v>0</v>
      </c>
      <c r="E52" s="76"/>
      <c r="F52" s="87">
        <v>0.04</v>
      </c>
      <c r="G52" s="76"/>
      <c r="H52" s="87">
        <v>-0.04</v>
      </c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AC52" s="82"/>
      <c r="AE52" s="82"/>
    </row>
    <row r="54" spans="1:31" x14ac:dyDescent="0.25">
      <c r="A54" s="53" t="s">
        <v>251</v>
      </c>
    </row>
    <row r="55" spans="1:31" ht="25.05" customHeight="1" x14ac:dyDescent="0.25">
      <c r="A55" s="88" t="s">
        <v>252</v>
      </c>
      <c r="B55" s="88" t="s">
        <v>253</v>
      </c>
      <c r="C55" s="88" t="s">
        <v>217</v>
      </c>
      <c r="D55" s="88" t="s">
        <v>254</v>
      </c>
    </row>
    <row r="56" spans="1:31" ht="25.05" customHeight="1" x14ac:dyDescent="0.25">
      <c r="A56" s="89"/>
      <c r="B56" s="89"/>
      <c r="C56" s="89"/>
      <c r="D56" s="89"/>
    </row>
    <row r="57" spans="1:31" x14ac:dyDescent="0.25">
      <c r="A57" s="73">
        <v>1</v>
      </c>
      <c r="B57" s="76">
        <v>314878.59999999998</v>
      </c>
      <c r="C57" s="73" t="s">
        <v>242</v>
      </c>
      <c r="D57" s="76">
        <v>18892.72</v>
      </c>
    </row>
    <row r="58" spans="1:31" x14ac:dyDescent="0.25">
      <c r="A58" s="73" t="s">
        <v>255</v>
      </c>
      <c r="B58" s="76">
        <v>314878.59999999998</v>
      </c>
      <c r="C58" s="73"/>
      <c r="D58" s="76">
        <v>18892.72</v>
      </c>
    </row>
    <row r="59" spans="1:31" x14ac:dyDescent="0.25">
      <c r="A59" s="90" t="s">
        <v>256</v>
      </c>
      <c r="B59" s="91"/>
      <c r="C59" s="91"/>
      <c r="D59" s="92">
        <v>18892.72</v>
      </c>
    </row>
    <row r="60" spans="1:31" x14ac:dyDescent="0.25">
      <c r="A60" s="93" t="s">
        <v>345</v>
      </c>
    </row>
    <row r="61" spans="1:31" x14ac:dyDescent="0.25">
      <c r="A61" s="94">
        <v>333771.31999999995</v>
      </c>
    </row>
    <row r="62" spans="1:31" x14ac:dyDescent="0.25">
      <c r="A62" s="93" t="s">
        <v>346</v>
      </c>
    </row>
    <row r="64" spans="1:31" s="96" customFormat="1" ht="17.399999999999999" x14ac:dyDescent="0.25">
      <c r="A64" s="95" t="s">
        <v>347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AC64" s="97"/>
      <c r="AE64" s="97"/>
    </row>
    <row r="66" spans="1:31" s="59" customFormat="1" ht="13.2" x14ac:dyDescent="0.25">
      <c r="A66" s="58" t="s">
        <v>257</v>
      </c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AC66" s="60"/>
      <c r="AE66" s="60"/>
    </row>
    <row r="67" spans="1:31" s="81" customFormat="1" ht="11.4" x14ac:dyDescent="0.25">
      <c r="A67" s="73" t="s">
        <v>0</v>
      </c>
      <c r="B67" s="73" t="s">
        <v>3</v>
      </c>
      <c r="C67" s="73" t="s">
        <v>6</v>
      </c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AC67" s="82"/>
      <c r="AE67" s="82"/>
    </row>
    <row r="68" spans="1:31" s="81" customFormat="1" ht="11.4" x14ac:dyDescent="0.25">
      <c r="A68" s="73">
        <v>1</v>
      </c>
      <c r="B68" s="73" t="s">
        <v>348</v>
      </c>
      <c r="C68" s="73" t="s">
        <v>349</v>
      </c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AC68" s="82"/>
      <c r="AE68" s="82"/>
    </row>
    <row r="69" spans="1:31" s="81" customFormat="1" ht="11.4" x14ac:dyDescent="0.25">
      <c r="A69" s="73">
        <v>2</v>
      </c>
      <c r="B69" s="73" t="s">
        <v>350</v>
      </c>
      <c r="C69" s="73" t="s">
        <v>258</v>
      </c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AC69" s="82"/>
      <c r="AE69" s="82"/>
    </row>
    <row r="71" spans="1:31" x14ac:dyDescent="0.25">
      <c r="A71" s="98" t="s">
        <v>259</v>
      </c>
      <c r="J71" s="54" t="s">
        <v>260</v>
      </c>
    </row>
    <row r="73" spans="1:31" x14ac:dyDescent="0.25">
      <c r="A73" s="52" t="s">
        <v>261</v>
      </c>
      <c r="G73" s="99" t="s">
        <v>261</v>
      </c>
    </row>
    <row r="74" spans="1:31" x14ac:dyDescent="0.25">
      <c r="A74" s="52" t="s">
        <v>262</v>
      </c>
      <c r="G74" s="99" t="s">
        <v>263</v>
      </c>
    </row>
    <row r="75" spans="1:31" x14ac:dyDescent="0.25">
      <c r="A75" s="52" t="s">
        <v>264</v>
      </c>
      <c r="G75" s="99" t="s">
        <v>265</v>
      </c>
    </row>
    <row r="76" spans="1:31" x14ac:dyDescent="0.25">
      <c r="A76" s="52" t="s">
        <v>266</v>
      </c>
      <c r="G76" s="99" t="s">
        <v>267</v>
      </c>
    </row>
    <row r="77" spans="1:31" x14ac:dyDescent="0.25">
      <c r="A77" s="52" t="s">
        <v>268</v>
      </c>
      <c r="G77" s="99" t="s">
        <v>269</v>
      </c>
    </row>
    <row r="79" spans="1:31" x14ac:dyDescent="0.25">
      <c r="A79" s="52" t="s">
        <v>261</v>
      </c>
    </row>
    <row r="80" spans="1:31" x14ac:dyDescent="0.25">
      <c r="A80" s="52" t="s">
        <v>270</v>
      </c>
    </row>
    <row r="81" spans="1:10" x14ac:dyDescent="0.25">
      <c r="A81" s="52" t="s">
        <v>271</v>
      </c>
    </row>
    <row r="82" spans="1:10" x14ac:dyDescent="0.25">
      <c r="A82" s="52" t="s">
        <v>272</v>
      </c>
    </row>
    <row r="83" spans="1:10" x14ac:dyDescent="0.25">
      <c r="A83" s="52" t="s">
        <v>273</v>
      </c>
    </row>
    <row r="85" spans="1:10" x14ac:dyDescent="0.25">
      <c r="A85" s="98" t="s">
        <v>274</v>
      </c>
      <c r="D85" s="98" t="s">
        <v>275</v>
      </c>
      <c r="G85" s="99" t="s">
        <v>194</v>
      </c>
    </row>
    <row r="86" spans="1:10" x14ac:dyDescent="0.25">
      <c r="A86" s="98" t="s">
        <v>276</v>
      </c>
      <c r="G86" s="100" t="s">
        <v>277</v>
      </c>
    </row>
    <row r="87" spans="1:10" x14ac:dyDescent="0.25">
      <c r="A87" s="98" t="s">
        <v>278</v>
      </c>
      <c r="D87" s="98" t="s">
        <v>279</v>
      </c>
      <c r="G87" s="100" t="s">
        <v>280</v>
      </c>
    </row>
    <row r="88" spans="1:10" x14ac:dyDescent="0.25">
      <c r="A88" s="98" t="s">
        <v>281</v>
      </c>
      <c r="D88" s="98" t="s">
        <v>282</v>
      </c>
      <c r="G88" s="100" t="s">
        <v>283</v>
      </c>
      <c r="J88" s="100" t="s">
        <v>284</v>
      </c>
    </row>
    <row r="90" spans="1:10" x14ac:dyDescent="0.25">
      <c r="A90" s="98" t="s">
        <v>285</v>
      </c>
      <c r="B90" s="98" t="s">
        <v>286</v>
      </c>
    </row>
    <row r="91" spans="1:10" x14ac:dyDescent="0.25">
      <c r="B91" s="98" t="s">
        <v>287</v>
      </c>
    </row>
    <row r="92" spans="1:10" x14ac:dyDescent="0.25">
      <c r="B92" s="98" t="s">
        <v>288</v>
      </c>
    </row>
    <row r="93" spans="1:10" x14ac:dyDescent="0.25">
      <c r="B93" s="98" t="s">
        <v>289</v>
      </c>
    </row>
    <row r="94" spans="1:10" x14ac:dyDescent="0.25">
      <c r="B94" s="98" t="s">
        <v>290</v>
      </c>
    </row>
    <row r="96" spans="1:10" x14ac:dyDescent="0.25">
      <c r="A96" s="98" t="s">
        <v>291</v>
      </c>
      <c r="B96" s="98" t="s">
        <v>292</v>
      </c>
    </row>
    <row r="97" spans="2:2" x14ac:dyDescent="0.25">
      <c r="B97" s="98" t="s">
        <v>293</v>
      </c>
    </row>
  </sheetData>
  <mergeCells count="7">
    <mergeCell ref="A55:A56"/>
    <mergeCell ref="B55:B56"/>
    <mergeCell ref="C55:C56"/>
    <mergeCell ref="D55:D56"/>
    <mergeCell ref="A59:C59"/>
    <mergeCell ref="H14:M14"/>
    <mergeCell ref="P14:T14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202502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2023-05-10T02:27:00Z</dcterms:created>
  <dcterms:modified xsi:type="dcterms:W3CDTF">2025-02-13T05:47:45Z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8233FB2981AF491AB94FABEB1FC6C762</vt:lpwstr>
  </property>
  <property fmtid="{D5CDD505-2E9C-101B-9397-08002B2CF9AE}" pid="3" name="KSOProductBuildVer">
    <vt:lpwstr>2052-12.8.2.15091</vt:lpwstr>
  </property>
</Properties>
</file>