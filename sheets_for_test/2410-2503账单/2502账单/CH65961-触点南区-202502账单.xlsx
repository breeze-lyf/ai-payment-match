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/>
  <mc:AlternateContent xmlns:mc="http://schemas.openxmlformats.org/markup-compatibility/2006">
    <mc:Choice Requires="x15">
      <x15ac:absPath xmlns:x15ac="http://schemas.microsoft.com/office/spreadsheetml/2010/11/ac" url="C:\Users\zidan.luo\Desktop\电信工作\202502电信\2502账单\"/>
    </mc:Choice>
  </mc:AlternateContent>
  <xr:revisionPtr revIDLastSave="0" documentId="13_ncr:1_{3B627BA9-C5FE-4458-BE18-39765F732386}" xr6:coauthVersionLast="36" xr6:coauthVersionMax="36" xr10:uidLastSave="{00000000-0000-0000-0000-000000000000}"/>
  <bookViews>
    <workbookView xWindow="0" yWindow="0" windowWidth="29100" windowHeight="13356" activeTab="1" xr2:uid="{00000000-000D-0000-FFFF-FFFF00000000}"/>
  </bookViews>
  <sheets>
    <sheet name="202502" sheetId="1" r:id="rId1"/>
    <sheet name="对账单" sheetId="3" r:id="rId2"/>
    <sheet name="系统" sheetId="2" r:id="rId3"/>
  </sheets>
  <definedNames>
    <definedName name="_xlnm._FilterDatabase" localSheetId="0" hidden="1">'202502'!$A$2:$BE$27</definedName>
  </definedNames>
  <calcPr calcId="191029"/>
</workbook>
</file>

<file path=xl/calcChain.xml><?xml version="1.0" encoding="utf-8"?>
<calcChain xmlns="http://schemas.openxmlformats.org/spreadsheetml/2006/main">
  <c r="D11" i="3" l="1"/>
  <c r="D7" i="3"/>
  <c r="D2" i="3"/>
  <c r="C7" i="3"/>
  <c r="C5" i="3"/>
  <c r="I5" i="3" s="1"/>
  <c r="C4" i="3"/>
  <c r="C2" i="3"/>
  <c r="B10" i="3"/>
  <c r="D9" i="3" s="1"/>
  <c r="B9" i="3"/>
  <c r="J9" i="3" s="1"/>
  <c r="B7" i="3"/>
  <c r="B5" i="3"/>
  <c r="B4" i="3"/>
  <c r="J4" i="3" s="1"/>
  <c r="B3" i="3"/>
  <c r="J3" i="3" s="1"/>
  <c r="B2" i="3"/>
  <c r="J2" i="3" s="1"/>
  <c r="E14" i="3"/>
  <c r="H11" i="3"/>
  <c r="G11" i="3"/>
  <c r="E11" i="3"/>
  <c r="I10" i="3"/>
  <c r="I8" i="3"/>
  <c r="J8" i="3"/>
  <c r="I7" i="3"/>
  <c r="J6" i="3"/>
  <c r="I6" i="3"/>
  <c r="I4" i="3"/>
  <c r="I3" i="3"/>
  <c r="I2" i="3"/>
  <c r="J7" i="3" l="1"/>
  <c r="C11" i="3"/>
  <c r="C14" i="3" s="1"/>
  <c r="J5" i="3"/>
  <c r="D13" i="3"/>
  <c r="D14" i="3" s="1"/>
  <c r="J10" i="3"/>
  <c r="B11" i="3"/>
  <c r="B14" i="3" s="1"/>
  <c r="I15" i="3" s="1"/>
  <c r="F9" i="3"/>
  <c r="F11" i="3" s="1"/>
  <c r="G13" i="3"/>
  <c r="G14" i="3" s="1"/>
  <c r="H13" i="3"/>
  <c r="H14" i="3" s="1"/>
  <c r="I11" i="3" l="1"/>
  <c r="F13" i="3"/>
  <c r="I13" i="3" s="1"/>
  <c r="I9" i="3"/>
  <c r="F14" i="3" l="1"/>
  <c r="I14" i="3" s="1"/>
  <c r="I16" i="3" s="1"/>
  <c r="I17" i="3" s="1"/>
  <c r="H48" i="2" l="1"/>
  <c r="F48" i="2"/>
  <c r="D48" i="2"/>
  <c r="AE41" i="2"/>
  <c r="AC41" i="2"/>
  <c r="X41" i="2"/>
  <c r="W41" i="2"/>
  <c r="U41" i="2"/>
  <c r="T41" i="2"/>
  <c r="S41" i="2"/>
  <c r="R41" i="2"/>
  <c r="Q41" i="2"/>
  <c r="P41" i="2"/>
  <c r="N41" i="2"/>
  <c r="M41" i="2"/>
  <c r="L41" i="2"/>
  <c r="K41" i="2"/>
  <c r="J41" i="2"/>
  <c r="I41" i="2"/>
  <c r="H41" i="2"/>
  <c r="E41" i="2"/>
  <c r="V40" i="2"/>
  <c r="O40" i="2"/>
  <c r="Y40" i="2" s="1"/>
  <c r="Y39" i="2"/>
  <c r="V39" i="2"/>
  <c r="O39" i="2"/>
  <c r="V38" i="2"/>
  <c r="Y38" i="2" s="1"/>
  <c r="O38" i="2"/>
  <c r="V37" i="2"/>
  <c r="O37" i="2"/>
  <c r="Y37" i="2" s="1"/>
  <c r="V36" i="2"/>
  <c r="O36" i="2"/>
  <c r="Y36" i="2" s="1"/>
  <c r="Y35" i="2"/>
  <c r="V35" i="2"/>
  <c r="O35" i="2"/>
  <c r="V34" i="2"/>
  <c r="Y34" i="2" s="1"/>
  <c r="O34" i="2"/>
  <c r="V33" i="2"/>
  <c r="O33" i="2"/>
  <c r="Y33" i="2" s="1"/>
  <c r="V32" i="2"/>
  <c r="O32" i="2"/>
  <c r="Y32" i="2" s="1"/>
  <c r="Y31" i="2"/>
  <c r="V31" i="2"/>
  <c r="O31" i="2"/>
  <c r="V30" i="2"/>
  <c r="Y30" i="2" s="1"/>
  <c r="O30" i="2"/>
  <c r="V29" i="2"/>
  <c r="O29" i="2"/>
  <c r="Y29" i="2" s="1"/>
  <c r="V28" i="2"/>
  <c r="O28" i="2"/>
  <c r="Y28" i="2" s="1"/>
  <c r="Y27" i="2"/>
  <c r="V27" i="2"/>
  <c r="O27" i="2"/>
  <c r="V26" i="2"/>
  <c r="Y26" i="2" s="1"/>
  <c r="O26" i="2"/>
  <c r="V25" i="2"/>
  <c r="O25" i="2"/>
  <c r="Y25" i="2" s="1"/>
  <c r="V24" i="2"/>
  <c r="O24" i="2"/>
  <c r="Y24" i="2" s="1"/>
  <c r="Y23" i="2"/>
  <c r="V23" i="2"/>
  <c r="O23" i="2"/>
  <c r="V22" i="2"/>
  <c r="Y22" i="2" s="1"/>
  <c r="O22" i="2"/>
  <c r="V21" i="2"/>
  <c r="O21" i="2"/>
  <c r="Y21" i="2" s="1"/>
  <c r="V20" i="2"/>
  <c r="O20" i="2"/>
  <c r="Y20" i="2" s="1"/>
  <c r="Y19" i="2"/>
  <c r="V19" i="2"/>
  <c r="O19" i="2"/>
  <c r="V18" i="2"/>
  <c r="Y18" i="2" s="1"/>
  <c r="O18" i="2"/>
  <c r="V17" i="2"/>
  <c r="O17" i="2"/>
  <c r="Y17" i="2" s="1"/>
  <c r="V16" i="2"/>
  <c r="V41" i="2" s="1"/>
  <c r="O16" i="2"/>
  <c r="Y16" i="2" s="1"/>
  <c r="Y41" i="2" l="1"/>
  <c r="O41" i="2"/>
  <c r="AZ29" i="1"/>
  <c r="AX29" i="1"/>
  <c r="AV29" i="1"/>
  <c r="BD27" i="1"/>
  <c r="AT27" i="1"/>
  <c r="AS27" i="1"/>
  <c r="AP27" i="1"/>
  <c r="AN27" i="1"/>
  <c r="AU27" i="1" s="1"/>
  <c r="AW27" i="1" s="1"/>
  <c r="BA27" i="1" s="1"/>
  <c r="AG27" i="1"/>
  <c r="Z27" i="1"/>
  <c r="AK27" i="1" s="1"/>
  <c r="A27" i="1"/>
  <c r="BD26" i="1"/>
  <c r="AT26" i="1"/>
  <c r="AS26" i="1"/>
  <c r="AP26" i="1"/>
  <c r="AO26" i="1"/>
  <c r="AN26" i="1"/>
  <c r="AU26" i="1" s="1"/>
  <c r="AW26" i="1" s="1"/>
  <c r="BA26" i="1" s="1"/>
  <c r="AK26" i="1"/>
  <c r="AG26" i="1"/>
  <c r="Z26" i="1"/>
  <c r="A26" i="1"/>
  <c r="BD25" i="1"/>
  <c r="AT25" i="1"/>
  <c r="AS25" i="1"/>
  <c r="AP25" i="1"/>
  <c r="AN25" i="1"/>
  <c r="AU25" i="1" s="1"/>
  <c r="AW25" i="1" s="1"/>
  <c r="BA25" i="1" s="1"/>
  <c r="AG25" i="1"/>
  <c r="AK25" i="1" s="1"/>
  <c r="Z25" i="1"/>
  <c r="A25" i="1"/>
  <c r="BD24" i="1"/>
  <c r="AT24" i="1"/>
  <c r="AS24" i="1"/>
  <c r="AP24" i="1"/>
  <c r="AN24" i="1"/>
  <c r="AU24" i="1" s="1"/>
  <c r="AW24" i="1" s="1"/>
  <c r="BA24" i="1" s="1"/>
  <c r="AG24" i="1"/>
  <c r="Z24" i="1"/>
  <c r="AK24" i="1" s="1"/>
  <c r="A24" i="1"/>
  <c r="BD23" i="1"/>
  <c r="AT23" i="1"/>
  <c r="AS23" i="1"/>
  <c r="AP23" i="1"/>
  <c r="AO23" i="1"/>
  <c r="AN23" i="1"/>
  <c r="AU23" i="1" s="1"/>
  <c r="AW23" i="1" s="1"/>
  <c r="BA23" i="1" s="1"/>
  <c r="AK23" i="1"/>
  <c r="AG23" i="1"/>
  <c r="Z23" i="1"/>
  <c r="A23" i="1"/>
  <c r="BD22" i="1"/>
  <c r="AT22" i="1"/>
  <c r="AS22" i="1"/>
  <c r="AP22" i="1"/>
  <c r="AN22" i="1"/>
  <c r="AU22" i="1" s="1"/>
  <c r="AW22" i="1" s="1"/>
  <c r="BA22" i="1" s="1"/>
  <c r="AG22" i="1"/>
  <c r="Z22" i="1"/>
  <c r="AK22" i="1" s="1"/>
  <c r="A22" i="1"/>
  <c r="BD21" i="1"/>
  <c r="AT21" i="1"/>
  <c r="AS21" i="1"/>
  <c r="AP21" i="1"/>
  <c r="AO21" i="1"/>
  <c r="AN21" i="1"/>
  <c r="AU21" i="1" s="1"/>
  <c r="AW21" i="1" s="1"/>
  <c r="BA21" i="1" s="1"/>
  <c r="AG21" i="1"/>
  <c r="Z21" i="1"/>
  <c r="AK21" i="1" s="1"/>
  <c r="A21" i="1"/>
  <c r="BD20" i="1"/>
  <c r="AT20" i="1"/>
  <c r="AS20" i="1"/>
  <c r="AP20" i="1"/>
  <c r="AN20" i="1"/>
  <c r="AU20" i="1" s="1"/>
  <c r="AW20" i="1" s="1"/>
  <c r="BA20" i="1" s="1"/>
  <c r="AG20" i="1"/>
  <c r="AK20" i="1" s="1"/>
  <c r="Z20" i="1"/>
  <c r="A20" i="1"/>
  <c r="BD19" i="1"/>
  <c r="AT19" i="1"/>
  <c r="AS19" i="1"/>
  <c r="AP19" i="1"/>
  <c r="AO19" i="1"/>
  <c r="AU19" i="1" s="1"/>
  <c r="AW19" i="1" s="1"/>
  <c r="BA19" i="1" s="1"/>
  <c r="AN19" i="1"/>
  <c r="AG19" i="1"/>
  <c r="Z19" i="1"/>
  <c r="AK19" i="1" s="1"/>
  <c r="A19" i="1"/>
  <c r="BD18" i="1"/>
  <c r="AT18" i="1"/>
  <c r="AS18" i="1"/>
  <c r="AP18" i="1"/>
  <c r="AO18" i="1"/>
  <c r="AN18" i="1"/>
  <c r="AU18" i="1" s="1"/>
  <c r="AW18" i="1" s="1"/>
  <c r="BA18" i="1" s="1"/>
  <c r="AG18" i="1"/>
  <c r="Z18" i="1"/>
  <c r="AK18" i="1" s="1"/>
  <c r="A18" i="1"/>
  <c r="BD17" i="1"/>
  <c r="AT17" i="1"/>
  <c r="AS17" i="1"/>
  <c r="AP17" i="1"/>
  <c r="AN17" i="1"/>
  <c r="AU17" i="1" s="1"/>
  <c r="AW17" i="1" s="1"/>
  <c r="BA17" i="1" s="1"/>
  <c r="AG17" i="1"/>
  <c r="AK17" i="1" s="1"/>
  <c r="Z17" i="1"/>
  <c r="A17" i="1"/>
  <c r="BD16" i="1"/>
  <c r="AT16" i="1"/>
  <c r="AS16" i="1"/>
  <c r="AP16" i="1"/>
  <c r="AO16" i="1"/>
  <c r="AU16" i="1" s="1"/>
  <c r="AW16" i="1" s="1"/>
  <c r="BA16" i="1" s="1"/>
  <c r="AN16" i="1"/>
  <c r="AG16" i="1"/>
  <c r="Z16" i="1"/>
  <c r="AK16" i="1" s="1"/>
  <c r="A16" i="1"/>
  <c r="BD15" i="1"/>
  <c r="AT15" i="1"/>
  <c r="AS15" i="1"/>
  <c r="AP15" i="1"/>
  <c r="AO15" i="1"/>
  <c r="AN15" i="1"/>
  <c r="AU15" i="1" s="1"/>
  <c r="AW15" i="1" s="1"/>
  <c r="BA15" i="1" s="1"/>
  <c r="AG15" i="1"/>
  <c r="Z15" i="1"/>
  <c r="AK15" i="1" s="1"/>
  <c r="A15" i="1"/>
  <c r="BD14" i="1"/>
  <c r="AT14" i="1"/>
  <c r="AS14" i="1"/>
  <c r="AP14" i="1"/>
  <c r="AO14" i="1"/>
  <c r="AN14" i="1"/>
  <c r="AU14" i="1" s="1"/>
  <c r="AW14" i="1" s="1"/>
  <c r="BA14" i="1" s="1"/>
  <c r="AK14" i="1"/>
  <c r="AG14" i="1"/>
  <c r="Z14" i="1"/>
  <c r="A14" i="1"/>
  <c r="BD13" i="1"/>
  <c r="AT13" i="1"/>
  <c r="AS13" i="1"/>
  <c r="AP13" i="1"/>
  <c r="AO13" i="1"/>
  <c r="AU13" i="1" s="1"/>
  <c r="AW13" i="1" s="1"/>
  <c r="BA13" i="1" s="1"/>
  <c r="AN13" i="1"/>
  <c r="AG13" i="1"/>
  <c r="AK13" i="1" s="1"/>
  <c r="Z13" i="1"/>
  <c r="A13" i="1"/>
  <c r="BD12" i="1"/>
  <c r="AT12" i="1"/>
  <c r="AS12" i="1"/>
  <c r="AP12" i="1"/>
  <c r="AO12" i="1"/>
  <c r="AU12" i="1" s="1"/>
  <c r="AW12" i="1" s="1"/>
  <c r="BA12" i="1" s="1"/>
  <c r="AN12" i="1"/>
  <c r="AG12" i="1"/>
  <c r="Z12" i="1"/>
  <c r="AK12" i="1" s="1"/>
  <c r="A12" i="1"/>
  <c r="BD11" i="1"/>
  <c r="AT11" i="1"/>
  <c r="AS11" i="1"/>
  <c r="AP11" i="1"/>
  <c r="AO11" i="1"/>
  <c r="AN11" i="1"/>
  <c r="AU11" i="1" s="1"/>
  <c r="AW11" i="1" s="1"/>
  <c r="BA11" i="1" s="1"/>
  <c r="AG11" i="1"/>
  <c r="Z11" i="1"/>
  <c r="AK11" i="1" s="1"/>
  <c r="A11" i="1"/>
  <c r="BD10" i="1"/>
  <c r="AT10" i="1"/>
  <c r="AS10" i="1"/>
  <c r="AP10" i="1"/>
  <c r="AO10" i="1"/>
  <c r="AN10" i="1"/>
  <c r="AU10" i="1" s="1"/>
  <c r="AW10" i="1" s="1"/>
  <c r="BA10" i="1" s="1"/>
  <c r="AK10" i="1"/>
  <c r="AG10" i="1"/>
  <c r="Z10" i="1"/>
  <c r="A10" i="1"/>
  <c r="BD9" i="1"/>
  <c r="AU9" i="1"/>
  <c r="AG9" i="1"/>
  <c r="Z9" i="1"/>
  <c r="AK9" i="1" s="1"/>
  <c r="A9" i="1"/>
  <c r="BD8" i="1"/>
  <c r="AT8" i="1"/>
  <c r="AS8" i="1"/>
  <c r="AP8" i="1"/>
  <c r="AN8" i="1"/>
  <c r="AU8" i="1" s="1"/>
  <c r="AW8" i="1" s="1"/>
  <c r="BA8" i="1" s="1"/>
  <c r="AK8" i="1"/>
  <c r="AG8" i="1"/>
  <c r="Z8" i="1"/>
  <c r="A8" i="1"/>
  <c r="BD7" i="1"/>
  <c r="AT7" i="1"/>
  <c r="AS7" i="1"/>
  <c r="AP7" i="1"/>
  <c r="AN7" i="1"/>
  <c r="AU7" i="1" s="1"/>
  <c r="AW7" i="1" s="1"/>
  <c r="BA7" i="1" s="1"/>
  <c r="AG7" i="1"/>
  <c r="Z7" i="1"/>
  <c r="AK7" i="1" s="1"/>
  <c r="A7" i="1"/>
  <c r="BD6" i="1"/>
  <c r="AT6" i="1"/>
  <c r="AS6" i="1"/>
  <c r="AP6" i="1"/>
  <c r="AO6" i="1"/>
  <c r="AN6" i="1"/>
  <c r="AU6" i="1" s="1"/>
  <c r="AW6" i="1" s="1"/>
  <c r="BA6" i="1" s="1"/>
  <c r="AG6" i="1"/>
  <c r="Z6" i="1"/>
  <c r="AK6" i="1" s="1"/>
  <c r="A6" i="1"/>
  <c r="BD5" i="1"/>
  <c r="AT5" i="1"/>
  <c r="AS5" i="1"/>
  <c r="AP5" i="1"/>
  <c r="AN5" i="1"/>
  <c r="AU5" i="1" s="1"/>
  <c r="AW5" i="1" s="1"/>
  <c r="BA5" i="1" s="1"/>
  <c r="AG5" i="1"/>
  <c r="AK5" i="1" s="1"/>
  <c r="Z5" i="1"/>
  <c r="A5" i="1"/>
  <c r="BD4" i="1"/>
  <c r="AT4" i="1"/>
  <c r="AS4" i="1"/>
  <c r="AP4" i="1"/>
  <c r="AO4" i="1"/>
  <c r="AU4" i="1" s="1"/>
  <c r="AW4" i="1" s="1"/>
  <c r="BA4" i="1" s="1"/>
  <c r="AN4" i="1"/>
  <c r="AG4" i="1"/>
  <c r="Z4" i="1"/>
  <c r="AK4" i="1" s="1"/>
  <c r="A4" i="1"/>
  <c r="BD3" i="1"/>
  <c r="BD29" i="1" s="1"/>
  <c r="AT3" i="1"/>
  <c r="AS3" i="1"/>
  <c r="AP3" i="1"/>
  <c r="AO3" i="1"/>
  <c r="AN3" i="1"/>
  <c r="AU3" i="1" s="1"/>
  <c r="AG3" i="1"/>
  <c r="AG29" i="1" s="1"/>
  <c r="Z3" i="1"/>
  <c r="AK3" i="1" s="1"/>
  <c r="A3" i="1"/>
  <c r="BB12" i="1" l="1"/>
  <c r="BC12" i="1"/>
  <c r="AK29" i="1"/>
  <c r="BB4" i="1"/>
  <c r="BC4" i="1" s="1"/>
  <c r="BB10" i="1"/>
  <c r="BC10" i="1" s="1"/>
  <c r="BB16" i="1"/>
  <c r="BC16" i="1" s="1"/>
  <c r="BB7" i="1"/>
  <c r="BC7" i="1" s="1"/>
  <c r="BC11" i="1"/>
  <c r="BB11" i="1"/>
  <c r="BB14" i="1"/>
  <c r="BC14" i="1" s="1"/>
  <c r="BB24" i="1"/>
  <c r="BC24" i="1" s="1"/>
  <c r="BB25" i="1"/>
  <c r="BC25" i="1" s="1"/>
  <c r="BC22" i="1"/>
  <c r="BB22" i="1"/>
  <c r="BB27" i="1"/>
  <c r="BC27" i="1" s="1"/>
  <c r="BB5" i="1"/>
  <c r="BC5" i="1" s="1"/>
  <c r="BB6" i="1"/>
  <c r="BC6" i="1"/>
  <c r="BC13" i="1"/>
  <c r="BB13" i="1"/>
  <c r="BB17" i="1"/>
  <c r="BC17" i="1" s="1"/>
  <c r="BB18" i="1"/>
  <c r="BC18" i="1" s="1"/>
  <c r="BB23" i="1"/>
  <c r="BC23" i="1" s="1"/>
  <c r="AU29" i="1"/>
  <c r="AW3" i="1"/>
  <c r="BB8" i="1"/>
  <c r="BC8" i="1" s="1"/>
  <c r="BB15" i="1"/>
  <c r="BC15" i="1" s="1"/>
  <c r="BB19" i="1"/>
  <c r="BC19" i="1"/>
  <c r="BC20" i="1"/>
  <c r="BB20" i="1"/>
  <c r="BB21" i="1"/>
  <c r="BC21" i="1" s="1"/>
  <c r="BB26" i="1"/>
  <c r="BC26" i="1" s="1"/>
  <c r="Z29" i="1"/>
  <c r="AW9" i="1"/>
  <c r="BA9" i="1" s="1"/>
  <c r="BC9" i="1" l="1"/>
  <c r="BB9" i="1"/>
  <c r="BA3" i="1"/>
  <c r="AW29" i="1"/>
  <c r="BB3" i="1" l="1"/>
  <c r="BB29" i="1" s="1"/>
  <c r="BA29" i="1"/>
  <c r="BC3" i="1" l="1"/>
  <c r="BC2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yewei.du</author>
  </authors>
  <commentList>
    <comment ref="B2" authorId="0" shapeId="0" xr:uid="{3E0D9307-FA99-47E7-AC78-BF74443C0E99}">
      <text>
        <r>
          <rPr>
            <b/>
            <sz val="9"/>
            <rFont val="宋体"/>
            <family val="3"/>
            <charset val="134"/>
          </rPr>
          <t>含附加税、增值税、福利费</t>
        </r>
      </text>
    </comment>
    <comment ref="E5" authorId="1" shapeId="0" xr:uid="{30BF6A86-FB47-465C-A8AA-E4D8A7E0FA7E}">
      <text>
        <r>
          <rPr>
            <b/>
            <sz val="9"/>
            <color indexed="81"/>
            <rFont val="宋体"/>
            <family val="3"/>
            <charset val="134"/>
          </rPr>
          <t>yewei.du:</t>
        </r>
        <r>
          <rPr>
            <sz val="9"/>
            <color indexed="81"/>
            <rFont val="宋体"/>
            <family val="3"/>
            <charset val="134"/>
          </rPr>
          <t xml:space="preserve">
不用实际添加，上月已有金额</t>
        </r>
      </text>
    </comment>
  </commentList>
</comments>
</file>

<file path=xl/sharedStrings.xml><?xml version="1.0" encoding="utf-8"?>
<sst xmlns="http://schemas.openxmlformats.org/spreadsheetml/2006/main" count="560" uniqueCount="332">
  <si>
    <t>序号</t>
  </si>
  <si>
    <t>计薪
周期</t>
  </si>
  <si>
    <t>工号</t>
  </si>
  <si>
    <t>姓名</t>
  </si>
  <si>
    <t>身份证号</t>
  </si>
  <si>
    <t>劳动合同起始日期</t>
  </si>
  <si>
    <t>劳动合同结束日期</t>
  </si>
  <si>
    <t>离职日期</t>
  </si>
  <si>
    <t>社保缴纳地</t>
  </si>
  <si>
    <t>星级费用</t>
  </si>
  <si>
    <t>考核费用</t>
  </si>
  <si>
    <t>量化费用</t>
  </si>
  <si>
    <t>专项费用</t>
  </si>
  <si>
    <t>当月税前工资合计</t>
  </si>
  <si>
    <t>社保基数(个人)</t>
  </si>
  <si>
    <t>养老保险(个人)</t>
  </si>
  <si>
    <t>医疗保险(个人)</t>
  </si>
  <si>
    <t>失业保险(个人)</t>
  </si>
  <si>
    <t>公积金基数(个人)</t>
  </si>
  <si>
    <t>住房公积金(个人)</t>
  </si>
  <si>
    <t>员工五险一金合计</t>
  </si>
  <si>
    <t>本月个人所得税-系统导出</t>
  </si>
  <si>
    <t>税后增加</t>
  </si>
  <si>
    <t>税后扣减</t>
  </si>
  <si>
    <t>员工实发合计</t>
  </si>
  <si>
    <t>社保基数</t>
  </si>
  <si>
    <t>公积金基数</t>
  </si>
  <si>
    <t>养老缴费</t>
  </si>
  <si>
    <t>医疗缴费</t>
  </si>
  <si>
    <t>失业保险</t>
  </si>
  <si>
    <t>工伤保险</t>
  </si>
  <si>
    <t>生育保险</t>
  </si>
  <si>
    <t>公积金</t>
  </si>
  <si>
    <t>残保金</t>
  </si>
  <si>
    <t>企业五险一金合计</t>
  </si>
  <si>
    <t>工会费</t>
  </si>
  <si>
    <t>代收付合计</t>
  </si>
  <si>
    <t>本月多收，下月退</t>
  </si>
  <si>
    <t>社保备注</t>
  </si>
  <si>
    <t>外包服务费</t>
  </si>
  <si>
    <t>税前项合计</t>
  </si>
  <si>
    <t>增值税</t>
  </si>
  <si>
    <t>总计</t>
  </si>
  <si>
    <t>工会费返回</t>
  </si>
  <si>
    <t>NO.</t>
  </si>
  <si>
    <t>Salary Cycle</t>
  </si>
  <si>
    <t>Employee No.</t>
  </si>
  <si>
    <t>Name</t>
  </si>
  <si>
    <t>ID No.</t>
  </si>
  <si>
    <t>Contract Starting Date</t>
  </si>
  <si>
    <t>Contract Expiry Date</t>
  </si>
  <si>
    <t>Exit Date</t>
  </si>
  <si>
    <t>Social Insurance City</t>
  </si>
  <si>
    <t>Contract Salary</t>
  </si>
  <si>
    <t>Assessment fees</t>
  </si>
  <si>
    <t>Quantifying costs</t>
  </si>
  <si>
    <t>支局专项</t>
  </si>
  <si>
    <t>部门加奖</t>
  </si>
  <si>
    <t>其他费用</t>
  </si>
  <si>
    <t>效能补贴</t>
  </si>
  <si>
    <t>高温费及清凉饮料费
（6-9月）</t>
  </si>
  <si>
    <t>伙食补贴</t>
  </si>
  <si>
    <t>独生子女奖励</t>
  </si>
  <si>
    <t>保险费</t>
  </si>
  <si>
    <t>体检费用</t>
  </si>
  <si>
    <t>赔偿金</t>
  </si>
  <si>
    <t>劳防用品</t>
  </si>
  <si>
    <t>保障补差</t>
  </si>
  <si>
    <t>其他扣款</t>
  </si>
  <si>
    <t>Pre-tax Total</t>
  </si>
  <si>
    <t>Social Insurance Base</t>
  </si>
  <si>
    <t>Pension Employee</t>
  </si>
  <si>
    <t>Medical Employee</t>
  </si>
  <si>
    <t>Umemployment Employee</t>
  </si>
  <si>
    <t>Housing Fund Base</t>
  </si>
  <si>
    <t>Housing Fund Employee</t>
  </si>
  <si>
    <t>Total Amount of Social Insurance(EE)</t>
  </si>
  <si>
    <t>Personal Income Tax</t>
  </si>
  <si>
    <t>Increase After-tax payment</t>
  </si>
  <si>
    <t>Reduction After-tax payment</t>
  </si>
  <si>
    <t xml:space="preserve">After-tax total Income </t>
  </si>
  <si>
    <t>Pension Employer</t>
  </si>
  <si>
    <t>Medical Employer</t>
  </si>
  <si>
    <t>Umemployment Employer</t>
  </si>
  <si>
    <t>Injury Employer</t>
  </si>
  <si>
    <t>Maternity Insurance Employer</t>
  </si>
  <si>
    <t>Housing Fund Employer</t>
  </si>
  <si>
    <t xml:space="preserve">
Disabled people&amp;Back pay Fund</t>
  </si>
  <si>
    <t>Total Amount of Social Insurance(ER)</t>
  </si>
  <si>
    <t>Union Fee</t>
  </si>
  <si>
    <t>Payment Total</t>
  </si>
  <si>
    <t>Social Security remark</t>
  </si>
  <si>
    <t>Service Fee</t>
  </si>
  <si>
    <t>Total</t>
  </si>
  <si>
    <t>VAT</t>
  </si>
  <si>
    <t>Subtotal</t>
  </si>
  <si>
    <t>WB023742</t>
  </si>
  <si>
    <t>陈翔宇</t>
  </si>
  <si>
    <t>421024199409102039</t>
  </si>
  <si>
    <t>上海</t>
  </si>
  <si>
    <t/>
  </si>
  <si>
    <r>
      <rPr>
        <sz val="8"/>
        <color theme="4" tint="-0.249977111117893"/>
        <rFont val="阿里巴巴普惠体 R"/>
        <charset val="134"/>
      </rPr>
      <t>工伤利率</t>
    </r>
    <r>
      <rPr>
        <sz val="8"/>
        <color theme="4" tint="-0.249977111117893"/>
        <rFont val="等线"/>
        <charset val="134"/>
      </rPr>
      <t>调整</t>
    </r>
    <r>
      <rPr>
        <sz val="8"/>
        <color theme="4" tint="-0.249977111117893"/>
        <rFont val="阿里巴巴普惠体 R"/>
        <charset val="134"/>
      </rPr>
      <t>，1月多收2月退</t>
    </r>
  </si>
  <si>
    <t>WB053401</t>
  </si>
  <si>
    <t>汪思思</t>
  </si>
  <si>
    <t>362334198307140025</t>
  </si>
  <si>
    <t>WB002504</t>
  </si>
  <si>
    <t>颜双徐</t>
  </si>
  <si>
    <t>31010919920227201X</t>
  </si>
  <si>
    <t>WB047229</t>
  </si>
  <si>
    <t>曾娓</t>
  </si>
  <si>
    <t>362529198711200026</t>
  </si>
  <si>
    <t>WB019304</t>
  </si>
  <si>
    <t>顾杰</t>
  </si>
  <si>
    <t>310225198410064814</t>
  </si>
  <si>
    <t>WB038424</t>
  </si>
  <si>
    <t>赵俊</t>
  </si>
  <si>
    <t>310102198712184475</t>
  </si>
  <si>
    <t>WB013461</t>
  </si>
  <si>
    <t>陈斌</t>
  </si>
  <si>
    <t>310106198410231614</t>
  </si>
  <si>
    <t>WB050221</t>
  </si>
  <si>
    <t>胡颖琦</t>
  </si>
  <si>
    <t>310101197211151615</t>
  </si>
  <si>
    <t>WB003568</t>
  </si>
  <si>
    <t>陈敏</t>
  </si>
  <si>
    <t>330327198311300617</t>
  </si>
  <si>
    <t>WB019309</t>
  </si>
  <si>
    <t>黄晓菲</t>
  </si>
  <si>
    <t>310114198604103821</t>
  </si>
  <si>
    <t>WB002502</t>
  </si>
  <si>
    <t>万珺</t>
  </si>
  <si>
    <t>310104199005144025</t>
  </si>
  <si>
    <t>WB025262</t>
  </si>
  <si>
    <t>王俊</t>
  </si>
  <si>
    <t>310107197803012414</t>
  </si>
  <si>
    <t>WB002503</t>
  </si>
  <si>
    <t>诸振</t>
  </si>
  <si>
    <t>310104198909022851</t>
  </si>
  <si>
    <t>WB053339</t>
  </si>
  <si>
    <t>李斌</t>
  </si>
  <si>
    <t>310107197703162810</t>
  </si>
  <si>
    <t>WB053251</t>
  </si>
  <si>
    <t>李亮</t>
  </si>
  <si>
    <t>341222198207144154</t>
  </si>
  <si>
    <t>WB029437</t>
  </si>
  <si>
    <t>王永其</t>
  </si>
  <si>
    <t>310114199401273219</t>
  </si>
  <si>
    <t>WB002497</t>
  </si>
  <si>
    <t>张弘开</t>
  </si>
  <si>
    <t>310102199503181635</t>
  </si>
  <si>
    <t>WB002499</t>
  </si>
  <si>
    <t>周浩帆</t>
  </si>
  <si>
    <t>440582198302042610</t>
  </si>
  <si>
    <t>WB044167</t>
  </si>
  <si>
    <t>高妮彬</t>
  </si>
  <si>
    <t>310107197911290905</t>
  </si>
  <si>
    <t>WB013277</t>
  </si>
  <si>
    <t>顾恺凯</t>
  </si>
  <si>
    <t>310105198204080011</t>
  </si>
  <si>
    <t>WB025394</t>
  </si>
  <si>
    <t>许晓春</t>
  </si>
  <si>
    <t>310104198302137214</t>
  </si>
  <si>
    <t>WB013289</t>
  </si>
  <si>
    <t>张英</t>
  </si>
  <si>
    <t>310226197901044123</t>
  </si>
  <si>
    <t>WB040885</t>
  </si>
  <si>
    <t>黄良剑</t>
  </si>
  <si>
    <t>362321198304151616</t>
  </si>
  <si>
    <t>WB063833</t>
  </si>
  <si>
    <t>张渊然</t>
  </si>
  <si>
    <t>310102197903070054</t>
  </si>
  <si>
    <t>WB050054</t>
  </si>
  <si>
    <t>郑克铭</t>
  </si>
  <si>
    <t>31010119770301561X</t>
  </si>
  <si>
    <t>合计</t>
  </si>
  <si>
    <t>200070</t>
  </si>
  <si>
    <t>寄：梅园路77号人才大厦</t>
  </si>
  <si>
    <t>中国电信股份有限公司上海分公司  王慧珏  收</t>
  </si>
  <si>
    <t>上海外服布列吉科技有限公司</t>
  </si>
  <si>
    <t>Shanghai Foreign Service Bridge Technology Co,Ltd.</t>
  </si>
  <si>
    <t>收款通知书</t>
  </si>
  <si>
    <t>ADVISE ON COLLECTION</t>
  </si>
  <si>
    <t>2025年02月</t>
  </si>
  <si>
    <t>公司名称：中国电信股份有限公司上海分公司</t>
  </si>
  <si>
    <t>帐单号：202502CH6596103</t>
  </si>
  <si>
    <t>发生年月</t>
  </si>
  <si>
    <t>入职日期</t>
  </si>
  <si>
    <t>管理费</t>
  </si>
  <si>
    <t>当月社保基数</t>
  </si>
  <si>
    <t>当月公积金基数</t>
  </si>
  <si>
    <t>社保类
公司支付
Social Insurance Premiums
Paid by Employer</t>
  </si>
  <si>
    <t>公积金类
公司支付
Provident Fund
Paid by Employer</t>
  </si>
  <si>
    <t>公司合计</t>
  </si>
  <si>
    <t>社保类
个人支付
Social Insurance Premiums
Paid by Employee</t>
  </si>
  <si>
    <t>公积金类
个人支付
Provident Fund
Paid by Employee</t>
  </si>
  <si>
    <t>个人合计</t>
  </si>
  <si>
    <t>代办薪酬</t>
  </si>
  <si>
    <t>其他</t>
  </si>
  <si>
    <t>备注</t>
  </si>
  <si>
    <t>外服工号</t>
  </si>
  <si>
    <t>证件号码</t>
  </si>
  <si>
    <t>应纳税金额</t>
  </si>
  <si>
    <t>税率</t>
  </si>
  <si>
    <t>S/N</t>
  </si>
  <si>
    <t>YYYYMM</t>
  </si>
  <si>
    <t>Employment Start Date</t>
  </si>
  <si>
    <t>Adm Fee</t>
  </si>
  <si>
    <t>Social Insurance Base Amount of Current Month</t>
  </si>
  <si>
    <t>Provident Fund Base Amount of Current Month</t>
  </si>
  <si>
    <t>养老保险
Endowment</t>
  </si>
  <si>
    <t>医疗保险
Medical</t>
  </si>
  <si>
    <t>失业保险
Unemploy-ment</t>
  </si>
  <si>
    <t>工伤保险
Employment Injury</t>
  </si>
  <si>
    <t>医疗生育保险
Medical Maternity</t>
  </si>
  <si>
    <t>保障金
Disabled people&amp;Back pay Fund</t>
  </si>
  <si>
    <t>公积金
Provident Fund</t>
  </si>
  <si>
    <t>Subtotal of Employer Payment</t>
  </si>
  <si>
    <t>Subtotal of Personal Payment</t>
  </si>
  <si>
    <t>Agency of Wage Payment</t>
  </si>
  <si>
    <t>Others</t>
  </si>
  <si>
    <t>Remarks</t>
  </si>
  <si>
    <t>SFSC ID</t>
  </si>
  <si>
    <t>ID Card</t>
  </si>
  <si>
    <t>Taxable Amount</t>
  </si>
  <si>
    <t>Tax Rate</t>
  </si>
  <si>
    <t>202502</t>
  </si>
  <si>
    <t>2024-06-01</t>
  </si>
  <si>
    <t>5570941</t>
  </si>
  <si>
    <t>6%</t>
  </si>
  <si>
    <t>5543037</t>
  </si>
  <si>
    <t>2024-04-01</t>
  </si>
  <si>
    <t>5687584</t>
  </si>
  <si>
    <t>5545659</t>
  </si>
  <si>
    <t>5570939</t>
  </si>
  <si>
    <t>5545661</t>
  </si>
  <si>
    <t>D05847</t>
  </si>
  <si>
    <t>5780654</t>
  </si>
  <si>
    <t>5543034</t>
  </si>
  <si>
    <t>5571016</t>
  </si>
  <si>
    <t>5566064</t>
  </si>
  <si>
    <t>5543035</t>
  </si>
  <si>
    <t>5578735</t>
  </si>
  <si>
    <t>726873</t>
  </si>
  <si>
    <t>5543042</t>
  </si>
  <si>
    <t>5545657</t>
  </si>
  <si>
    <t>5543038</t>
  </si>
  <si>
    <t>5570940</t>
  </si>
  <si>
    <t>5543039</t>
  </si>
  <si>
    <t>5545660</t>
  </si>
  <si>
    <t>5922349</t>
  </si>
  <si>
    <t>5570942</t>
  </si>
  <si>
    <t>2024-07-01</t>
  </si>
  <si>
    <t>5570943</t>
  </si>
  <si>
    <t>5543040</t>
  </si>
  <si>
    <t>5543036</t>
  </si>
  <si>
    <t>合计（RMB）</t>
  </si>
  <si>
    <t>总计（RMB）已包含历月补收人民币叁拾万柒仟肆佰贰拾叁圆叁角伍分</t>
  </si>
  <si>
    <t>费用项目</t>
  </si>
  <si>
    <t>金额</t>
  </si>
  <si>
    <t>Item</t>
  </si>
  <si>
    <t>Amount</t>
  </si>
  <si>
    <t>税差调整6%</t>
  </si>
  <si>
    <t>总计（RMB）人民币零</t>
  </si>
  <si>
    <t>增值税：</t>
  </si>
  <si>
    <t>序号
S/N</t>
  </si>
  <si>
    <t>应纳税额</t>
  </si>
  <si>
    <t>税金</t>
  </si>
  <si>
    <t>小计（RMB）</t>
  </si>
  <si>
    <t>总计(RMB)</t>
  </si>
  <si>
    <t>本次价税合计(RMB):人民币叁拾万柒仟肆佰贰拾叁圆叁角伍分</t>
  </si>
  <si>
    <t>本月价税合计（RMB）：307423.35 其中已开票307423.35</t>
  </si>
  <si>
    <t>本月总计（RMB）人民币叁拾万柒仟肆佰贰拾叁圆叁角伍分                ￥307423.35</t>
  </si>
  <si>
    <t>减少人员</t>
  </si>
  <si>
    <t>汪建周</t>
  </si>
  <si>
    <t>2024-08-01</t>
  </si>
  <si>
    <t>王林金</t>
  </si>
  <si>
    <t>制单人：</t>
  </si>
  <si>
    <t>制单日期：2025-02-20</t>
  </si>
  <si>
    <t>户名：上海外服（集团）有限公司</t>
  </si>
  <si>
    <t>美金收款账号：449459237031</t>
  </si>
  <si>
    <t>外币/人民币收款账号：083651120100303014006</t>
  </si>
  <si>
    <t>开户银行：中国银行上海市分行</t>
  </si>
  <si>
    <t>开户银行：中国光大银行上海分行营业部</t>
  </si>
  <si>
    <t>SWIFT CODE：BKCHCNBJ300</t>
  </si>
  <si>
    <t>SWIFT CODE：EVERCNBJSH1</t>
  </si>
  <si>
    <t>地址：中国上海市黄浦区中山东一路23号</t>
  </si>
  <si>
    <t>地址：中国上海市浦东新区世纪大道1118号</t>
  </si>
  <si>
    <t>外币/人民币收款账号：1001244329006580566</t>
  </si>
  <si>
    <t>开户银行：工商银行上海市分行营业部</t>
  </si>
  <si>
    <t>SWIFT CODE：ICBKCNBJSHI</t>
  </si>
  <si>
    <t>地址：中国上海市黄浦区中山东一路24号</t>
  </si>
  <si>
    <t>管理部：</t>
  </si>
  <si>
    <t>负责人：</t>
  </si>
  <si>
    <t>地  址：</t>
  </si>
  <si>
    <t>地  址：上海市黄浦区会馆街55号T3座</t>
  </si>
  <si>
    <t>邮  编：</t>
  </si>
  <si>
    <t>财  务：</t>
  </si>
  <si>
    <t>邮  编：200437</t>
  </si>
  <si>
    <t>电  话：</t>
  </si>
  <si>
    <t>传  真：</t>
  </si>
  <si>
    <t>电  话：63721888</t>
  </si>
  <si>
    <t>传  真：63856522</t>
  </si>
  <si>
    <t>注意：</t>
  </si>
  <si>
    <t>1、务必请将当月人员变动信息，在15日前通知所在业务部。</t>
  </si>
  <si>
    <t>2、若贵机构的地址变更，请及时通知。</t>
  </si>
  <si>
    <t>3、逾期按合同约定收取滞纳金。</t>
  </si>
  <si>
    <t>4、交款时请务必带此通知单或复印件，通过银行汇款请在汇款用途中写上右上角账单号。</t>
  </si>
  <si>
    <t>5、请贵机构在收到本账单的三个工作日内，对于账单内容进行确认并回复。逾期未回复的，视作贵机构已确认账单内容准确无误。</t>
  </si>
  <si>
    <t>友情提醒：</t>
  </si>
  <si>
    <t>1、根据国家政策，自2020年1月1日起，“生育”调整为“医疗生育”。</t>
  </si>
  <si>
    <t>2、如对以上账单内容有疑问请联系相关业务人员，发票开具及款项到账问题请联系财务，谢谢！</t>
  </si>
  <si>
    <t>科目</t>
  </si>
  <si>
    <t>手工账单</t>
  </si>
  <si>
    <t>速创账单</t>
    <phoneticPr fontId="27" type="noConversion"/>
  </si>
  <si>
    <t>预收一次性</t>
    <phoneticPr fontId="14" type="noConversion"/>
  </si>
  <si>
    <t>1月工会费</t>
    <phoneticPr fontId="14" type="noConversion"/>
  </si>
  <si>
    <t>本月垫付，下月收</t>
    <phoneticPr fontId="14" type="noConversion"/>
  </si>
  <si>
    <t>本月多收，下月退</t>
    <phoneticPr fontId="14" type="noConversion"/>
  </si>
  <si>
    <t>差异</t>
    <phoneticPr fontId="14" type="noConversion"/>
  </si>
  <si>
    <t>风险费</t>
  </si>
  <si>
    <t>个人四金</t>
  </si>
  <si>
    <t>公司四金</t>
  </si>
  <si>
    <t>工伤退费</t>
    <phoneticPr fontId="14" type="noConversion"/>
  </si>
  <si>
    <t>代发工资</t>
  </si>
  <si>
    <t>上月垫付</t>
    <phoneticPr fontId="14" type="noConversion"/>
  </si>
  <si>
    <t>工会费</t>
    <phoneticPr fontId="14" type="noConversion"/>
  </si>
  <si>
    <t>上月多收</t>
    <phoneticPr fontId="14" type="noConversion"/>
  </si>
  <si>
    <t>小计</t>
  </si>
  <si>
    <t>附加税</t>
  </si>
  <si>
    <t>给客户账单金额</t>
  </si>
  <si>
    <t>差异</t>
  </si>
  <si>
    <t>不含税差异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</si>
</sst>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¥&quot;#,##0.00;&quot;¥&quot;\-#,##0.00"/>
    <numFmt numFmtId="43" formatCode="_ * #,##0.00_ ;_ * \-#,##0.00_ ;_ * &quot;-&quot;??_ ;_ @_ "/>
    <numFmt numFmtId="178" formatCode="0_);[Red]\(0\)"/>
    <numFmt numFmtId="179" formatCode="0.00_);[Red]\(0.00\)"/>
    <numFmt numFmtId="180" formatCode="0.00_ "/>
    <numFmt numFmtId="181" formatCode="0_ "/>
  </numFmts>
  <fonts count="32" x14ac:knownFonts="1">
    <font>
      <sz val="11"/>
      <color theme="1"/>
      <name val="等线"/>
      <charset val="134"/>
      <scheme val="minor"/>
    </font>
    <font>
      <sz val="8"/>
      <name val="阿里巴巴普惠体 R"/>
      <charset val="134"/>
    </font>
    <font>
      <sz val="8"/>
      <color theme="1"/>
      <name val="阿里巴巴普惠体 R"/>
      <charset val="134"/>
    </font>
    <font>
      <sz val="11"/>
      <color theme="1"/>
      <name val="阿里巴巴普惠体 R"/>
      <charset val="134"/>
    </font>
    <font>
      <sz val="7"/>
      <name val="阿里巴巴普惠体 R"/>
      <charset val="134"/>
    </font>
    <font>
      <sz val="9"/>
      <name val="阿里巴巴普惠体 R"/>
      <charset val="134"/>
    </font>
    <font>
      <sz val="6"/>
      <name val="阿里巴巴普惠体 R"/>
      <charset val="134"/>
    </font>
    <font>
      <sz val="8"/>
      <color rgb="FFFF0000"/>
      <name val="阿里巴巴普惠体 R"/>
      <charset val="134"/>
    </font>
    <font>
      <sz val="8"/>
      <color theme="4" tint="-0.249977111117893"/>
      <name val="阿里巴巴普惠体 R"/>
      <charset val="134"/>
    </font>
    <font>
      <sz val="11"/>
      <color rgb="FFFF0000"/>
      <name val="阿里巴巴普惠体 R"/>
      <charset val="134"/>
    </font>
    <font>
      <sz val="11"/>
      <color theme="1"/>
      <name val="等线"/>
      <charset val="134"/>
      <scheme val="minor"/>
    </font>
    <font>
      <sz val="12"/>
      <name val="宋体"/>
      <charset val="134"/>
    </font>
    <font>
      <sz val="8"/>
      <color theme="4" tint="-0.249977111117893"/>
      <name val="等线"/>
      <charset val="134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sz val="9"/>
      <color theme="1"/>
      <name val="等线"/>
      <family val="2"/>
      <charset val="134"/>
      <scheme val="minor"/>
    </font>
    <font>
      <b/>
      <sz val="9"/>
      <color theme="1"/>
      <name val="等线"/>
      <family val="2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b/>
      <sz val="14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等线"/>
      <family val="3"/>
      <charset val="134"/>
      <scheme val="minor"/>
    </font>
    <font>
      <b/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8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/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3" fontId="3" fillId="0" borderId="0" xfId="1" applyFont="1">
      <alignment vertical="center"/>
    </xf>
    <xf numFmtId="0" fontId="3" fillId="0" borderId="0" xfId="0" applyFont="1">
      <alignment vertical="center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2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3" applyFont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5" fillId="3" borderId="1" xfId="3" applyFont="1" applyFill="1" applyBorder="1" applyAlignment="1">
      <alignment horizontal="center" vertical="center"/>
    </xf>
    <xf numFmtId="49" fontId="5" fillId="0" borderId="1" xfId="3" applyNumberFormat="1" applyFont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14" fontId="5" fillId="0" borderId="1" xfId="3" applyNumberFormat="1" applyFont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2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179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5" borderId="1" xfId="0" applyFont="1" applyFill="1" applyBorder="1" applyAlignment="1" applyProtection="1">
      <alignment horizontal="center" vertical="center" wrapText="1"/>
      <protection locked="0"/>
    </xf>
    <xf numFmtId="2" fontId="1" fillId="5" borderId="1" xfId="0" applyNumberFormat="1" applyFont="1" applyFill="1" applyBorder="1" applyAlignment="1" applyProtection="1">
      <alignment horizontal="center" vertical="center" wrapText="1"/>
      <protection locked="0"/>
    </xf>
    <xf numFmtId="179" fontId="1" fillId="5" borderId="1" xfId="0" applyNumberFormat="1" applyFont="1" applyFill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79" fontId="1" fillId="0" borderId="1" xfId="0" applyNumberFormat="1" applyFont="1" applyFill="1" applyBorder="1" applyAlignment="1">
      <alignment horizontal="center" vertical="center"/>
    </xf>
    <xf numFmtId="180" fontId="1" fillId="0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5" fillId="6" borderId="1" xfId="0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>
      <alignment horizontal="center" vertical="center"/>
    </xf>
    <xf numFmtId="2" fontId="1" fillId="6" borderId="1" xfId="0" applyNumberFormat="1" applyFont="1" applyFill="1" applyBorder="1" applyAlignment="1" applyProtection="1">
      <alignment horizontal="center" vertical="center" wrapText="1"/>
      <protection locked="0"/>
    </xf>
    <xf numFmtId="2" fontId="6" fillId="4" borderId="1" xfId="0" applyNumberFormat="1" applyFont="1" applyFill="1" applyBorder="1" applyAlignment="1" applyProtection="1">
      <alignment horizontal="center" vertical="center" wrapText="1"/>
      <protection locked="0"/>
    </xf>
    <xf numFmtId="2" fontId="7" fillId="6" borderId="1" xfId="0" applyNumberFormat="1" applyFont="1" applyFill="1" applyBorder="1" applyAlignment="1" applyProtection="1">
      <alignment horizontal="center" vertical="center" wrapText="1"/>
      <protection locked="0"/>
    </xf>
    <xf numFmtId="181" fontId="8" fillId="0" borderId="1" xfId="0" applyNumberFormat="1" applyFont="1" applyFill="1" applyBorder="1" applyAlignment="1">
      <alignment horizontal="left" vertical="center"/>
    </xf>
    <xf numFmtId="43" fontId="9" fillId="0" borderId="0" xfId="1" applyFont="1">
      <alignment vertical="center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179" fontId="1" fillId="3" borderId="1" xfId="0" applyNumberFormat="1" applyFont="1" applyFill="1" applyBorder="1" applyAlignment="1">
      <alignment horizontal="center" vertical="center"/>
    </xf>
    <xf numFmtId="43" fontId="3" fillId="3" borderId="0" xfId="1" applyFont="1" applyFill="1">
      <alignment vertical="center"/>
    </xf>
    <xf numFmtId="179" fontId="2" fillId="0" borderId="0" xfId="0" applyNumberFormat="1" applyFont="1" applyAlignment="1">
      <alignment horizontal="center" vertical="center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49" fontId="13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49" fontId="15" fillId="0" borderId="0" xfId="0" applyNumberFormat="1" applyFont="1" applyAlignment="1">
      <alignment horizontal="left" vertical="center"/>
    </xf>
    <xf numFmtId="180" fontId="15" fillId="0" borderId="0" xfId="0" applyNumberFormat="1" applyFont="1" applyAlignment="1">
      <alignment horizontal="center" vertical="center"/>
    </xf>
    <xf numFmtId="180" fontId="16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left" vertical="center"/>
    </xf>
    <xf numFmtId="49" fontId="18" fillId="0" borderId="0" xfId="0" applyNumberFormat="1" applyFont="1" applyAlignment="1">
      <alignment horizontal="center" vertical="center"/>
    </xf>
    <xf numFmtId="180" fontId="18" fillId="0" borderId="0" xfId="0" applyNumberFormat="1" applyFont="1" applyAlignment="1">
      <alignment horizontal="center" vertical="center"/>
    </xf>
    <xf numFmtId="180" fontId="17" fillId="0" borderId="0" xfId="0" applyNumberFormat="1" applyFont="1" applyAlignment="1">
      <alignment horizontal="left" vertical="center"/>
    </xf>
    <xf numFmtId="49" fontId="19" fillId="0" borderId="5" xfId="0" applyNumberFormat="1" applyFont="1" applyBorder="1" applyAlignment="1">
      <alignment horizontal="center" wrapText="1"/>
    </xf>
    <xf numFmtId="180" fontId="19" fillId="0" borderId="5" xfId="0" applyNumberFormat="1" applyFont="1" applyBorder="1" applyAlignment="1">
      <alignment horizontal="center" wrapText="1"/>
    </xf>
    <xf numFmtId="180" fontId="19" fillId="0" borderId="2" xfId="0" applyNumberFormat="1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180" fontId="19" fillId="0" borderId="5" xfId="0" applyNumberFormat="1" applyFont="1" applyBorder="1" applyAlignment="1">
      <alignment horizontal="center" vertical="top" wrapText="1"/>
    </xf>
    <xf numFmtId="180" fontId="20" fillId="0" borderId="5" xfId="0" applyNumberFormat="1" applyFont="1" applyBorder="1" applyAlignment="1">
      <alignment horizontal="center" wrapText="1"/>
    </xf>
    <xf numFmtId="49" fontId="19" fillId="0" borderId="6" xfId="0" applyNumberFormat="1" applyFont="1" applyBorder="1" applyAlignment="1">
      <alignment horizontal="center" vertical="top" wrapText="1"/>
    </xf>
    <xf numFmtId="180" fontId="19" fillId="0" borderId="6" xfId="0" applyNumberFormat="1" applyFont="1" applyBorder="1" applyAlignment="1">
      <alignment horizontal="center" vertical="top" wrapText="1"/>
    </xf>
    <xf numFmtId="180" fontId="19" fillId="0" borderId="1" xfId="0" applyNumberFormat="1" applyFont="1" applyBorder="1" applyAlignment="1">
      <alignment horizontal="center" vertical="top" wrapText="1"/>
    </xf>
    <xf numFmtId="180" fontId="20" fillId="0" borderId="6" xfId="0" applyNumberFormat="1" applyFont="1" applyBorder="1" applyAlignment="1">
      <alignment horizontal="center" vertical="top" wrapText="1"/>
    </xf>
    <xf numFmtId="49" fontId="21" fillId="0" borderId="1" xfId="0" applyNumberFormat="1" applyFont="1" applyBorder="1" applyAlignment="1">
      <alignment horizontal="center" vertical="center"/>
    </xf>
    <xf numFmtId="180" fontId="21" fillId="0" borderId="1" xfId="0" applyNumberFormat="1" applyFont="1" applyBorder="1" applyAlignment="1">
      <alignment horizontal="right" vertical="center"/>
    </xf>
    <xf numFmtId="180" fontId="22" fillId="0" borderId="1" xfId="0" applyNumberFormat="1" applyFont="1" applyBorder="1" applyAlignment="1">
      <alignment horizontal="right" vertical="center"/>
    </xf>
    <xf numFmtId="180" fontId="21" fillId="0" borderId="1" xfId="0" applyNumberFormat="1" applyFont="1" applyBorder="1" applyAlignment="1">
      <alignment horizontal="center" vertical="center"/>
    </xf>
    <xf numFmtId="49" fontId="21" fillId="0" borderId="1" xfId="0" applyNumberFormat="1" applyFont="1" applyBorder="1" applyAlignment="1">
      <alignment horizontal="left" vertical="center"/>
    </xf>
    <xf numFmtId="7" fontId="22" fillId="0" borderId="1" xfId="0" applyNumberFormat="1" applyFont="1" applyBorder="1" applyAlignment="1">
      <alignment horizontal="right" vertical="center"/>
    </xf>
    <xf numFmtId="180" fontId="0" fillId="0" borderId="0" xfId="0" applyNumberFormat="1" applyAlignment="1">
      <alignment horizontal="right" vertical="center"/>
    </xf>
    <xf numFmtId="49" fontId="23" fillId="0" borderId="0" xfId="0" applyNumberFormat="1" applyFont="1" applyAlignment="1">
      <alignment horizontal="left" vertical="center"/>
    </xf>
    <xf numFmtId="49" fontId="21" fillId="0" borderId="0" xfId="0" applyNumberFormat="1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180" fontId="19" fillId="0" borderId="0" xfId="0" applyNumberFormat="1" applyFont="1" applyAlignment="1">
      <alignment horizontal="center" wrapText="1"/>
    </xf>
    <xf numFmtId="49" fontId="19" fillId="0" borderId="0" xfId="0" applyNumberFormat="1" applyFont="1" applyAlignment="1">
      <alignment horizontal="center" wrapText="1"/>
    </xf>
    <xf numFmtId="180" fontId="19" fillId="0" borderId="0" xfId="0" applyNumberFormat="1" applyFont="1" applyAlignment="1">
      <alignment horizontal="center" vertical="top" wrapText="1"/>
    </xf>
    <xf numFmtId="49" fontId="19" fillId="0" borderId="0" xfId="0" applyNumberFormat="1" applyFont="1" applyAlignment="1">
      <alignment horizontal="center" vertical="top" wrapText="1"/>
    </xf>
    <xf numFmtId="7" fontId="21" fillId="0" borderId="1" xfId="0" applyNumberFormat="1" applyFont="1" applyBorder="1" applyAlignment="1">
      <alignment horizontal="right" vertical="center"/>
    </xf>
    <xf numFmtId="49" fontId="24" fillId="0" borderId="5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49" fontId="21" fillId="0" borderId="2" xfId="0" applyNumberFormat="1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7" fontId="21" fillId="0" borderId="4" xfId="0" applyNumberFormat="1" applyFont="1" applyBorder="1" applyAlignment="1">
      <alignment horizontal="center" vertical="center"/>
    </xf>
    <xf numFmtId="49" fontId="21" fillId="0" borderId="0" xfId="0" applyNumberFormat="1" applyFont="1" applyAlignment="1">
      <alignment horizontal="left" vertical="center"/>
    </xf>
    <xf numFmtId="7" fontId="21" fillId="0" borderId="0" xfId="0" applyNumberFormat="1" applyFont="1" applyAlignment="1">
      <alignment horizontal="left" vertical="center"/>
    </xf>
    <xf numFmtId="49" fontId="25" fillId="0" borderId="0" xfId="0" applyNumberFormat="1" applyFont="1" applyAlignment="1">
      <alignment horizontal="left" vertical="center"/>
    </xf>
    <xf numFmtId="49" fontId="25" fillId="0" borderId="0" xfId="0" applyNumberFormat="1" applyFont="1" applyAlignment="1">
      <alignment horizontal="center" vertical="center"/>
    </xf>
    <xf numFmtId="180" fontId="25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80" fontId="13" fillId="0" borderId="0" xfId="0" applyNumberFormat="1" applyFont="1" applyAlignment="1">
      <alignment horizontal="left" vertical="center"/>
    </xf>
    <xf numFmtId="180" fontId="0" fillId="0" borderId="0" xfId="0" applyNumberFormat="1" applyAlignment="1">
      <alignment horizontal="left" vertical="center"/>
    </xf>
    <xf numFmtId="0" fontId="26" fillId="0" borderId="1" xfId="0" applyFont="1" applyFill="1" applyBorder="1" applyAlignment="1">
      <alignment horizontal="center" vertical="center"/>
    </xf>
    <xf numFmtId="43" fontId="26" fillId="0" borderId="1" xfId="0" applyNumberFormat="1" applyFont="1" applyFill="1" applyBorder="1" applyAlignment="1">
      <alignment horizontal="center" vertical="center"/>
    </xf>
    <xf numFmtId="43" fontId="26" fillId="0" borderId="7" xfId="0" applyNumberFormat="1" applyFont="1" applyFill="1" applyBorder="1" applyAlignment="1">
      <alignment horizontal="center" vertical="center"/>
    </xf>
    <xf numFmtId="43" fontId="0" fillId="0" borderId="0" xfId="0" applyNumberFormat="1">
      <alignment vertical="center"/>
    </xf>
    <xf numFmtId="43" fontId="26" fillId="3" borderId="1" xfId="0" applyNumberFormat="1" applyFont="1" applyFill="1" applyBorder="1" applyAlignment="1">
      <alignment horizontal="center" vertical="center"/>
    </xf>
    <xf numFmtId="43" fontId="26" fillId="0" borderId="1" xfId="1" applyFont="1" applyFill="1" applyBorder="1" applyAlignment="1">
      <alignment horizontal="center" vertical="center"/>
    </xf>
    <xf numFmtId="43" fontId="26" fillId="0" borderId="1" xfId="0" applyNumberFormat="1" applyFont="1" applyFill="1" applyBorder="1" applyAlignment="1">
      <alignment horizontal="right" vertical="center"/>
    </xf>
    <xf numFmtId="0" fontId="28" fillId="3" borderId="1" xfId="0" applyFont="1" applyFill="1" applyBorder="1" applyAlignment="1">
      <alignment horizontal="center" vertical="center"/>
    </xf>
    <xf numFmtId="43" fontId="28" fillId="3" borderId="1" xfId="0" applyNumberFormat="1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center" vertical="center"/>
    </xf>
    <xf numFmtId="43" fontId="28" fillId="7" borderId="1" xfId="0" applyNumberFormat="1" applyFont="1" applyFill="1" applyBorder="1" applyAlignment="1">
      <alignment horizontal="center" vertical="center"/>
    </xf>
    <xf numFmtId="43" fontId="3" fillId="0" borderId="0" xfId="0" applyNumberFormat="1" applyFont="1">
      <alignment vertical="center"/>
    </xf>
  </cellXfs>
  <cellStyles count="8">
    <cellStyle name="常规" xfId="0" builtinId="0"/>
    <cellStyle name="常规 10" xfId="2" xr:uid="{00000000-0005-0000-0000-000031000000}"/>
    <cellStyle name="常规 2" xfId="3" xr:uid="{00000000-0005-0000-0000-000032000000}"/>
    <cellStyle name="常规 3" xfId="4" xr:uid="{00000000-0005-0000-0000-000033000000}"/>
    <cellStyle name="常规 3 3 2" xfId="5" xr:uid="{00000000-0005-0000-0000-000034000000}"/>
    <cellStyle name="常规 4" xfId="6" xr:uid="{00000000-0005-0000-0000-000035000000}"/>
    <cellStyle name="常规 5" xfId="7" xr:uid="{00000000-0005-0000-0000-000036000000}"/>
    <cellStyle name="千位分隔" xfId="1" builtinId="3"/>
  </cellStyles>
  <dxfs count="1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E31"/>
  <sheetViews>
    <sheetView zoomScale="93" zoomScaleNormal="93" workbookViewId="0">
      <pane xSplit="5" ySplit="2" topLeftCell="AU15" activePane="bottomRight" state="frozen"/>
      <selection pane="topRight"/>
      <selection pane="bottomLeft"/>
      <selection pane="bottomRight" activeCell="AZ9" sqref="AZ9"/>
    </sheetView>
  </sheetViews>
  <sheetFormatPr defaultColWidth="8.6640625" defaultRowHeight="16.2" x14ac:dyDescent="0.25"/>
  <cols>
    <col min="1" max="1" width="7.33203125" style="5" customWidth="1"/>
    <col min="2" max="2" width="5.33203125" style="5" customWidth="1"/>
    <col min="3" max="3" width="8.5546875" style="5" customWidth="1"/>
    <col min="4" max="4" width="6.5546875" style="5" customWidth="1"/>
    <col min="5" max="5" width="20.44140625" style="5" customWidth="1"/>
    <col min="6" max="6" width="7.6640625" style="5" customWidth="1"/>
    <col min="7" max="7" width="8.44140625" style="5" customWidth="1"/>
    <col min="8" max="8" width="10.109375" style="5" customWidth="1"/>
    <col min="9" max="9" width="7.5546875" style="5" customWidth="1"/>
    <col min="10" max="10" width="9.44140625" style="5" customWidth="1"/>
    <col min="11" max="11" width="25.88671875" style="5" customWidth="1"/>
    <col min="12" max="12" width="7.6640625" style="5" customWidth="1"/>
    <col min="13" max="13" width="9" style="5" customWidth="1"/>
    <col min="14" max="14" width="5.33203125" style="5" customWidth="1"/>
    <col min="15" max="15" width="7.33203125" style="5" customWidth="1"/>
    <col min="16" max="16" width="6.21875" style="5" customWidth="1"/>
    <col min="17" max="17" width="8" style="5" customWidth="1"/>
    <col min="18" max="18" width="6.6640625" style="5" customWidth="1"/>
    <col min="19" max="19" width="8" style="5" customWidth="1"/>
    <col min="20" max="20" width="8.44140625" style="5" customWidth="1"/>
    <col min="21" max="21" width="10.44140625" style="5" customWidth="1"/>
    <col min="22" max="22" width="7.77734375" style="5" customWidth="1"/>
    <col min="23" max="23" width="6.44140625" style="5" customWidth="1"/>
    <col min="24" max="24" width="7.33203125" style="5" customWidth="1"/>
    <col min="25" max="25" width="7.88671875" style="5" customWidth="1"/>
    <col min="26" max="26" width="13.6640625" style="5" customWidth="1"/>
    <col min="27" max="27" width="8.109375" style="5" customWidth="1"/>
    <col min="28" max="29" width="7.5546875" style="5" customWidth="1"/>
    <col min="30" max="30" width="8.21875" style="5" customWidth="1"/>
    <col min="31" max="32" width="8.5546875" style="5" customWidth="1"/>
    <col min="33" max="33" width="15.33203125" style="5" customWidth="1"/>
    <col min="34" max="34" width="10" style="5" customWidth="1"/>
    <col min="35" max="35" width="7" style="5" customWidth="1"/>
    <col min="36" max="36" width="7.77734375" style="5" customWidth="1"/>
    <col min="37" max="37" width="17.109375" style="5" customWidth="1"/>
    <col min="38" max="38" width="8.109375" style="5" customWidth="1"/>
    <col min="39" max="39" width="8.5546875" style="5" customWidth="1"/>
    <col min="40" max="41" width="7.33203125" style="5" customWidth="1"/>
    <col min="42" max="42" width="8.21875" style="5" customWidth="1"/>
    <col min="43" max="43" width="6.109375" style="5" customWidth="1"/>
    <col min="44" max="44" width="7.5546875" style="5" customWidth="1"/>
    <col min="45" max="45" width="7.33203125" style="5" customWidth="1"/>
    <col min="46" max="46" width="16" style="5" customWidth="1"/>
    <col min="47" max="47" width="15.33203125" style="5" customWidth="1"/>
    <col min="48" max="48" width="12.21875" style="5" customWidth="1"/>
    <col min="49" max="49" width="13.6640625" style="5" customWidth="1"/>
    <col min="50" max="50" width="13.21875" style="5" customWidth="1"/>
    <col min="51" max="51" width="47" style="5" customWidth="1"/>
    <col min="52" max="52" width="11.88671875" style="5" customWidth="1"/>
    <col min="53" max="53" width="13.6640625" style="5" customWidth="1"/>
    <col min="54" max="54" width="12.33203125" style="5" customWidth="1"/>
    <col min="55" max="55" width="13.6640625" style="5" customWidth="1"/>
    <col min="56" max="56" width="10.6640625" style="5" customWidth="1"/>
    <col min="57" max="16384" width="8.6640625" style="5"/>
  </cols>
  <sheetData>
    <row r="1" spans="1:57" s="1" customFormat="1" ht="26.1" customHeight="1" x14ac:dyDescent="0.3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17" t="s">
        <v>9</v>
      </c>
      <c r="K1" s="6" t="s">
        <v>10</v>
      </c>
      <c r="L1" s="6" t="s">
        <v>11</v>
      </c>
      <c r="M1" s="41" t="s">
        <v>12</v>
      </c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3"/>
      <c r="Z1" s="22" t="s">
        <v>13</v>
      </c>
      <c r="AA1" s="17" t="s">
        <v>14</v>
      </c>
      <c r="AB1" s="17" t="s">
        <v>15</v>
      </c>
      <c r="AC1" s="17" t="s">
        <v>16</v>
      </c>
      <c r="AD1" s="17" t="s">
        <v>17</v>
      </c>
      <c r="AE1" s="17" t="s">
        <v>18</v>
      </c>
      <c r="AF1" s="17" t="s">
        <v>19</v>
      </c>
      <c r="AG1" s="22" t="s">
        <v>20</v>
      </c>
      <c r="AH1" s="17" t="s">
        <v>21</v>
      </c>
      <c r="AI1" s="17" t="s">
        <v>22</v>
      </c>
      <c r="AJ1" s="17" t="s">
        <v>23</v>
      </c>
      <c r="AK1" s="22" t="s">
        <v>24</v>
      </c>
      <c r="AL1" s="17" t="s">
        <v>25</v>
      </c>
      <c r="AM1" s="17" t="s">
        <v>26</v>
      </c>
      <c r="AN1" s="17" t="s">
        <v>27</v>
      </c>
      <c r="AO1" s="17" t="s">
        <v>28</v>
      </c>
      <c r="AP1" s="17" t="s">
        <v>29</v>
      </c>
      <c r="AQ1" s="17" t="s">
        <v>30</v>
      </c>
      <c r="AR1" s="17" t="s">
        <v>31</v>
      </c>
      <c r="AS1" s="17" t="s">
        <v>32</v>
      </c>
      <c r="AT1" s="17" t="s">
        <v>33</v>
      </c>
      <c r="AU1" s="22" t="s">
        <v>34</v>
      </c>
      <c r="AV1" s="22" t="s">
        <v>35</v>
      </c>
      <c r="AW1" s="29" t="s">
        <v>36</v>
      </c>
      <c r="AX1" s="30" t="s">
        <v>37</v>
      </c>
      <c r="AY1" s="31" t="s">
        <v>38</v>
      </c>
      <c r="AZ1" s="29" t="s">
        <v>39</v>
      </c>
      <c r="BA1" s="37" t="s">
        <v>40</v>
      </c>
      <c r="BB1" s="29" t="s">
        <v>41</v>
      </c>
      <c r="BC1" s="29" t="s">
        <v>42</v>
      </c>
      <c r="BD1" s="29" t="s">
        <v>43</v>
      </c>
    </row>
    <row r="2" spans="1:57" s="2" customFormat="1" ht="30.6" x14ac:dyDescent="0.25">
      <c r="A2" s="9" t="s">
        <v>44</v>
      </c>
      <c r="B2" s="10" t="s">
        <v>45</v>
      </c>
      <c r="C2" s="9" t="s">
        <v>46</v>
      </c>
      <c r="D2" s="9" t="s">
        <v>47</v>
      </c>
      <c r="E2" s="9" t="s">
        <v>48</v>
      </c>
      <c r="F2" s="9" t="s">
        <v>49</v>
      </c>
      <c r="G2" s="9" t="s">
        <v>50</v>
      </c>
      <c r="H2" s="9" t="s">
        <v>51</v>
      </c>
      <c r="I2" s="9" t="s">
        <v>52</v>
      </c>
      <c r="J2" s="18" t="s">
        <v>53</v>
      </c>
      <c r="K2" s="9" t="s">
        <v>54</v>
      </c>
      <c r="L2" s="9" t="s">
        <v>55</v>
      </c>
      <c r="M2" s="9" t="s">
        <v>56</v>
      </c>
      <c r="N2" s="9" t="s">
        <v>57</v>
      </c>
      <c r="O2" s="9" t="s">
        <v>58</v>
      </c>
      <c r="P2" s="9" t="s">
        <v>59</v>
      </c>
      <c r="Q2" s="9" t="s">
        <v>60</v>
      </c>
      <c r="R2" s="9" t="s">
        <v>61</v>
      </c>
      <c r="S2" s="9" t="s">
        <v>62</v>
      </c>
      <c r="T2" s="9" t="s">
        <v>63</v>
      </c>
      <c r="U2" s="9" t="s">
        <v>64</v>
      </c>
      <c r="V2" s="9" t="s">
        <v>65</v>
      </c>
      <c r="W2" s="9" t="s">
        <v>66</v>
      </c>
      <c r="X2" s="9" t="s">
        <v>67</v>
      </c>
      <c r="Y2" s="9" t="s">
        <v>68</v>
      </c>
      <c r="Z2" s="23" t="s">
        <v>69</v>
      </c>
      <c r="AA2" s="18" t="s">
        <v>70</v>
      </c>
      <c r="AB2" s="18" t="s">
        <v>71</v>
      </c>
      <c r="AC2" s="18" t="s">
        <v>72</v>
      </c>
      <c r="AD2" s="18" t="s">
        <v>73</v>
      </c>
      <c r="AE2" s="18" t="s">
        <v>74</v>
      </c>
      <c r="AF2" s="18" t="s">
        <v>75</v>
      </c>
      <c r="AG2" s="23" t="s">
        <v>76</v>
      </c>
      <c r="AH2" s="18" t="s">
        <v>77</v>
      </c>
      <c r="AI2" s="18" t="s">
        <v>78</v>
      </c>
      <c r="AJ2" s="18" t="s">
        <v>79</v>
      </c>
      <c r="AK2" s="23" t="s">
        <v>80</v>
      </c>
      <c r="AL2" s="18" t="s">
        <v>70</v>
      </c>
      <c r="AM2" s="18" t="s">
        <v>74</v>
      </c>
      <c r="AN2" s="18" t="s">
        <v>81</v>
      </c>
      <c r="AO2" s="18" t="s">
        <v>82</v>
      </c>
      <c r="AP2" s="18" t="s">
        <v>83</v>
      </c>
      <c r="AQ2" s="18" t="s">
        <v>84</v>
      </c>
      <c r="AR2" s="18" t="s">
        <v>85</v>
      </c>
      <c r="AS2" s="18" t="s">
        <v>86</v>
      </c>
      <c r="AT2" s="18" t="s">
        <v>87</v>
      </c>
      <c r="AU2" s="23" t="s">
        <v>88</v>
      </c>
      <c r="AV2" s="23" t="s">
        <v>89</v>
      </c>
      <c r="AW2" s="23" t="s">
        <v>90</v>
      </c>
      <c r="AX2" s="32"/>
      <c r="AY2" s="33" t="s">
        <v>91</v>
      </c>
      <c r="AZ2" s="29" t="s">
        <v>92</v>
      </c>
      <c r="BA2" s="37" t="s">
        <v>93</v>
      </c>
      <c r="BB2" s="29" t="s">
        <v>94</v>
      </c>
      <c r="BC2" s="29" t="s">
        <v>95</v>
      </c>
      <c r="BD2" s="29"/>
    </row>
    <row r="3" spans="1:57" s="3" customFormat="1" ht="15" customHeight="1" x14ac:dyDescent="0.25">
      <c r="A3" s="11">
        <f t="shared" ref="A3:A27" si="0">ROW()-2</f>
        <v>1</v>
      </c>
      <c r="B3" s="12">
        <v>2502</v>
      </c>
      <c r="C3" s="12" t="s">
        <v>96</v>
      </c>
      <c r="D3" s="11" t="s">
        <v>97</v>
      </c>
      <c r="E3" s="14" t="s">
        <v>98</v>
      </c>
      <c r="F3" s="15">
        <v>45383</v>
      </c>
      <c r="G3" s="15">
        <v>45747</v>
      </c>
      <c r="H3" s="11"/>
      <c r="I3" s="19" t="s">
        <v>99</v>
      </c>
      <c r="J3" s="20">
        <v>1510</v>
      </c>
      <c r="K3" s="21">
        <v>3150</v>
      </c>
      <c r="L3" s="21">
        <v>1020.4</v>
      </c>
      <c r="M3" s="21"/>
      <c r="N3" s="21"/>
      <c r="O3" s="21">
        <v>742.07</v>
      </c>
      <c r="P3" s="21"/>
      <c r="Q3" s="21"/>
      <c r="R3" s="21">
        <v>630</v>
      </c>
      <c r="S3" s="21"/>
      <c r="T3" s="21"/>
      <c r="U3" s="21"/>
      <c r="V3" s="21"/>
      <c r="W3" s="21"/>
      <c r="X3" s="21" t="s">
        <v>100</v>
      </c>
      <c r="Y3" s="21">
        <v>-82</v>
      </c>
      <c r="Z3" s="24">
        <f t="shared" ref="Z3" si="1">SUM(J3:Y3)</f>
        <v>6970.4699999999993</v>
      </c>
      <c r="AA3" s="25">
        <v>7384</v>
      </c>
      <c r="AB3" s="25">
        <v>590.72</v>
      </c>
      <c r="AC3" s="25">
        <v>147.68</v>
      </c>
      <c r="AD3" s="25">
        <v>36.92</v>
      </c>
      <c r="AE3" s="25">
        <v>5865</v>
      </c>
      <c r="AF3" s="25">
        <v>411</v>
      </c>
      <c r="AG3" s="24">
        <f t="shared" ref="AG3" si="2">AB3+AC3+AD3+AF3</f>
        <v>1186.3200000000002</v>
      </c>
      <c r="AH3" s="26"/>
      <c r="AI3" s="27"/>
      <c r="AJ3" s="27"/>
      <c r="AK3" s="24">
        <f t="shared" ref="AK3:AK27" si="3">Z3-AG3-AH3</f>
        <v>5784.15</v>
      </c>
      <c r="AL3" s="28">
        <v>7384</v>
      </c>
      <c r="AM3" s="28">
        <v>5865</v>
      </c>
      <c r="AN3" s="28">
        <f t="shared" ref="AN3" si="4">ROUND(AL3*16%,2)</f>
        <v>1181.44</v>
      </c>
      <c r="AO3" s="28">
        <f>ROUND(AL3*9%,2)</f>
        <v>664.56</v>
      </c>
      <c r="AP3" s="28">
        <f t="shared" ref="AP3:AP27" si="5">ROUND(AL3*0.5%,2)</f>
        <v>36.92</v>
      </c>
      <c r="AQ3" s="28">
        <v>14.77</v>
      </c>
      <c r="AR3" s="28"/>
      <c r="AS3" s="28">
        <f t="shared" ref="AS3:AS27" si="6">ROUND(AM3*7%,0)</f>
        <v>411</v>
      </c>
      <c r="AT3" s="28">
        <f t="shared" ref="AT3:AT27" si="7">ROUND(IF(AL3&lt;22792,AL3*1.5%,22792*1.5%),2)</f>
        <v>110.76</v>
      </c>
      <c r="AU3" s="24">
        <f t="shared" ref="AU3:AU27" si="8">SUM(AN3:AT3)</f>
        <v>2419.4500000000003</v>
      </c>
      <c r="AV3" s="24">
        <v>127</v>
      </c>
      <c r="AW3" s="24">
        <f t="shared" ref="AW3:AW27" si="9">AU3+Z3+AI3-AJ3+AV3</f>
        <v>9516.92</v>
      </c>
      <c r="AX3" s="34">
        <v>-4.13</v>
      </c>
      <c r="AY3" s="35" t="s">
        <v>101</v>
      </c>
      <c r="AZ3" s="24">
        <v>255</v>
      </c>
      <c r="BA3" s="38">
        <f t="shared" ref="BA3:BA27" si="10">ROUND(AW3+AZ3+AX3,2)</f>
        <v>9767.7900000000009</v>
      </c>
      <c r="BB3" s="24">
        <f t="shared" ref="BB3:BB27" si="11">ROUND(BA3*6%,2)</f>
        <v>586.07000000000005</v>
      </c>
      <c r="BC3" s="24">
        <f>ROUND(SUM(BA3:BB3),2)</f>
        <v>10353.86</v>
      </c>
      <c r="BD3" s="29">
        <f>AV3-5</f>
        <v>122</v>
      </c>
      <c r="BE3" s="40"/>
    </row>
    <row r="4" spans="1:57" s="3" customFormat="1" ht="15" customHeight="1" x14ac:dyDescent="0.25">
      <c r="A4" s="11">
        <f t="shared" si="0"/>
        <v>2</v>
      </c>
      <c r="B4" s="12">
        <v>2502</v>
      </c>
      <c r="C4" s="12" t="s">
        <v>102</v>
      </c>
      <c r="D4" s="11" t="s">
        <v>103</v>
      </c>
      <c r="E4" s="14" t="s">
        <v>104</v>
      </c>
      <c r="F4" s="15">
        <v>45444</v>
      </c>
      <c r="G4" s="15">
        <v>45808</v>
      </c>
      <c r="H4" s="11"/>
      <c r="I4" s="19" t="s">
        <v>99</v>
      </c>
      <c r="J4" s="20">
        <v>900</v>
      </c>
      <c r="K4" s="21">
        <v>2719.75</v>
      </c>
      <c r="L4" s="21">
        <v>578</v>
      </c>
      <c r="M4" s="21"/>
      <c r="N4" s="21"/>
      <c r="O4" s="21">
        <v>0</v>
      </c>
      <c r="P4" s="21"/>
      <c r="Q4" s="21"/>
      <c r="R4" s="21">
        <v>630</v>
      </c>
      <c r="S4" s="21"/>
      <c r="T4" s="21"/>
      <c r="U4" s="21"/>
      <c r="V4" s="21"/>
      <c r="W4" s="21"/>
      <c r="X4" s="21" t="s">
        <v>100</v>
      </c>
      <c r="Y4" s="21">
        <v>0</v>
      </c>
      <c r="Z4" s="24">
        <f t="shared" ref="Z4:Z27" si="12">SUM(J4:Y4)</f>
        <v>4827.75</v>
      </c>
      <c r="AA4" s="25">
        <v>7384</v>
      </c>
      <c r="AB4" s="25">
        <v>590.72</v>
      </c>
      <c r="AC4" s="25">
        <v>147.68</v>
      </c>
      <c r="AD4" s="25">
        <v>36.92</v>
      </c>
      <c r="AE4" s="25">
        <v>6776</v>
      </c>
      <c r="AF4" s="25">
        <v>474</v>
      </c>
      <c r="AG4" s="24">
        <f t="shared" ref="AG4:AG27" si="13">AB4+AC4+AD4+AF4</f>
        <v>1249.3200000000002</v>
      </c>
      <c r="AH4" s="26"/>
      <c r="AI4" s="27"/>
      <c r="AJ4" s="27"/>
      <c r="AK4" s="24">
        <f t="shared" si="3"/>
        <v>3578.43</v>
      </c>
      <c r="AL4" s="28">
        <v>7384</v>
      </c>
      <c r="AM4" s="28">
        <v>6776</v>
      </c>
      <c r="AN4" s="28">
        <f t="shared" ref="AN4:AN27" si="14">ROUND(AL4*16%,2)</f>
        <v>1181.44</v>
      </c>
      <c r="AO4" s="28">
        <f t="shared" ref="AO4:AO26" si="15">ROUND(AL4*9%,2)</f>
        <v>664.56</v>
      </c>
      <c r="AP4" s="28">
        <f t="shared" si="5"/>
        <v>36.92</v>
      </c>
      <c r="AQ4" s="28">
        <v>14.77</v>
      </c>
      <c r="AR4" s="28"/>
      <c r="AS4" s="28">
        <f t="shared" si="6"/>
        <v>474</v>
      </c>
      <c r="AT4" s="28">
        <f t="shared" si="7"/>
        <v>110.76</v>
      </c>
      <c r="AU4" s="24">
        <f t="shared" si="8"/>
        <v>2482.4500000000003</v>
      </c>
      <c r="AV4" s="24">
        <v>84</v>
      </c>
      <c r="AW4" s="24">
        <f t="shared" si="9"/>
        <v>7394.2000000000007</v>
      </c>
      <c r="AX4" s="34">
        <v>-4.13</v>
      </c>
      <c r="AY4" s="35" t="s">
        <v>101</v>
      </c>
      <c r="AZ4" s="24">
        <v>255</v>
      </c>
      <c r="BA4" s="38">
        <f t="shared" si="10"/>
        <v>7645.07</v>
      </c>
      <c r="BB4" s="24">
        <f t="shared" si="11"/>
        <v>458.7</v>
      </c>
      <c r="BC4" s="24">
        <f t="shared" ref="BC4:BC27" si="16">ROUND(SUM(BA4:BB4),2)</f>
        <v>8103.77</v>
      </c>
      <c r="BD4" s="29">
        <f t="shared" ref="BD4:BD27" si="17">AV4-5</f>
        <v>79</v>
      </c>
      <c r="BE4" s="40"/>
    </row>
    <row r="5" spans="1:57" s="3" customFormat="1" ht="15" customHeight="1" x14ac:dyDescent="0.25">
      <c r="A5" s="11">
        <f t="shared" si="0"/>
        <v>3</v>
      </c>
      <c r="B5" s="12">
        <v>2502</v>
      </c>
      <c r="C5" s="12" t="s">
        <v>105</v>
      </c>
      <c r="D5" s="11" t="s">
        <v>106</v>
      </c>
      <c r="E5" s="14" t="s">
        <v>107</v>
      </c>
      <c r="F5" s="15">
        <v>45444</v>
      </c>
      <c r="G5" s="15">
        <v>45808</v>
      </c>
      <c r="H5" s="11"/>
      <c r="I5" s="19" t="s">
        <v>99</v>
      </c>
      <c r="J5" s="20">
        <v>1030</v>
      </c>
      <c r="K5" s="21">
        <v>3671.35</v>
      </c>
      <c r="L5" s="21">
        <v>357</v>
      </c>
      <c r="M5" s="21"/>
      <c r="N5" s="21"/>
      <c r="O5" s="21">
        <v>0</v>
      </c>
      <c r="P5" s="21"/>
      <c r="Q5" s="21"/>
      <c r="R5" s="21">
        <v>630</v>
      </c>
      <c r="S5" s="21"/>
      <c r="T5" s="21"/>
      <c r="U5" s="21"/>
      <c r="V5" s="21"/>
      <c r="W5" s="21"/>
      <c r="X5" s="21">
        <v>89.649999999999594</v>
      </c>
      <c r="Y5" s="21">
        <v>0</v>
      </c>
      <c r="Z5" s="24">
        <f t="shared" si="12"/>
        <v>5778</v>
      </c>
      <c r="AA5" s="25">
        <v>14019</v>
      </c>
      <c r="AB5" s="25">
        <v>1121.52</v>
      </c>
      <c r="AC5" s="25">
        <v>280.38</v>
      </c>
      <c r="AD5" s="25">
        <v>70.099999999999994</v>
      </c>
      <c r="AE5" s="25">
        <v>14019</v>
      </c>
      <c r="AF5" s="25">
        <v>981</v>
      </c>
      <c r="AG5" s="24">
        <f t="shared" si="13"/>
        <v>2453</v>
      </c>
      <c r="AH5" s="26"/>
      <c r="AI5" s="27"/>
      <c r="AJ5" s="27"/>
      <c r="AK5" s="24">
        <f t="shared" si="3"/>
        <v>3325</v>
      </c>
      <c r="AL5" s="28">
        <v>14019</v>
      </c>
      <c r="AM5" s="28">
        <v>14019</v>
      </c>
      <c r="AN5" s="28">
        <f t="shared" si="14"/>
        <v>2243.04</v>
      </c>
      <c r="AO5" s="28">
        <v>1261.72</v>
      </c>
      <c r="AP5" s="28">
        <f t="shared" si="5"/>
        <v>70.099999999999994</v>
      </c>
      <c r="AQ5" s="28">
        <v>28.04</v>
      </c>
      <c r="AR5" s="28"/>
      <c r="AS5" s="28">
        <f t="shared" si="6"/>
        <v>981</v>
      </c>
      <c r="AT5" s="28">
        <f t="shared" si="7"/>
        <v>210.29</v>
      </c>
      <c r="AU5" s="24">
        <f t="shared" si="8"/>
        <v>4794.1899999999996</v>
      </c>
      <c r="AV5" s="24">
        <v>103</v>
      </c>
      <c r="AW5" s="24">
        <f t="shared" si="9"/>
        <v>10675.189999999999</v>
      </c>
      <c r="AX5" s="34">
        <v>-7.85</v>
      </c>
      <c r="AY5" s="35" t="s">
        <v>101</v>
      </c>
      <c r="AZ5" s="24">
        <v>255</v>
      </c>
      <c r="BA5" s="38">
        <f t="shared" si="10"/>
        <v>10922.34</v>
      </c>
      <c r="BB5" s="24">
        <f t="shared" si="11"/>
        <v>655.34</v>
      </c>
      <c r="BC5" s="24">
        <f t="shared" si="16"/>
        <v>11577.68</v>
      </c>
      <c r="BD5" s="29">
        <f t="shared" si="17"/>
        <v>98</v>
      </c>
      <c r="BE5" s="40"/>
    </row>
    <row r="6" spans="1:57" s="3" customFormat="1" ht="15" customHeight="1" x14ac:dyDescent="0.25">
      <c r="A6" s="11">
        <f t="shared" si="0"/>
        <v>4</v>
      </c>
      <c r="B6" s="12">
        <v>2502</v>
      </c>
      <c r="C6" s="12" t="s">
        <v>108</v>
      </c>
      <c r="D6" s="11" t="s">
        <v>109</v>
      </c>
      <c r="E6" s="14" t="s">
        <v>110</v>
      </c>
      <c r="F6" s="15">
        <v>45444</v>
      </c>
      <c r="G6" s="15">
        <v>45808</v>
      </c>
      <c r="H6" s="11"/>
      <c r="I6" s="19" t="s">
        <v>99</v>
      </c>
      <c r="J6" s="20">
        <v>1030</v>
      </c>
      <c r="K6" s="21">
        <v>3366</v>
      </c>
      <c r="L6" s="21">
        <v>359.45</v>
      </c>
      <c r="M6" s="21"/>
      <c r="N6" s="21"/>
      <c r="O6" s="21">
        <v>989.43</v>
      </c>
      <c r="P6" s="21"/>
      <c r="Q6" s="21"/>
      <c r="R6" s="21">
        <v>630</v>
      </c>
      <c r="S6" s="21"/>
      <c r="T6" s="21"/>
      <c r="U6" s="21"/>
      <c r="V6" s="21"/>
      <c r="W6" s="21"/>
      <c r="X6" s="21" t="s">
        <v>100</v>
      </c>
      <c r="Y6" s="21">
        <v>0</v>
      </c>
      <c r="Z6" s="24">
        <f t="shared" si="12"/>
        <v>6374.88</v>
      </c>
      <c r="AA6" s="25">
        <v>10618</v>
      </c>
      <c r="AB6" s="25">
        <v>849.44</v>
      </c>
      <c r="AC6" s="25">
        <v>212.36</v>
      </c>
      <c r="AD6" s="25">
        <v>53.09</v>
      </c>
      <c r="AE6" s="25">
        <v>10618</v>
      </c>
      <c r="AF6" s="25">
        <v>743</v>
      </c>
      <c r="AG6" s="24">
        <f t="shared" si="13"/>
        <v>1857.89</v>
      </c>
      <c r="AH6" s="26"/>
      <c r="AI6" s="27"/>
      <c r="AJ6" s="27"/>
      <c r="AK6" s="24">
        <f t="shared" si="3"/>
        <v>4516.99</v>
      </c>
      <c r="AL6" s="28">
        <v>10618</v>
      </c>
      <c r="AM6" s="28">
        <v>10618</v>
      </c>
      <c r="AN6" s="28">
        <f t="shared" si="14"/>
        <v>1698.88</v>
      </c>
      <c r="AO6" s="28">
        <f t="shared" si="15"/>
        <v>955.62</v>
      </c>
      <c r="AP6" s="28">
        <f t="shared" si="5"/>
        <v>53.09</v>
      </c>
      <c r="AQ6" s="28">
        <v>21.24</v>
      </c>
      <c r="AR6" s="28"/>
      <c r="AS6" s="28">
        <f t="shared" si="6"/>
        <v>743</v>
      </c>
      <c r="AT6" s="28">
        <f t="shared" si="7"/>
        <v>159.27000000000001</v>
      </c>
      <c r="AU6" s="24">
        <f t="shared" si="8"/>
        <v>3631.1</v>
      </c>
      <c r="AV6" s="24">
        <v>115</v>
      </c>
      <c r="AW6" s="24">
        <f t="shared" si="9"/>
        <v>10120.98</v>
      </c>
      <c r="AX6" s="34">
        <v>-5.94</v>
      </c>
      <c r="AY6" s="35" t="s">
        <v>101</v>
      </c>
      <c r="AZ6" s="24">
        <v>255</v>
      </c>
      <c r="BA6" s="38">
        <f t="shared" si="10"/>
        <v>10370.040000000001</v>
      </c>
      <c r="BB6" s="24">
        <f t="shared" si="11"/>
        <v>622.20000000000005</v>
      </c>
      <c r="BC6" s="24">
        <f t="shared" si="16"/>
        <v>10992.24</v>
      </c>
      <c r="BD6" s="29">
        <f t="shared" si="17"/>
        <v>110</v>
      </c>
      <c r="BE6" s="40"/>
    </row>
    <row r="7" spans="1:57" s="3" customFormat="1" ht="15" customHeight="1" x14ac:dyDescent="0.25">
      <c r="A7" s="11">
        <f t="shared" si="0"/>
        <v>5</v>
      </c>
      <c r="B7" s="12">
        <v>2502</v>
      </c>
      <c r="C7" s="12" t="s">
        <v>111</v>
      </c>
      <c r="D7" s="11" t="s">
        <v>112</v>
      </c>
      <c r="E7" s="14" t="s">
        <v>113</v>
      </c>
      <c r="F7" s="15">
        <v>45444</v>
      </c>
      <c r="G7" s="15">
        <v>45808</v>
      </c>
      <c r="H7" s="11"/>
      <c r="I7" s="19" t="s">
        <v>99</v>
      </c>
      <c r="J7" s="20">
        <v>1300</v>
      </c>
      <c r="K7" s="21">
        <v>17414</v>
      </c>
      <c r="L7" s="21">
        <v>1173.25</v>
      </c>
      <c r="M7" s="21"/>
      <c r="N7" s="21"/>
      <c r="O7" s="21">
        <v>1360.46</v>
      </c>
      <c r="P7" s="21"/>
      <c r="Q7" s="21"/>
      <c r="R7" s="21">
        <v>630</v>
      </c>
      <c r="S7" s="21"/>
      <c r="T7" s="21"/>
      <c r="U7" s="21"/>
      <c r="V7" s="21"/>
      <c r="W7" s="21"/>
      <c r="X7" s="21" t="s">
        <v>100</v>
      </c>
      <c r="Y7" s="21">
        <v>0</v>
      </c>
      <c r="Z7" s="24">
        <f t="shared" si="12"/>
        <v>21877.71</v>
      </c>
      <c r="AA7" s="25">
        <v>18333</v>
      </c>
      <c r="AB7" s="25">
        <v>1466.64</v>
      </c>
      <c r="AC7" s="25">
        <v>366.66</v>
      </c>
      <c r="AD7" s="25">
        <v>91.67</v>
      </c>
      <c r="AE7" s="25">
        <v>18333</v>
      </c>
      <c r="AF7" s="25">
        <v>1283</v>
      </c>
      <c r="AG7" s="24">
        <f t="shared" si="13"/>
        <v>3207.9700000000003</v>
      </c>
      <c r="AH7" s="26"/>
      <c r="AI7" s="27"/>
      <c r="AJ7" s="27"/>
      <c r="AK7" s="24">
        <f t="shared" si="3"/>
        <v>18669.739999999998</v>
      </c>
      <c r="AL7" s="28">
        <v>18333</v>
      </c>
      <c r="AM7" s="28">
        <v>18333</v>
      </c>
      <c r="AN7" s="28">
        <f t="shared" si="14"/>
        <v>2933.28</v>
      </c>
      <c r="AO7" s="28">
        <v>1649.98</v>
      </c>
      <c r="AP7" s="28">
        <f t="shared" si="5"/>
        <v>91.67</v>
      </c>
      <c r="AQ7" s="28">
        <v>36.67</v>
      </c>
      <c r="AR7" s="28"/>
      <c r="AS7" s="28">
        <f t="shared" si="6"/>
        <v>1283</v>
      </c>
      <c r="AT7" s="28">
        <f t="shared" si="7"/>
        <v>275</v>
      </c>
      <c r="AU7" s="24">
        <f t="shared" si="8"/>
        <v>6269.6</v>
      </c>
      <c r="AV7" s="24">
        <v>425</v>
      </c>
      <c r="AW7" s="24">
        <f t="shared" si="9"/>
        <v>28572.309999999998</v>
      </c>
      <c r="AX7" s="34">
        <v>-10.26</v>
      </c>
      <c r="AY7" s="35" t="s">
        <v>101</v>
      </c>
      <c r="AZ7" s="24">
        <v>255</v>
      </c>
      <c r="BA7" s="38">
        <f t="shared" si="10"/>
        <v>28817.05</v>
      </c>
      <c r="BB7" s="24">
        <f t="shared" si="11"/>
        <v>1729.02</v>
      </c>
      <c r="BC7" s="24">
        <f t="shared" si="16"/>
        <v>30546.07</v>
      </c>
      <c r="BD7" s="29">
        <f t="shared" si="17"/>
        <v>420</v>
      </c>
      <c r="BE7" s="40"/>
    </row>
    <row r="8" spans="1:57" s="3" customFormat="1" ht="15" customHeight="1" x14ac:dyDescent="0.25">
      <c r="A8" s="11">
        <f t="shared" si="0"/>
        <v>6</v>
      </c>
      <c r="B8" s="12">
        <v>2502</v>
      </c>
      <c r="C8" s="12" t="s">
        <v>114</v>
      </c>
      <c r="D8" s="11" t="s">
        <v>115</v>
      </c>
      <c r="E8" s="14" t="s">
        <v>116</v>
      </c>
      <c r="F8" s="15">
        <v>45444</v>
      </c>
      <c r="G8" s="15">
        <v>45808</v>
      </c>
      <c r="H8" s="11"/>
      <c r="I8" s="19" t="s">
        <v>99</v>
      </c>
      <c r="J8" s="20">
        <v>1030</v>
      </c>
      <c r="K8" s="21">
        <v>2730.4</v>
      </c>
      <c r="L8" s="21">
        <v>668.1</v>
      </c>
      <c r="M8" s="21"/>
      <c r="N8" s="21"/>
      <c r="O8" s="21">
        <v>989.43</v>
      </c>
      <c r="P8" s="21"/>
      <c r="Q8" s="21"/>
      <c r="R8" s="21">
        <v>630</v>
      </c>
      <c r="S8" s="21"/>
      <c r="T8" s="21"/>
      <c r="U8" s="21"/>
      <c r="V8" s="21"/>
      <c r="W8" s="21"/>
      <c r="X8" s="21">
        <v>44.579999999999899</v>
      </c>
      <c r="Y8" s="21">
        <v>-8</v>
      </c>
      <c r="Z8" s="24">
        <f t="shared" si="12"/>
        <v>6084.51</v>
      </c>
      <c r="AA8" s="25">
        <v>10115</v>
      </c>
      <c r="AB8" s="25">
        <v>809.2</v>
      </c>
      <c r="AC8" s="25">
        <v>202.3</v>
      </c>
      <c r="AD8" s="25">
        <v>50.58</v>
      </c>
      <c r="AE8" s="25">
        <v>10115</v>
      </c>
      <c r="AF8" s="25">
        <v>708</v>
      </c>
      <c r="AG8" s="24">
        <f t="shared" si="13"/>
        <v>1770.08</v>
      </c>
      <c r="AH8" s="26"/>
      <c r="AI8" s="27"/>
      <c r="AJ8" s="27"/>
      <c r="AK8" s="24">
        <f t="shared" si="3"/>
        <v>4314.43</v>
      </c>
      <c r="AL8" s="28">
        <v>10115</v>
      </c>
      <c r="AM8" s="28">
        <v>10115</v>
      </c>
      <c r="AN8" s="28">
        <f t="shared" si="14"/>
        <v>1618.4</v>
      </c>
      <c r="AO8" s="28">
        <v>910.36</v>
      </c>
      <c r="AP8" s="28">
        <f t="shared" si="5"/>
        <v>50.58</v>
      </c>
      <c r="AQ8" s="28">
        <v>20.23</v>
      </c>
      <c r="AR8" s="28"/>
      <c r="AS8" s="28">
        <f t="shared" si="6"/>
        <v>708</v>
      </c>
      <c r="AT8" s="28">
        <f t="shared" si="7"/>
        <v>151.72999999999999</v>
      </c>
      <c r="AU8" s="24">
        <f t="shared" si="8"/>
        <v>3459.3</v>
      </c>
      <c r="AV8" s="24">
        <v>109</v>
      </c>
      <c r="AW8" s="24">
        <f t="shared" si="9"/>
        <v>9652.8100000000013</v>
      </c>
      <c r="AX8" s="34">
        <v>-5.66</v>
      </c>
      <c r="AY8" s="35" t="s">
        <v>101</v>
      </c>
      <c r="AZ8" s="24">
        <v>255</v>
      </c>
      <c r="BA8" s="38">
        <f t="shared" si="10"/>
        <v>9902.15</v>
      </c>
      <c r="BB8" s="24">
        <f t="shared" si="11"/>
        <v>594.13</v>
      </c>
      <c r="BC8" s="24">
        <f t="shared" si="16"/>
        <v>10496.28</v>
      </c>
      <c r="BD8" s="29">
        <f t="shared" si="17"/>
        <v>104</v>
      </c>
      <c r="BE8" s="40"/>
    </row>
    <row r="9" spans="1:57" s="3" customFormat="1" ht="15" customHeight="1" x14ac:dyDescent="0.25">
      <c r="A9" s="11">
        <f t="shared" si="0"/>
        <v>7</v>
      </c>
      <c r="B9" s="12">
        <v>2502</v>
      </c>
      <c r="C9" s="12" t="s">
        <v>117</v>
      </c>
      <c r="D9" s="13" t="s">
        <v>118</v>
      </c>
      <c r="E9" s="14" t="s">
        <v>119</v>
      </c>
      <c r="F9" s="15">
        <v>45444</v>
      </c>
      <c r="G9" s="15">
        <v>45808</v>
      </c>
      <c r="H9" s="16">
        <v>45684</v>
      </c>
      <c r="I9" s="19" t="s">
        <v>99</v>
      </c>
      <c r="J9" s="20">
        <v>0</v>
      </c>
      <c r="K9" s="21">
        <v>1386</v>
      </c>
      <c r="L9" s="21">
        <v>190</v>
      </c>
      <c r="M9" s="21"/>
      <c r="N9" s="21"/>
      <c r="O9" s="21">
        <v>3451.6</v>
      </c>
      <c r="P9" s="21"/>
      <c r="Q9" s="21"/>
      <c r="R9" s="21">
        <v>0</v>
      </c>
      <c r="S9" s="21"/>
      <c r="T9" s="21"/>
      <c r="U9" s="21"/>
      <c r="V9" s="21">
        <v>26275</v>
      </c>
      <c r="W9" s="21"/>
      <c r="X9" s="21"/>
      <c r="Y9" s="21">
        <v>0</v>
      </c>
      <c r="Z9" s="24">
        <f t="shared" si="12"/>
        <v>31302.6</v>
      </c>
      <c r="AA9" s="25"/>
      <c r="AB9" s="25"/>
      <c r="AC9" s="25"/>
      <c r="AD9" s="25"/>
      <c r="AE9" s="25"/>
      <c r="AF9" s="25"/>
      <c r="AG9" s="24">
        <f t="shared" si="13"/>
        <v>0</v>
      </c>
      <c r="AH9" s="26"/>
      <c r="AI9" s="27"/>
      <c r="AJ9" s="27"/>
      <c r="AK9" s="24">
        <f t="shared" si="3"/>
        <v>31302.6</v>
      </c>
      <c r="AL9" s="28"/>
      <c r="AM9" s="28"/>
      <c r="AN9" s="28"/>
      <c r="AO9" s="28"/>
      <c r="AP9" s="28"/>
      <c r="AQ9" s="28"/>
      <c r="AR9" s="28"/>
      <c r="AS9" s="28"/>
      <c r="AT9" s="28"/>
      <c r="AU9" s="24">
        <f t="shared" si="8"/>
        <v>0</v>
      </c>
      <c r="AV9" s="24">
        <v>626</v>
      </c>
      <c r="AW9" s="24">
        <f t="shared" si="9"/>
        <v>31928.6</v>
      </c>
      <c r="AX9" s="34">
        <v>-4.13</v>
      </c>
      <c r="AY9" s="35" t="s">
        <v>101</v>
      </c>
      <c r="AZ9" s="24">
        <v>0</v>
      </c>
      <c r="BA9" s="38">
        <f t="shared" si="10"/>
        <v>31924.47</v>
      </c>
      <c r="BB9" s="24">
        <f t="shared" si="11"/>
        <v>1915.47</v>
      </c>
      <c r="BC9" s="24">
        <f t="shared" si="16"/>
        <v>33839.94</v>
      </c>
      <c r="BD9" s="29">
        <f t="shared" si="17"/>
        <v>621</v>
      </c>
      <c r="BE9" s="40"/>
    </row>
    <row r="10" spans="1:57" s="3" customFormat="1" ht="15" customHeight="1" x14ac:dyDescent="0.25">
      <c r="A10" s="11">
        <f t="shared" si="0"/>
        <v>8</v>
      </c>
      <c r="B10" s="12">
        <v>2502</v>
      </c>
      <c r="C10" s="12" t="s">
        <v>120</v>
      </c>
      <c r="D10" s="11" t="s">
        <v>121</v>
      </c>
      <c r="E10" s="14" t="s">
        <v>122</v>
      </c>
      <c r="F10" s="15">
        <v>45444</v>
      </c>
      <c r="G10" s="15">
        <v>45808</v>
      </c>
      <c r="H10" s="11"/>
      <c r="I10" s="19" t="s">
        <v>99</v>
      </c>
      <c r="J10" s="20">
        <v>950</v>
      </c>
      <c r="K10" s="21">
        <v>3078</v>
      </c>
      <c r="L10" s="21">
        <v>872</v>
      </c>
      <c r="M10" s="21"/>
      <c r="N10" s="21"/>
      <c r="O10" s="21">
        <v>0</v>
      </c>
      <c r="P10" s="21"/>
      <c r="Q10" s="21"/>
      <c r="R10" s="21">
        <v>630</v>
      </c>
      <c r="S10" s="21"/>
      <c r="T10" s="21"/>
      <c r="U10" s="21"/>
      <c r="V10" s="21"/>
      <c r="W10" s="21"/>
      <c r="X10" s="21" t="s">
        <v>100</v>
      </c>
      <c r="Y10" s="21">
        <v>-4.4000000000000004</v>
      </c>
      <c r="Z10" s="24">
        <f t="shared" si="12"/>
        <v>5525.6</v>
      </c>
      <c r="AA10" s="25">
        <v>7384</v>
      </c>
      <c r="AB10" s="25">
        <v>590.72</v>
      </c>
      <c r="AC10" s="25">
        <v>147.68</v>
      </c>
      <c r="AD10" s="25">
        <v>36.92</v>
      </c>
      <c r="AE10" s="25">
        <v>7234</v>
      </c>
      <c r="AF10" s="25">
        <v>506</v>
      </c>
      <c r="AG10" s="24">
        <f t="shared" si="13"/>
        <v>1281.3200000000002</v>
      </c>
      <c r="AH10" s="26"/>
      <c r="AI10" s="27"/>
      <c r="AJ10" s="27"/>
      <c r="AK10" s="24">
        <f t="shared" si="3"/>
        <v>4244.2800000000007</v>
      </c>
      <c r="AL10" s="28">
        <v>7384</v>
      </c>
      <c r="AM10" s="28">
        <v>7234</v>
      </c>
      <c r="AN10" s="28">
        <f t="shared" si="14"/>
        <v>1181.44</v>
      </c>
      <c r="AO10" s="28">
        <f t="shared" si="15"/>
        <v>664.56</v>
      </c>
      <c r="AP10" s="28">
        <f t="shared" si="5"/>
        <v>36.92</v>
      </c>
      <c r="AQ10" s="28">
        <v>14.77</v>
      </c>
      <c r="AR10" s="28"/>
      <c r="AS10" s="28">
        <f t="shared" si="6"/>
        <v>506</v>
      </c>
      <c r="AT10" s="28">
        <f t="shared" si="7"/>
        <v>110.76</v>
      </c>
      <c r="AU10" s="24">
        <f t="shared" si="8"/>
        <v>2514.4500000000003</v>
      </c>
      <c r="AV10" s="24">
        <v>98</v>
      </c>
      <c r="AW10" s="24">
        <f t="shared" si="9"/>
        <v>8138.0500000000011</v>
      </c>
      <c r="AX10" s="34">
        <v>-4.13</v>
      </c>
      <c r="AY10" s="35" t="s">
        <v>101</v>
      </c>
      <c r="AZ10" s="24">
        <v>255</v>
      </c>
      <c r="BA10" s="38">
        <f t="shared" si="10"/>
        <v>8388.92</v>
      </c>
      <c r="BB10" s="24">
        <f t="shared" si="11"/>
        <v>503.34</v>
      </c>
      <c r="BC10" s="24">
        <f t="shared" si="16"/>
        <v>8892.26</v>
      </c>
      <c r="BD10" s="29">
        <f t="shared" si="17"/>
        <v>93</v>
      </c>
      <c r="BE10" s="40"/>
    </row>
    <row r="11" spans="1:57" s="3" customFormat="1" ht="15" customHeight="1" x14ac:dyDescent="0.25">
      <c r="A11" s="11">
        <f t="shared" si="0"/>
        <v>9</v>
      </c>
      <c r="B11" s="12">
        <v>2502</v>
      </c>
      <c r="C11" s="12" t="s">
        <v>123</v>
      </c>
      <c r="D11" s="11" t="s">
        <v>124</v>
      </c>
      <c r="E11" s="14" t="s">
        <v>125</v>
      </c>
      <c r="F11" s="15">
        <v>45444</v>
      </c>
      <c r="G11" s="15">
        <v>45808</v>
      </c>
      <c r="H11" s="11"/>
      <c r="I11" s="19" t="s">
        <v>99</v>
      </c>
      <c r="J11" s="20">
        <v>1030</v>
      </c>
      <c r="K11" s="21">
        <v>2790</v>
      </c>
      <c r="L11" s="21">
        <v>2117.31</v>
      </c>
      <c r="M11" s="21"/>
      <c r="N11" s="21"/>
      <c r="O11" s="21">
        <v>0</v>
      </c>
      <c r="P11" s="21"/>
      <c r="Q11" s="21"/>
      <c r="R11" s="21">
        <v>630</v>
      </c>
      <c r="S11" s="21"/>
      <c r="T11" s="21"/>
      <c r="U11" s="21"/>
      <c r="V11" s="21"/>
      <c r="W11" s="21"/>
      <c r="X11" s="21" t="s">
        <v>100</v>
      </c>
      <c r="Y11" s="21">
        <v>-884.4</v>
      </c>
      <c r="Z11" s="24">
        <f t="shared" si="12"/>
        <v>5682.91</v>
      </c>
      <c r="AA11" s="25">
        <v>7384</v>
      </c>
      <c r="AB11" s="25">
        <v>590.72</v>
      </c>
      <c r="AC11" s="25">
        <v>147.68</v>
      </c>
      <c r="AD11" s="25">
        <v>36.92</v>
      </c>
      <c r="AE11" s="25">
        <v>6812</v>
      </c>
      <c r="AF11" s="25">
        <v>477</v>
      </c>
      <c r="AG11" s="24">
        <f t="shared" si="13"/>
        <v>1252.3200000000002</v>
      </c>
      <c r="AH11" s="26"/>
      <c r="AI11" s="27"/>
      <c r="AJ11" s="27"/>
      <c r="AK11" s="24">
        <f t="shared" si="3"/>
        <v>4430.59</v>
      </c>
      <c r="AL11" s="28">
        <v>7384</v>
      </c>
      <c r="AM11" s="28">
        <v>6812</v>
      </c>
      <c r="AN11" s="28">
        <f t="shared" si="14"/>
        <v>1181.44</v>
      </c>
      <c r="AO11" s="28">
        <f t="shared" si="15"/>
        <v>664.56</v>
      </c>
      <c r="AP11" s="28">
        <f t="shared" si="5"/>
        <v>36.92</v>
      </c>
      <c r="AQ11" s="28">
        <v>14.77</v>
      </c>
      <c r="AR11" s="28"/>
      <c r="AS11" s="28">
        <f t="shared" si="6"/>
        <v>477</v>
      </c>
      <c r="AT11" s="28">
        <f t="shared" si="7"/>
        <v>110.76</v>
      </c>
      <c r="AU11" s="24">
        <f t="shared" si="8"/>
        <v>2485.4500000000003</v>
      </c>
      <c r="AV11" s="24">
        <v>101</v>
      </c>
      <c r="AW11" s="24">
        <f t="shared" si="9"/>
        <v>8269.36</v>
      </c>
      <c r="AX11" s="34">
        <v>-4.13</v>
      </c>
      <c r="AY11" s="35" t="s">
        <v>101</v>
      </c>
      <c r="AZ11" s="24">
        <v>255</v>
      </c>
      <c r="BA11" s="38">
        <f t="shared" si="10"/>
        <v>8520.23</v>
      </c>
      <c r="BB11" s="24">
        <f t="shared" si="11"/>
        <v>511.21</v>
      </c>
      <c r="BC11" s="24">
        <f t="shared" si="16"/>
        <v>9031.44</v>
      </c>
      <c r="BD11" s="29">
        <f t="shared" si="17"/>
        <v>96</v>
      </c>
      <c r="BE11" s="40"/>
    </row>
    <row r="12" spans="1:57" s="3" customFormat="1" ht="15" customHeight="1" x14ac:dyDescent="0.25">
      <c r="A12" s="11">
        <f t="shared" si="0"/>
        <v>10</v>
      </c>
      <c r="B12" s="12">
        <v>2502</v>
      </c>
      <c r="C12" s="12" t="s">
        <v>126</v>
      </c>
      <c r="D12" s="11" t="s">
        <v>127</v>
      </c>
      <c r="E12" s="14" t="s">
        <v>128</v>
      </c>
      <c r="F12" s="15">
        <v>45444</v>
      </c>
      <c r="G12" s="15">
        <v>45808</v>
      </c>
      <c r="H12" s="11"/>
      <c r="I12" s="19" t="s">
        <v>99</v>
      </c>
      <c r="J12" s="20">
        <v>1300</v>
      </c>
      <c r="K12" s="21">
        <v>10336</v>
      </c>
      <c r="L12" s="21">
        <v>1390.15</v>
      </c>
      <c r="M12" s="21"/>
      <c r="N12" s="21"/>
      <c r="O12" s="21">
        <v>989.43</v>
      </c>
      <c r="P12" s="21"/>
      <c r="Q12" s="21"/>
      <c r="R12" s="21">
        <v>630</v>
      </c>
      <c r="S12" s="21"/>
      <c r="T12" s="21"/>
      <c r="U12" s="21"/>
      <c r="V12" s="21"/>
      <c r="W12" s="21"/>
      <c r="X12" s="21" t="s">
        <v>100</v>
      </c>
      <c r="Y12" s="21">
        <v>-70.5</v>
      </c>
      <c r="Z12" s="24">
        <f t="shared" si="12"/>
        <v>14575.08</v>
      </c>
      <c r="AA12" s="25">
        <v>19290</v>
      </c>
      <c r="AB12" s="25">
        <v>1543.2</v>
      </c>
      <c r="AC12" s="25">
        <v>385.8</v>
      </c>
      <c r="AD12" s="25">
        <v>96.45</v>
      </c>
      <c r="AE12" s="25">
        <v>19290</v>
      </c>
      <c r="AF12" s="25">
        <v>1350</v>
      </c>
      <c r="AG12" s="24">
        <f t="shared" si="13"/>
        <v>3375.45</v>
      </c>
      <c r="AH12" s="26"/>
      <c r="AI12" s="27"/>
      <c r="AJ12" s="27"/>
      <c r="AK12" s="24">
        <f t="shared" si="3"/>
        <v>11199.630000000001</v>
      </c>
      <c r="AL12" s="28">
        <v>19290</v>
      </c>
      <c r="AM12" s="28">
        <v>19290</v>
      </c>
      <c r="AN12" s="28">
        <f t="shared" si="14"/>
        <v>3086.4</v>
      </c>
      <c r="AO12" s="28">
        <f t="shared" si="15"/>
        <v>1736.1</v>
      </c>
      <c r="AP12" s="28">
        <f t="shared" si="5"/>
        <v>96.45</v>
      </c>
      <c r="AQ12" s="28">
        <v>38.58</v>
      </c>
      <c r="AR12" s="28"/>
      <c r="AS12" s="28">
        <f t="shared" si="6"/>
        <v>1350</v>
      </c>
      <c r="AT12" s="28">
        <f t="shared" si="7"/>
        <v>289.35000000000002</v>
      </c>
      <c r="AU12" s="24">
        <f t="shared" si="8"/>
        <v>6596.88</v>
      </c>
      <c r="AV12" s="24">
        <v>279</v>
      </c>
      <c r="AW12" s="24">
        <f t="shared" si="9"/>
        <v>21450.959999999999</v>
      </c>
      <c r="AX12" s="34">
        <v>-10.8</v>
      </c>
      <c r="AY12" s="35" t="s">
        <v>101</v>
      </c>
      <c r="AZ12" s="24">
        <v>255</v>
      </c>
      <c r="BA12" s="38">
        <f t="shared" si="10"/>
        <v>21695.16</v>
      </c>
      <c r="BB12" s="24">
        <f t="shared" si="11"/>
        <v>1301.71</v>
      </c>
      <c r="BC12" s="24">
        <f t="shared" si="16"/>
        <v>22996.87</v>
      </c>
      <c r="BD12" s="29">
        <f t="shared" si="17"/>
        <v>274</v>
      </c>
      <c r="BE12" s="40"/>
    </row>
    <row r="13" spans="1:57" s="3" customFormat="1" ht="15" customHeight="1" x14ac:dyDescent="0.25">
      <c r="A13" s="11">
        <f t="shared" si="0"/>
        <v>11</v>
      </c>
      <c r="B13" s="12">
        <v>2502</v>
      </c>
      <c r="C13" s="12" t="s">
        <v>129</v>
      </c>
      <c r="D13" s="11" t="s">
        <v>130</v>
      </c>
      <c r="E13" s="14" t="s">
        <v>131</v>
      </c>
      <c r="F13" s="15">
        <v>45444</v>
      </c>
      <c r="G13" s="15">
        <v>45808</v>
      </c>
      <c r="H13" s="11"/>
      <c r="I13" s="19" t="s">
        <v>99</v>
      </c>
      <c r="J13" s="20">
        <v>1030</v>
      </c>
      <c r="K13" s="21">
        <v>2612</v>
      </c>
      <c r="L13" s="21">
        <v>1223.3499999999999</v>
      </c>
      <c r="M13" s="21"/>
      <c r="N13" s="21"/>
      <c r="O13" s="21">
        <v>1113.0999999999999</v>
      </c>
      <c r="P13" s="21"/>
      <c r="Q13" s="21"/>
      <c r="R13" s="21">
        <v>630</v>
      </c>
      <c r="S13" s="21"/>
      <c r="T13" s="21"/>
      <c r="U13" s="21"/>
      <c r="V13" s="21"/>
      <c r="W13" s="21"/>
      <c r="X13" s="21" t="s">
        <v>100</v>
      </c>
      <c r="Y13" s="21">
        <v>-612.79999999999995</v>
      </c>
      <c r="Z13" s="24">
        <f t="shared" si="12"/>
        <v>5995.6500000000005</v>
      </c>
      <c r="AA13" s="25">
        <v>7384</v>
      </c>
      <c r="AB13" s="25">
        <v>590.72</v>
      </c>
      <c r="AC13" s="25">
        <v>147.68</v>
      </c>
      <c r="AD13" s="25">
        <v>36.92</v>
      </c>
      <c r="AE13" s="25">
        <v>6424</v>
      </c>
      <c r="AF13" s="25">
        <v>450</v>
      </c>
      <c r="AG13" s="24">
        <f t="shared" si="13"/>
        <v>1225.3200000000002</v>
      </c>
      <c r="AH13" s="26"/>
      <c r="AI13" s="27"/>
      <c r="AJ13" s="27"/>
      <c r="AK13" s="24">
        <f t="shared" si="3"/>
        <v>4770.33</v>
      </c>
      <c r="AL13" s="28">
        <v>7384</v>
      </c>
      <c r="AM13" s="28">
        <v>6424</v>
      </c>
      <c r="AN13" s="28">
        <f t="shared" si="14"/>
        <v>1181.44</v>
      </c>
      <c r="AO13" s="28">
        <f t="shared" si="15"/>
        <v>664.56</v>
      </c>
      <c r="AP13" s="28">
        <f t="shared" si="5"/>
        <v>36.92</v>
      </c>
      <c r="AQ13" s="28">
        <v>14.77</v>
      </c>
      <c r="AR13" s="28"/>
      <c r="AS13" s="28">
        <f t="shared" si="6"/>
        <v>450</v>
      </c>
      <c r="AT13" s="28">
        <f t="shared" si="7"/>
        <v>110.76</v>
      </c>
      <c r="AU13" s="24">
        <f t="shared" si="8"/>
        <v>2458.4500000000003</v>
      </c>
      <c r="AV13" s="24">
        <v>107</v>
      </c>
      <c r="AW13" s="24">
        <f t="shared" si="9"/>
        <v>8561.1</v>
      </c>
      <c r="AX13" s="34">
        <v>-4.13</v>
      </c>
      <c r="AY13" s="35" t="s">
        <v>101</v>
      </c>
      <c r="AZ13" s="24">
        <v>255</v>
      </c>
      <c r="BA13" s="38">
        <f t="shared" si="10"/>
        <v>8811.9699999999993</v>
      </c>
      <c r="BB13" s="24">
        <f t="shared" si="11"/>
        <v>528.72</v>
      </c>
      <c r="BC13" s="24">
        <f t="shared" si="16"/>
        <v>9340.69</v>
      </c>
      <c r="BD13" s="29">
        <f t="shared" si="17"/>
        <v>102</v>
      </c>
      <c r="BE13" s="40"/>
    </row>
    <row r="14" spans="1:57" s="3" customFormat="1" ht="15" customHeight="1" x14ac:dyDescent="0.25">
      <c r="A14" s="11">
        <f t="shared" si="0"/>
        <v>12</v>
      </c>
      <c r="B14" s="12">
        <v>2502</v>
      </c>
      <c r="C14" s="12" t="s">
        <v>132</v>
      </c>
      <c r="D14" s="11" t="s">
        <v>133</v>
      </c>
      <c r="E14" s="14" t="s">
        <v>134</v>
      </c>
      <c r="F14" s="15">
        <v>45444</v>
      </c>
      <c r="G14" s="15">
        <v>45808</v>
      </c>
      <c r="H14" s="11"/>
      <c r="I14" s="19" t="s">
        <v>99</v>
      </c>
      <c r="J14" s="20">
        <v>1030</v>
      </c>
      <c r="K14" s="21">
        <v>5802.9</v>
      </c>
      <c r="L14" s="21">
        <v>448</v>
      </c>
      <c r="M14" s="21"/>
      <c r="N14" s="21"/>
      <c r="O14" s="21">
        <v>989.43</v>
      </c>
      <c r="P14" s="21"/>
      <c r="Q14" s="21"/>
      <c r="R14" s="21">
        <v>630</v>
      </c>
      <c r="S14" s="21"/>
      <c r="T14" s="21"/>
      <c r="U14" s="21"/>
      <c r="V14" s="21"/>
      <c r="W14" s="21"/>
      <c r="X14" s="21" t="s">
        <v>100</v>
      </c>
      <c r="Y14" s="21">
        <v>0</v>
      </c>
      <c r="Z14" s="24">
        <f t="shared" si="12"/>
        <v>8900.33</v>
      </c>
      <c r="AA14" s="25">
        <v>7384</v>
      </c>
      <c r="AB14" s="25">
        <v>590.72</v>
      </c>
      <c r="AC14" s="25">
        <v>147.68</v>
      </c>
      <c r="AD14" s="25">
        <v>36.92</v>
      </c>
      <c r="AE14" s="25">
        <v>5565</v>
      </c>
      <c r="AF14" s="25">
        <v>390</v>
      </c>
      <c r="AG14" s="24">
        <f t="shared" si="13"/>
        <v>1165.3200000000002</v>
      </c>
      <c r="AH14" s="26"/>
      <c r="AI14" s="27"/>
      <c r="AJ14" s="27"/>
      <c r="AK14" s="24">
        <f t="shared" si="3"/>
        <v>7735.01</v>
      </c>
      <c r="AL14" s="28">
        <v>7384</v>
      </c>
      <c r="AM14" s="28">
        <v>5565</v>
      </c>
      <c r="AN14" s="28">
        <f t="shared" si="14"/>
        <v>1181.44</v>
      </c>
      <c r="AO14" s="28">
        <f t="shared" si="15"/>
        <v>664.56</v>
      </c>
      <c r="AP14" s="28">
        <f t="shared" si="5"/>
        <v>36.92</v>
      </c>
      <c r="AQ14" s="28">
        <v>14.77</v>
      </c>
      <c r="AR14" s="28"/>
      <c r="AS14" s="28">
        <f t="shared" si="6"/>
        <v>390</v>
      </c>
      <c r="AT14" s="28">
        <f t="shared" si="7"/>
        <v>110.76</v>
      </c>
      <c r="AU14" s="24">
        <f t="shared" si="8"/>
        <v>2398.4500000000003</v>
      </c>
      <c r="AV14" s="24">
        <v>165</v>
      </c>
      <c r="AW14" s="24">
        <f t="shared" si="9"/>
        <v>11463.78</v>
      </c>
      <c r="AX14" s="34">
        <v>-4.13</v>
      </c>
      <c r="AY14" s="35" t="s">
        <v>101</v>
      </c>
      <c r="AZ14" s="24">
        <v>255</v>
      </c>
      <c r="BA14" s="38">
        <f t="shared" si="10"/>
        <v>11714.65</v>
      </c>
      <c r="BB14" s="24">
        <f t="shared" si="11"/>
        <v>702.88</v>
      </c>
      <c r="BC14" s="24">
        <f t="shared" si="16"/>
        <v>12417.53</v>
      </c>
      <c r="BD14" s="29">
        <f t="shared" si="17"/>
        <v>160</v>
      </c>
      <c r="BE14" s="40"/>
    </row>
    <row r="15" spans="1:57" s="3" customFormat="1" ht="15" customHeight="1" x14ac:dyDescent="0.25">
      <c r="A15" s="11">
        <f t="shared" si="0"/>
        <v>13</v>
      </c>
      <c r="B15" s="12">
        <v>2502</v>
      </c>
      <c r="C15" s="12" t="s">
        <v>135</v>
      </c>
      <c r="D15" s="11" t="s">
        <v>136</v>
      </c>
      <c r="E15" s="14" t="s">
        <v>137</v>
      </c>
      <c r="F15" s="15">
        <v>45444</v>
      </c>
      <c r="G15" s="15">
        <v>45808</v>
      </c>
      <c r="H15" s="11"/>
      <c r="I15" s="19" t="s">
        <v>99</v>
      </c>
      <c r="J15" s="20">
        <v>1030</v>
      </c>
      <c r="K15" s="21">
        <v>2745</v>
      </c>
      <c r="L15" s="21">
        <v>1611.74</v>
      </c>
      <c r="M15" s="21"/>
      <c r="N15" s="21"/>
      <c r="O15" s="21">
        <v>371.03</v>
      </c>
      <c r="P15" s="21"/>
      <c r="Q15" s="21"/>
      <c r="R15" s="21">
        <v>630</v>
      </c>
      <c r="S15" s="21"/>
      <c r="T15" s="21"/>
      <c r="U15" s="21"/>
      <c r="V15" s="21"/>
      <c r="W15" s="21"/>
      <c r="X15" s="21" t="s">
        <v>100</v>
      </c>
      <c r="Y15" s="21">
        <v>-54.04</v>
      </c>
      <c r="Z15" s="24">
        <f t="shared" si="12"/>
        <v>6333.73</v>
      </c>
      <c r="AA15" s="25">
        <v>7384</v>
      </c>
      <c r="AB15" s="25">
        <v>590.72</v>
      </c>
      <c r="AC15" s="25">
        <v>147.68</v>
      </c>
      <c r="AD15" s="25">
        <v>36.92</v>
      </c>
      <c r="AE15" s="25">
        <v>6727</v>
      </c>
      <c r="AF15" s="25">
        <v>471</v>
      </c>
      <c r="AG15" s="24">
        <f t="shared" si="13"/>
        <v>1246.3200000000002</v>
      </c>
      <c r="AH15" s="26"/>
      <c r="AI15" s="27"/>
      <c r="AJ15" s="27"/>
      <c r="AK15" s="24">
        <f t="shared" si="3"/>
        <v>5087.41</v>
      </c>
      <c r="AL15" s="28">
        <v>7384</v>
      </c>
      <c r="AM15" s="28">
        <v>6727</v>
      </c>
      <c r="AN15" s="28">
        <f t="shared" si="14"/>
        <v>1181.44</v>
      </c>
      <c r="AO15" s="28">
        <f t="shared" si="15"/>
        <v>664.56</v>
      </c>
      <c r="AP15" s="28">
        <f t="shared" si="5"/>
        <v>36.92</v>
      </c>
      <c r="AQ15" s="28">
        <v>14.77</v>
      </c>
      <c r="AR15" s="28"/>
      <c r="AS15" s="28">
        <f t="shared" si="6"/>
        <v>471</v>
      </c>
      <c r="AT15" s="28">
        <f t="shared" si="7"/>
        <v>110.76</v>
      </c>
      <c r="AU15" s="24">
        <f t="shared" si="8"/>
        <v>2479.4500000000003</v>
      </c>
      <c r="AV15" s="24">
        <v>114</v>
      </c>
      <c r="AW15" s="24">
        <f t="shared" si="9"/>
        <v>8927.18</v>
      </c>
      <c r="AX15" s="34">
        <v>-4.13</v>
      </c>
      <c r="AY15" s="35" t="s">
        <v>101</v>
      </c>
      <c r="AZ15" s="24">
        <v>255</v>
      </c>
      <c r="BA15" s="38">
        <f t="shared" si="10"/>
        <v>9178.0499999999993</v>
      </c>
      <c r="BB15" s="24">
        <f t="shared" si="11"/>
        <v>550.67999999999995</v>
      </c>
      <c r="BC15" s="24">
        <f t="shared" si="16"/>
        <v>9728.73</v>
      </c>
      <c r="BD15" s="29">
        <f t="shared" si="17"/>
        <v>109</v>
      </c>
      <c r="BE15" s="40"/>
    </row>
    <row r="16" spans="1:57" s="3" customFormat="1" ht="15" customHeight="1" x14ac:dyDescent="0.25">
      <c r="A16" s="11">
        <f t="shared" si="0"/>
        <v>14</v>
      </c>
      <c r="B16" s="12">
        <v>2502</v>
      </c>
      <c r="C16" s="12" t="s">
        <v>138</v>
      </c>
      <c r="D16" s="11" t="s">
        <v>139</v>
      </c>
      <c r="E16" s="14" t="s">
        <v>140</v>
      </c>
      <c r="F16" s="15">
        <v>45444</v>
      </c>
      <c r="G16" s="15">
        <v>45808</v>
      </c>
      <c r="H16" s="11"/>
      <c r="I16" s="19" t="s">
        <v>99</v>
      </c>
      <c r="J16" s="20">
        <v>900</v>
      </c>
      <c r="K16" s="21">
        <v>2228</v>
      </c>
      <c r="L16" s="21">
        <v>291.64999999999998</v>
      </c>
      <c r="M16" s="21"/>
      <c r="N16" s="21"/>
      <c r="O16" s="21">
        <v>989.43</v>
      </c>
      <c r="P16" s="21"/>
      <c r="Q16" s="21"/>
      <c r="R16" s="21">
        <v>630</v>
      </c>
      <c r="S16" s="21"/>
      <c r="T16" s="21"/>
      <c r="U16" s="21"/>
      <c r="V16" s="21"/>
      <c r="W16" s="21"/>
      <c r="X16" s="21">
        <v>486.67</v>
      </c>
      <c r="Y16" s="21">
        <v>0</v>
      </c>
      <c r="Z16" s="24">
        <f t="shared" si="12"/>
        <v>5525.75</v>
      </c>
      <c r="AA16" s="25">
        <v>7384</v>
      </c>
      <c r="AB16" s="25">
        <v>590.72</v>
      </c>
      <c r="AC16" s="25">
        <v>147.68</v>
      </c>
      <c r="AD16" s="25">
        <v>36.92</v>
      </c>
      <c r="AE16" s="25">
        <v>6228</v>
      </c>
      <c r="AF16" s="25">
        <v>436</v>
      </c>
      <c r="AG16" s="24">
        <f t="shared" si="13"/>
        <v>1211.3200000000002</v>
      </c>
      <c r="AH16" s="26"/>
      <c r="AI16" s="27"/>
      <c r="AJ16" s="27"/>
      <c r="AK16" s="24">
        <f t="shared" si="3"/>
        <v>4314.43</v>
      </c>
      <c r="AL16" s="28">
        <v>7384</v>
      </c>
      <c r="AM16" s="28">
        <v>6228</v>
      </c>
      <c r="AN16" s="28">
        <f t="shared" si="14"/>
        <v>1181.44</v>
      </c>
      <c r="AO16" s="28">
        <f t="shared" si="15"/>
        <v>664.56</v>
      </c>
      <c r="AP16" s="28">
        <f t="shared" si="5"/>
        <v>36.92</v>
      </c>
      <c r="AQ16" s="28">
        <v>14.77</v>
      </c>
      <c r="AR16" s="28"/>
      <c r="AS16" s="28">
        <f t="shared" si="6"/>
        <v>436</v>
      </c>
      <c r="AT16" s="28">
        <f t="shared" si="7"/>
        <v>110.76</v>
      </c>
      <c r="AU16" s="24">
        <f t="shared" si="8"/>
        <v>2444.4500000000003</v>
      </c>
      <c r="AV16" s="24">
        <v>98</v>
      </c>
      <c r="AW16" s="24">
        <f t="shared" si="9"/>
        <v>8068.2000000000007</v>
      </c>
      <c r="AX16" s="34">
        <v>-4.13</v>
      </c>
      <c r="AY16" s="35" t="s">
        <v>101</v>
      </c>
      <c r="AZ16" s="24">
        <v>255</v>
      </c>
      <c r="BA16" s="38">
        <f t="shared" si="10"/>
        <v>8319.07</v>
      </c>
      <c r="BB16" s="24">
        <f t="shared" si="11"/>
        <v>499.14</v>
      </c>
      <c r="BC16" s="24">
        <f t="shared" si="16"/>
        <v>8818.2099999999991</v>
      </c>
      <c r="BD16" s="29">
        <f t="shared" si="17"/>
        <v>93</v>
      </c>
      <c r="BE16" s="40"/>
    </row>
    <row r="17" spans="1:57" s="3" customFormat="1" ht="15" customHeight="1" x14ac:dyDescent="0.25">
      <c r="A17" s="11">
        <f t="shared" si="0"/>
        <v>15</v>
      </c>
      <c r="B17" s="12">
        <v>2502</v>
      </c>
      <c r="C17" s="12" t="s">
        <v>141</v>
      </c>
      <c r="D17" s="11" t="s">
        <v>142</v>
      </c>
      <c r="E17" s="14" t="s">
        <v>143</v>
      </c>
      <c r="F17" s="15">
        <v>45444</v>
      </c>
      <c r="G17" s="15">
        <v>45808</v>
      </c>
      <c r="H17" s="11"/>
      <c r="I17" s="19" t="s">
        <v>99</v>
      </c>
      <c r="J17" s="20">
        <v>900</v>
      </c>
      <c r="K17" s="21">
        <v>3699</v>
      </c>
      <c r="L17" s="21">
        <v>550.4</v>
      </c>
      <c r="M17" s="21"/>
      <c r="N17" s="21"/>
      <c r="O17" s="21">
        <v>989.43</v>
      </c>
      <c r="P17" s="21"/>
      <c r="Q17" s="21"/>
      <c r="R17" s="21">
        <v>630</v>
      </c>
      <c r="S17" s="21"/>
      <c r="T17" s="21"/>
      <c r="U17" s="21"/>
      <c r="V17" s="21"/>
      <c r="W17" s="21"/>
      <c r="X17" s="21">
        <v>362.37000000000103</v>
      </c>
      <c r="Y17" s="21">
        <v>0</v>
      </c>
      <c r="Z17" s="24">
        <f t="shared" si="12"/>
        <v>7131.2000000000007</v>
      </c>
      <c r="AA17" s="25">
        <v>16093</v>
      </c>
      <c r="AB17" s="25">
        <v>1287.44</v>
      </c>
      <c r="AC17" s="25">
        <v>321.86</v>
      </c>
      <c r="AD17" s="25">
        <v>80.47</v>
      </c>
      <c r="AE17" s="25">
        <v>16093</v>
      </c>
      <c r="AF17" s="25">
        <v>1127</v>
      </c>
      <c r="AG17" s="24">
        <f t="shared" si="13"/>
        <v>2816.7700000000004</v>
      </c>
      <c r="AH17" s="26"/>
      <c r="AI17" s="27"/>
      <c r="AJ17" s="27"/>
      <c r="AK17" s="24">
        <f t="shared" si="3"/>
        <v>4314.43</v>
      </c>
      <c r="AL17" s="28">
        <v>16093</v>
      </c>
      <c r="AM17" s="28">
        <v>16093</v>
      </c>
      <c r="AN17" s="28">
        <f t="shared" si="14"/>
        <v>2574.88</v>
      </c>
      <c r="AO17" s="28">
        <v>1448.38</v>
      </c>
      <c r="AP17" s="28">
        <f t="shared" si="5"/>
        <v>80.47</v>
      </c>
      <c r="AQ17" s="28">
        <v>32.19</v>
      </c>
      <c r="AR17" s="28"/>
      <c r="AS17" s="28">
        <f t="shared" si="6"/>
        <v>1127</v>
      </c>
      <c r="AT17" s="28">
        <f t="shared" si="7"/>
        <v>241.4</v>
      </c>
      <c r="AU17" s="24">
        <f t="shared" si="8"/>
        <v>5504.32</v>
      </c>
      <c r="AV17" s="24">
        <v>130</v>
      </c>
      <c r="AW17" s="24">
        <f t="shared" si="9"/>
        <v>12765.52</v>
      </c>
      <c r="AX17" s="34">
        <v>-9.0100000000000104</v>
      </c>
      <c r="AY17" s="35" t="s">
        <v>101</v>
      </c>
      <c r="AZ17" s="24">
        <v>255</v>
      </c>
      <c r="BA17" s="38">
        <f t="shared" si="10"/>
        <v>13011.51</v>
      </c>
      <c r="BB17" s="24">
        <f t="shared" si="11"/>
        <v>780.69</v>
      </c>
      <c r="BC17" s="24">
        <f t="shared" si="16"/>
        <v>13792.2</v>
      </c>
      <c r="BD17" s="29">
        <f t="shared" si="17"/>
        <v>125</v>
      </c>
      <c r="BE17" s="40"/>
    </row>
    <row r="18" spans="1:57" s="3" customFormat="1" ht="15" customHeight="1" x14ac:dyDescent="0.25">
      <c r="A18" s="11">
        <f t="shared" si="0"/>
        <v>16</v>
      </c>
      <c r="B18" s="12">
        <v>2502</v>
      </c>
      <c r="C18" s="12" t="s">
        <v>144</v>
      </c>
      <c r="D18" s="11" t="s">
        <v>145</v>
      </c>
      <c r="E18" s="14" t="s">
        <v>146</v>
      </c>
      <c r="F18" s="15">
        <v>45444</v>
      </c>
      <c r="G18" s="15">
        <v>45808</v>
      </c>
      <c r="H18" s="11"/>
      <c r="I18" s="19" t="s">
        <v>99</v>
      </c>
      <c r="J18" s="20">
        <v>1030</v>
      </c>
      <c r="K18" s="21">
        <v>2368</v>
      </c>
      <c r="L18" s="21">
        <v>923.2</v>
      </c>
      <c r="M18" s="21"/>
      <c r="N18" s="21"/>
      <c r="O18" s="21">
        <v>0</v>
      </c>
      <c r="P18" s="21"/>
      <c r="Q18" s="21"/>
      <c r="R18" s="21">
        <v>630</v>
      </c>
      <c r="S18" s="21"/>
      <c r="T18" s="21"/>
      <c r="U18" s="21"/>
      <c r="V18" s="21"/>
      <c r="W18" s="21"/>
      <c r="X18" s="21" t="s">
        <v>100</v>
      </c>
      <c r="Y18" s="21">
        <v>-259</v>
      </c>
      <c r="Z18" s="24">
        <f t="shared" si="12"/>
        <v>4692.2</v>
      </c>
      <c r="AA18" s="25">
        <v>7384</v>
      </c>
      <c r="AB18" s="25">
        <v>590.72</v>
      </c>
      <c r="AC18" s="25">
        <v>147.68</v>
      </c>
      <c r="AD18" s="25">
        <v>36.92</v>
      </c>
      <c r="AE18" s="25">
        <v>6661</v>
      </c>
      <c r="AF18" s="25">
        <v>466</v>
      </c>
      <c r="AG18" s="24">
        <f t="shared" si="13"/>
        <v>1241.3200000000002</v>
      </c>
      <c r="AH18" s="26"/>
      <c r="AI18" s="27"/>
      <c r="AJ18" s="27"/>
      <c r="AK18" s="24">
        <f t="shared" si="3"/>
        <v>3450.8799999999997</v>
      </c>
      <c r="AL18" s="28">
        <v>7384</v>
      </c>
      <c r="AM18" s="28">
        <v>6661</v>
      </c>
      <c r="AN18" s="28">
        <f t="shared" si="14"/>
        <v>1181.44</v>
      </c>
      <c r="AO18" s="28">
        <f t="shared" si="15"/>
        <v>664.56</v>
      </c>
      <c r="AP18" s="28">
        <f t="shared" si="5"/>
        <v>36.92</v>
      </c>
      <c r="AQ18" s="28">
        <v>14.77</v>
      </c>
      <c r="AR18" s="28"/>
      <c r="AS18" s="28">
        <f t="shared" si="6"/>
        <v>466</v>
      </c>
      <c r="AT18" s="28">
        <f t="shared" si="7"/>
        <v>110.76</v>
      </c>
      <c r="AU18" s="24">
        <f t="shared" si="8"/>
        <v>2474.4500000000003</v>
      </c>
      <c r="AV18" s="24">
        <v>81</v>
      </c>
      <c r="AW18" s="24">
        <f t="shared" si="9"/>
        <v>7247.65</v>
      </c>
      <c r="AX18" s="34">
        <v>-4.13</v>
      </c>
      <c r="AY18" s="35" t="s">
        <v>101</v>
      </c>
      <c r="AZ18" s="24">
        <v>255</v>
      </c>
      <c r="BA18" s="38">
        <f t="shared" si="10"/>
        <v>7498.52</v>
      </c>
      <c r="BB18" s="24">
        <f t="shared" si="11"/>
        <v>449.91</v>
      </c>
      <c r="BC18" s="24">
        <f t="shared" si="16"/>
        <v>7948.43</v>
      </c>
      <c r="BD18" s="29">
        <f t="shared" si="17"/>
        <v>76</v>
      </c>
      <c r="BE18" s="40"/>
    </row>
    <row r="19" spans="1:57" s="3" customFormat="1" ht="15" customHeight="1" x14ac:dyDescent="0.25">
      <c r="A19" s="11">
        <f t="shared" si="0"/>
        <v>17</v>
      </c>
      <c r="B19" s="12">
        <v>2502</v>
      </c>
      <c r="C19" s="12" t="s">
        <v>147</v>
      </c>
      <c r="D19" s="11" t="s">
        <v>148</v>
      </c>
      <c r="E19" s="14" t="s">
        <v>149</v>
      </c>
      <c r="F19" s="15">
        <v>45444</v>
      </c>
      <c r="G19" s="15">
        <v>45808</v>
      </c>
      <c r="H19" s="11"/>
      <c r="I19" s="19" t="s">
        <v>99</v>
      </c>
      <c r="J19" s="20">
        <v>950</v>
      </c>
      <c r="K19" s="21">
        <v>3182</v>
      </c>
      <c r="L19" s="21">
        <v>1912.74</v>
      </c>
      <c r="M19" s="21"/>
      <c r="N19" s="21"/>
      <c r="O19" s="21">
        <v>0</v>
      </c>
      <c r="P19" s="21"/>
      <c r="Q19" s="21"/>
      <c r="R19" s="21">
        <v>630</v>
      </c>
      <c r="S19" s="21"/>
      <c r="T19" s="21"/>
      <c r="U19" s="21"/>
      <c r="V19" s="21"/>
      <c r="W19" s="21"/>
      <c r="X19" s="21" t="s">
        <v>100</v>
      </c>
      <c r="Y19" s="21">
        <v>-280</v>
      </c>
      <c r="Z19" s="24">
        <f t="shared" si="12"/>
        <v>6394.74</v>
      </c>
      <c r="AA19" s="25">
        <v>7384</v>
      </c>
      <c r="AB19" s="25">
        <v>590.72</v>
      </c>
      <c r="AC19" s="25">
        <v>147.68</v>
      </c>
      <c r="AD19" s="25">
        <v>36.92</v>
      </c>
      <c r="AE19" s="25">
        <v>6654</v>
      </c>
      <c r="AF19" s="25">
        <v>466</v>
      </c>
      <c r="AG19" s="24">
        <f t="shared" si="13"/>
        <v>1241.3200000000002</v>
      </c>
      <c r="AH19" s="26"/>
      <c r="AI19" s="27"/>
      <c r="AJ19" s="27"/>
      <c r="AK19" s="24">
        <f t="shared" si="3"/>
        <v>5153.42</v>
      </c>
      <c r="AL19" s="28">
        <v>7384</v>
      </c>
      <c r="AM19" s="28">
        <v>6654</v>
      </c>
      <c r="AN19" s="28">
        <f t="shared" si="14"/>
        <v>1181.44</v>
      </c>
      <c r="AO19" s="28">
        <f t="shared" si="15"/>
        <v>664.56</v>
      </c>
      <c r="AP19" s="28">
        <f t="shared" si="5"/>
        <v>36.92</v>
      </c>
      <c r="AQ19" s="28">
        <v>14.77</v>
      </c>
      <c r="AR19" s="28"/>
      <c r="AS19" s="28">
        <f t="shared" si="6"/>
        <v>466</v>
      </c>
      <c r="AT19" s="28">
        <f t="shared" si="7"/>
        <v>110.76</v>
      </c>
      <c r="AU19" s="24">
        <f t="shared" si="8"/>
        <v>2474.4500000000003</v>
      </c>
      <c r="AV19" s="24">
        <v>115</v>
      </c>
      <c r="AW19" s="24">
        <f t="shared" si="9"/>
        <v>8984.19</v>
      </c>
      <c r="AX19" s="34">
        <v>-4.13</v>
      </c>
      <c r="AY19" s="35" t="s">
        <v>101</v>
      </c>
      <c r="AZ19" s="24">
        <v>255</v>
      </c>
      <c r="BA19" s="38">
        <f t="shared" si="10"/>
        <v>9235.06</v>
      </c>
      <c r="BB19" s="24">
        <f t="shared" si="11"/>
        <v>554.1</v>
      </c>
      <c r="BC19" s="24">
        <f t="shared" si="16"/>
        <v>9789.16</v>
      </c>
      <c r="BD19" s="29">
        <f t="shared" si="17"/>
        <v>110</v>
      </c>
      <c r="BE19" s="40"/>
    </row>
    <row r="20" spans="1:57" s="3" customFormat="1" ht="15" customHeight="1" x14ac:dyDescent="0.25">
      <c r="A20" s="11">
        <f t="shared" si="0"/>
        <v>18</v>
      </c>
      <c r="B20" s="12">
        <v>2502</v>
      </c>
      <c r="C20" s="12" t="s">
        <v>150</v>
      </c>
      <c r="D20" s="11" t="s">
        <v>151</v>
      </c>
      <c r="E20" s="14" t="s">
        <v>152</v>
      </c>
      <c r="F20" s="15">
        <v>45444</v>
      </c>
      <c r="G20" s="15">
        <v>45808</v>
      </c>
      <c r="H20" s="11"/>
      <c r="I20" s="19" t="s">
        <v>99</v>
      </c>
      <c r="J20" s="20">
        <v>1200</v>
      </c>
      <c r="K20" s="21">
        <v>5810</v>
      </c>
      <c r="L20" s="21">
        <v>1661.5</v>
      </c>
      <c r="M20" s="21"/>
      <c r="N20" s="21"/>
      <c r="O20" s="21">
        <v>0</v>
      </c>
      <c r="P20" s="21"/>
      <c r="Q20" s="21"/>
      <c r="R20" s="21">
        <v>630</v>
      </c>
      <c r="S20" s="21"/>
      <c r="T20" s="21"/>
      <c r="U20" s="21"/>
      <c r="V20" s="21"/>
      <c r="W20" s="21"/>
      <c r="X20" s="21" t="s">
        <v>100</v>
      </c>
      <c r="Y20" s="21">
        <v>-878</v>
      </c>
      <c r="Z20" s="24">
        <f t="shared" si="12"/>
        <v>8423.5</v>
      </c>
      <c r="AA20" s="25">
        <v>7923</v>
      </c>
      <c r="AB20" s="25">
        <v>633.84</v>
      </c>
      <c r="AC20" s="25">
        <v>158.46</v>
      </c>
      <c r="AD20" s="25">
        <v>39.619999999999997</v>
      </c>
      <c r="AE20" s="25">
        <v>7923</v>
      </c>
      <c r="AF20" s="25">
        <v>555</v>
      </c>
      <c r="AG20" s="24">
        <f t="shared" si="13"/>
        <v>1386.92</v>
      </c>
      <c r="AH20" s="26"/>
      <c r="AI20" s="27"/>
      <c r="AJ20" s="27"/>
      <c r="AK20" s="24">
        <f t="shared" si="3"/>
        <v>7036.58</v>
      </c>
      <c r="AL20" s="28">
        <v>7923</v>
      </c>
      <c r="AM20" s="28">
        <v>7923</v>
      </c>
      <c r="AN20" s="28">
        <f t="shared" si="14"/>
        <v>1267.68</v>
      </c>
      <c r="AO20" s="28">
        <v>713.08</v>
      </c>
      <c r="AP20" s="28">
        <f t="shared" si="5"/>
        <v>39.619999999999997</v>
      </c>
      <c r="AQ20" s="28">
        <v>15.85</v>
      </c>
      <c r="AR20" s="28"/>
      <c r="AS20" s="28">
        <f t="shared" si="6"/>
        <v>555</v>
      </c>
      <c r="AT20" s="28">
        <f t="shared" si="7"/>
        <v>118.85</v>
      </c>
      <c r="AU20" s="24">
        <f t="shared" si="8"/>
        <v>2710.08</v>
      </c>
      <c r="AV20" s="24">
        <v>156</v>
      </c>
      <c r="AW20" s="24">
        <f t="shared" si="9"/>
        <v>11289.58</v>
      </c>
      <c r="AX20" s="34">
        <v>-4.43</v>
      </c>
      <c r="AY20" s="35" t="s">
        <v>101</v>
      </c>
      <c r="AZ20" s="24">
        <v>255</v>
      </c>
      <c r="BA20" s="38">
        <f t="shared" si="10"/>
        <v>11540.15</v>
      </c>
      <c r="BB20" s="24">
        <f t="shared" si="11"/>
        <v>692.41</v>
      </c>
      <c r="BC20" s="24">
        <f t="shared" si="16"/>
        <v>12232.56</v>
      </c>
      <c r="BD20" s="29">
        <f t="shared" si="17"/>
        <v>151</v>
      </c>
      <c r="BE20" s="40"/>
    </row>
    <row r="21" spans="1:57" s="3" customFormat="1" ht="15" customHeight="1" x14ac:dyDescent="0.25">
      <c r="A21" s="11">
        <f t="shared" si="0"/>
        <v>19</v>
      </c>
      <c r="B21" s="12">
        <v>2502</v>
      </c>
      <c r="C21" s="12" t="s">
        <v>153</v>
      </c>
      <c r="D21" s="11" t="s">
        <v>154</v>
      </c>
      <c r="E21" s="14" t="s">
        <v>155</v>
      </c>
      <c r="F21" s="15">
        <v>45444</v>
      </c>
      <c r="G21" s="15">
        <v>45808</v>
      </c>
      <c r="H21" s="11"/>
      <c r="I21" s="19" t="s">
        <v>99</v>
      </c>
      <c r="J21" s="20">
        <v>1030</v>
      </c>
      <c r="K21" s="21">
        <v>3932.2</v>
      </c>
      <c r="L21" s="21">
        <v>1777.64</v>
      </c>
      <c r="M21" s="21"/>
      <c r="N21" s="21"/>
      <c r="O21" s="21">
        <v>0</v>
      </c>
      <c r="P21" s="21"/>
      <c r="Q21" s="21"/>
      <c r="R21" s="21">
        <v>630</v>
      </c>
      <c r="S21" s="21"/>
      <c r="T21" s="21"/>
      <c r="U21" s="21"/>
      <c r="V21" s="21"/>
      <c r="W21" s="21"/>
      <c r="X21" s="21" t="s">
        <v>100</v>
      </c>
      <c r="Y21" s="21">
        <v>-616.4</v>
      </c>
      <c r="Z21" s="24">
        <f t="shared" si="12"/>
        <v>6753.4400000000005</v>
      </c>
      <c r="AA21" s="25">
        <v>7670</v>
      </c>
      <c r="AB21" s="25">
        <v>613.6</v>
      </c>
      <c r="AC21" s="25">
        <v>153.4</v>
      </c>
      <c r="AD21" s="25">
        <v>38.35</v>
      </c>
      <c r="AE21" s="25">
        <v>7670</v>
      </c>
      <c r="AF21" s="25">
        <v>537</v>
      </c>
      <c r="AG21" s="24">
        <f t="shared" si="13"/>
        <v>1342.35</v>
      </c>
      <c r="AH21" s="26"/>
      <c r="AI21" s="27"/>
      <c r="AJ21" s="27"/>
      <c r="AK21" s="24">
        <f t="shared" si="3"/>
        <v>5411.09</v>
      </c>
      <c r="AL21" s="28">
        <v>7670</v>
      </c>
      <c r="AM21" s="28">
        <v>7670</v>
      </c>
      <c r="AN21" s="28">
        <f t="shared" si="14"/>
        <v>1227.2</v>
      </c>
      <c r="AO21" s="28">
        <f t="shared" si="15"/>
        <v>690.3</v>
      </c>
      <c r="AP21" s="28">
        <f t="shared" si="5"/>
        <v>38.35</v>
      </c>
      <c r="AQ21" s="28">
        <v>15.34</v>
      </c>
      <c r="AR21" s="28"/>
      <c r="AS21" s="28">
        <f t="shared" si="6"/>
        <v>537</v>
      </c>
      <c r="AT21" s="28">
        <f t="shared" si="7"/>
        <v>115.05</v>
      </c>
      <c r="AU21" s="24">
        <f t="shared" si="8"/>
        <v>2623.24</v>
      </c>
      <c r="AV21" s="24">
        <v>122</v>
      </c>
      <c r="AW21" s="24">
        <f t="shared" si="9"/>
        <v>9498.68</v>
      </c>
      <c r="AX21" s="34">
        <v>-4.3</v>
      </c>
      <c r="AY21" s="35" t="s">
        <v>101</v>
      </c>
      <c r="AZ21" s="24">
        <v>255</v>
      </c>
      <c r="BA21" s="38">
        <f t="shared" si="10"/>
        <v>9749.3799999999992</v>
      </c>
      <c r="BB21" s="24">
        <f t="shared" si="11"/>
        <v>584.96</v>
      </c>
      <c r="BC21" s="24">
        <f t="shared" si="16"/>
        <v>10334.34</v>
      </c>
      <c r="BD21" s="29">
        <f t="shared" si="17"/>
        <v>117</v>
      </c>
      <c r="BE21" s="40"/>
    </row>
    <row r="22" spans="1:57" s="3" customFormat="1" ht="15" customHeight="1" x14ac:dyDescent="0.25">
      <c r="A22" s="11">
        <f t="shared" si="0"/>
        <v>20</v>
      </c>
      <c r="B22" s="12">
        <v>2502</v>
      </c>
      <c r="C22" s="12" t="s">
        <v>156</v>
      </c>
      <c r="D22" s="11" t="s">
        <v>157</v>
      </c>
      <c r="E22" s="14" t="s">
        <v>158</v>
      </c>
      <c r="F22" s="15">
        <v>45444</v>
      </c>
      <c r="G22" s="15">
        <v>45808</v>
      </c>
      <c r="H22" s="11"/>
      <c r="I22" s="19" t="s">
        <v>99</v>
      </c>
      <c r="J22" s="20">
        <v>1300</v>
      </c>
      <c r="K22" s="21">
        <v>7087</v>
      </c>
      <c r="L22" s="21">
        <v>609.4</v>
      </c>
      <c r="M22" s="21"/>
      <c r="N22" s="21"/>
      <c r="O22" s="21">
        <v>0</v>
      </c>
      <c r="P22" s="21"/>
      <c r="Q22" s="21"/>
      <c r="R22" s="21">
        <v>630</v>
      </c>
      <c r="S22" s="21"/>
      <c r="T22" s="21"/>
      <c r="U22" s="21"/>
      <c r="V22" s="21"/>
      <c r="W22" s="21"/>
      <c r="X22" s="21" t="s">
        <v>100</v>
      </c>
      <c r="Y22" s="21">
        <v>-280.5</v>
      </c>
      <c r="Z22" s="24">
        <f t="shared" si="12"/>
        <v>9345.9</v>
      </c>
      <c r="AA22" s="25">
        <v>9323</v>
      </c>
      <c r="AB22" s="25">
        <v>745.84</v>
      </c>
      <c r="AC22" s="25">
        <v>186.46</v>
      </c>
      <c r="AD22" s="25">
        <v>46.62</v>
      </c>
      <c r="AE22" s="25">
        <v>9323</v>
      </c>
      <c r="AF22" s="25">
        <v>653</v>
      </c>
      <c r="AG22" s="24">
        <f t="shared" si="13"/>
        <v>1631.92</v>
      </c>
      <c r="AH22" s="26"/>
      <c r="AI22" s="27"/>
      <c r="AJ22" s="27"/>
      <c r="AK22" s="24">
        <f t="shared" si="3"/>
        <v>7713.98</v>
      </c>
      <c r="AL22" s="28">
        <v>9323</v>
      </c>
      <c r="AM22" s="28">
        <v>9323</v>
      </c>
      <c r="AN22" s="28">
        <f t="shared" si="14"/>
        <v>1491.68</v>
      </c>
      <c r="AO22" s="28">
        <v>839.08</v>
      </c>
      <c r="AP22" s="28">
        <f t="shared" si="5"/>
        <v>46.62</v>
      </c>
      <c r="AQ22" s="28">
        <v>18.649999999999999</v>
      </c>
      <c r="AR22" s="28"/>
      <c r="AS22" s="28">
        <f t="shared" si="6"/>
        <v>653</v>
      </c>
      <c r="AT22" s="28">
        <f t="shared" si="7"/>
        <v>139.85</v>
      </c>
      <c r="AU22" s="24">
        <f t="shared" si="8"/>
        <v>3188.88</v>
      </c>
      <c r="AV22" s="24">
        <v>174</v>
      </c>
      <c r="AW22" s="24">
        <f t="shared" si="9"/>
        <v>12708.779999999999</v>
      </c>
      <c r="AX22" s="34">
        <v>-5.22</v>
      </c>
      <c r="AY22" s="35" t="s">
        <v>101</v>
      </c>
      <c r="AZ22" s="24">
        <v>255</v>
      </c>
      <c r="BA22" s="38">
        <f t="shared" si="10"/>
        <v>12958.56</v>
      </c>
      <c r="BB22" s="24">
        <f t="shared" si="11"/>
        <v>777.51</v>
      </c>
      <c r="BC22" s="24">
        <f t="shared" si="16"/>
        <v>13736.07</v>
      </c>
      <c r="BD22" s="29">
        <f t="shared" si="17"/>
        <v>169</v>
      </c>
      <c r="BE22" s="40"/>
    </row>
    <row r="23" spans="1:57" s="3" customFormat="1" ht="15" customHeight="1" x14ac:dyDescent="0.25">
      <c r="A23" s="11">
        <f t="shared" si="0"/>
        <v>21</v>
      </c>
      <c r="B23" s="12">
        <v>2502</v>
      </c>
      <c r="C23" s="12" t="s">
        <v>159</v>
      </c>
      <c r="D23" s="11" t="s">
        <v>160</v>
      </c>
      <c r="E23" s="14" t="s">
        <v>161</v>
      </c>
      <c r="F23" s="15">
        <v>45444</v>
      </c>
      <c r="G23" s="15">
        <v>45808</v>
      </c>
      <c r="H23" s="11"/>
      <c r="I23" s="19" t="s">
        <v>99</v>
      </c>
      <c r="J23" s="20">
        <v>1000</v>
      </c>
      <c r="K23" s="21">
        <v>2087.6</v>
      </c>
      <c r="L23" s="21">
        <v>1062.9000000000001</v>
      </c>
      <c r="M23" s="21"/>
      <c r="N23" s="21"/>
      <c r="O23" s="21">
        <v>0</v>
      </c>
      <c r="P23" s="21"/>
      <c r="Q23" s="21"/>
      <c r="R23" s="21">
        <v>630</v>
      </c>
      <c r="S23" s="21"/>
      <c r="T23" s="21"/>
      <c r="U23" s="21"/>
      <c r="V23" s="21"/>
      <c r="W23" s="21"/>
      <c r="X23" s="21">
        <v>243.92</v>
      </c>
      <c r="Y23" s="21">
        <v>-430.1</v>
      </c>
      <c r="Z23" s="24">
        <f t="shared" si="12"/>
        <v>4594.32</v>
      </c>
      <c r="AA23" s="25">
        <v>7384</v>
      </c>
      <c r="AB23" s="25">
        <v>590.72</v>
      </c>
      <c r="AC23" s="25">
        <v>147.68</v>
      </c>
      <c r="AD23" s="25">
        <v>36.92</v>
      </c>
      <c r="AE23" s="25">
        <v>7055</v>
      </c>
      <c r="AF23" s="25">
        <v>494</v>
      </c>
      <c r="AG23" s="24">
        <f t="shared" si="13"/>
        <v>1269.3200000000002</v>
      </c>
      <c r="AH23" s="26"/>
      <c r="AI23" s="27"/>
      <c r="AJ23" s="27"/>
      <c r="AK23" s="24">
        <f t="shared" si="3"/>
        <v>3324.9999999999995</v>
      </c>
      <c r="AL23" s="28">
        <v>7384</v>
      </c>
      <c r="AM23" s="28">
        <v>7055</v>
      </c>
      <c r="AN23" s="28">
        <f t="shared" si="14"/>
        <v>1181.44</v>
      </c>
      <c r="AO23" s="28">
        <f t="shared" si="15"/>
        <v>664.56</v>
      </c>
      <c r="AP23" s="28">
        <f t="shared" si="5"/>
        <v>36.92</v>
      </c>
      <c r="AQ23" s="28">
        <v>14.77</v>
      </c>
      <c r="AR23" s="28"/>
      <c r="AS23" s="28">
        <f t="shared" si="6"/>
        <v>494</v>
      </c>
      <c r="AT23" s="28">
        <f t="shared" si="7"/>
        <v>110.76</v>
      </c>
      <c r="AU23" s="24">
        <f t="shared" si="8"/>
        <v>2502.4500000000003</v>
      </c>
      <c r="AV23" s="24">
        <v>79</v>
      </c>
      <c r="AW23" s="24">
        <f t="shared" si="9"/>
        <v>7175.77</v>
      </c>
      <c r="AX23" s="34">
        <v>-4.13</v>
      </c>
      <c r="AY23" s="35" t="s">
        <v>101</v>
      </c>
      <c r="AZ23" s="24">
        <v>255</v>
      </c>
      <c r="BA23" s="38">
        <f t="shared" si="10"/>
        <v>7426.64</v>
      </c>
      <c r="BB23" s="24">
        <f t="shared" si="11"/>
        <v>445.6</v>
      </c>
      <c r="BC23" s="24">
        <f t="shared" si="16"/>
        <v>7872.24</v>
      </c>
      <c r="BD23" s="29">
        <f t="shared" si="17"/>
        <v>74</v>
      </c>
      <c r="BE23" s="40"/>
    </row>
    <row r="24" spans="1:57" s="3" customFormat="1" ht="15" customHeight="1" x14ac:dyDescent="0.25">
      <c r="A24" s="11">
        <f t="shared" si="0"/>
        <v>22</v>
      </c>
      <c r="B24" s="12">
        <v>2502</v>
      </c>
      <c r="C24" s="12" t="s">
        <v>162</v>
      </c>
      <c r="D24" s="11" t="s">
        <v>163</v>
      </c>
      <c r="E24" s="14" t="s">
        <v>164</v>
      </c>
      <c r="F24" s="15">
        <v>45444</v>
      </c>
      <c r="G24" s="15">
        <v>45808</v>
      </c>
      <c r="H24" s="11"/>
      <c r="I24" s="19" t="s">
        <v>99</v>
      </c>
      <c r="J24" s="20">
        <v>1300</v>
      </c>
      <c r="K24" s="21">
        <v>3299.2</v>
      </c>
      <c r="L24" s="21">
        <v>1330.6</v>
      </c>
      <c r="M24" s="21"/>
      <c r="N24" s="21"/>
      <c r="O24" s="21">
        <v>0</v>
      </c>
      <c r="P24" s="21"/>
      <c r="Q24" s="21"/>
      <c r="R24" s="21">
        <v>630</v>
      </c>
      <c r="S24" s="21"/>
      <c r="T24" s="21"/>
      <c r="U24" s="21"/>
      <c r="V24" s="21"/>
      <c r="W24" s="21"/>
      <c r="X24" s="21" t="s">
        <v>100</v>
      </c>
      <c r="Y24" s="21">
        <v>-542</v>
      </c>
      <c r="Z24" s="24">
        <f t="shared" si="12"/>
        <v>6017.7999999999993</v>
      </c>
      <c r="AA24" s="25">
        <v>14011</v>
      </c>
      <c r="AB24" s="25">
        <v>1120.8800000000001</v>
      </c>
      <c r="AC24" s="25">
        <v>280.22000000000003</v>
      </c>
      <c r="AD24" s="25">
        <v>70.06</v>
      </c>
      <c r="AE24" s="25">
        <v>14011</v>
      </c>
      <c r="AF24" s="25">
        <v>981</v>
      </c>
      <c r="AG24" s="24">
        <f t="shared" si="13"/>
        <v>2452.16</v>
      </c>
      <c r="AH24" s="26"/>
      <c r="AI24" s="27"/>
      <c r="AJ24" s="27"/>
      <c r="AK24" s="24">
        <f t="shared" si="3"/>
        <v>3565.6399999999994</v>
      </c>
      <c r="AL24" s="28">
        <v>14011</v>
      </c>
      <c r="AM24" s="28">
        <v>14011</v>
      </c>
      <c r="AN24" s="28">
        <f t="shared" si="14"/>
        <v>2241.7600000000002</v>
      </c>
      <c r="AO24" s="28">
        <v>1261</v>
      </c>
      <c r="AP24" s="28">
        <f t="shared" si="5"/>
        <v>70.06</v>
      </c>
      <c r="AQ24" s="28">
        <v>28.02</v>
      </c>
      <c r="AR24" s="28"/>
      <c r="AS24" s="28">
        <f t="shared" si="6"/>
        <v>981</v>
      </c>
      <c r="AT24" s="28">
        <f t="shared" si="7"/>
        <v>210.17</v>
      </c>
      <c r="AU24" s="24">
        <f t="shared" si="8"/>
        <v>4792.01</v>
      </c>
      <c r="AV24" s="24">
        <v>108</v>
      </c>
      <c r="AW24" s="24">
        <f t="shared" si="9"/>
        <v>10917.81</v>
      </c>
      <c r="AX24" s="34">
        <v>-7.85</v>
      </c>
      <c r="AY24" s="35" t="s">
        <v>101</v>
      </c>
      <c r="AZ24" s="24">
        <v>255</v>
      </c>
      <c r="BA24" s="38">
        <f t="shared" si="10"/>
        <v>11164.96</v>
      </c>
      <c r="BB24" s="24">
        <f t="shared" si="11"/>
        <v>669.9</v>
      </c>
      <c r="BC24" s="24">
        <f t="shared" si="16"/>
        <v>11834.86</v>
      </c>
      <c r="BD24" s="29">
        <f t="shared" si="17"/>
        <v>103</v>
      </c>
      <c r="BE24" s="40"/>
    </row>
    <row r="25" spans="1:57" s="3" customFormat="1" ht="15" customHeight="1" x14ac:dyDescent="0.25">
      <c r="A25" s="11">
        <f t="shared" si="0"/>
        <v>23</v>
      </c>
      <c r="B25" s="12">
        <v>2502</v>
      </c>
      <c r="C25" s="12" t="s">
        <v>165</v>
      </c>
      <c r="D25" s="11" t="s">
        <v>166</v>
      </c>
      <c r="E25" s="14" t="s">
        <v>167</v>
      </c>
      <c r="F25" s="15">
        <v>45444</v>
      </c>
      <c r="G25" s="15">
        <v>45808</v>
      </c>
      <c r="H25" s="11"/>
      <c r="I25" s="19" t="s">
        <v>99</v>
      </c>
      <c r="J25" s="20">
        <v>800</v>
      </c>
      <c r="K25" s="21">
        <v>1930</v>
      </c>
      <c r="L25" s="21">
        <v>439.2</v>
      </c>
      <c r="M25" s="21"/>
      <c r="N25" s="21"/>
      <c r="O25" s="21">
        <v>0</v>
      </c>
      <c r="P25" s="21"/>
      <c r="Q25" s="21"/>
      <c r="R25" s="21">
        <v>630</v>
      </c>
      <c r="S25" s="21"/>
      <c r="T25" s="21"/>
      <c r="U25" s="21"/>
      <c r="V25" s="21"/>
      <c r="W25" s="21"/>
      <c r="X25" s="21">
        <v>1028.02</v>
      </c>
      <c r="Y25" s="21">
        <v>0</v>
      </c>
      <c r="Z25" s="24">
        <f t="shared" si="12"/>
        <v>4827.2199999999993</v>
      </c>
      <c r="AA25" s="25">
        <v>8583</v>
      </c>
      <c r="AB25" s="25">
        <v>686.64</v>
      </c>
      <c r="AC25" s="25">
        <v>171.66</v>
      </c>
      <c r="AD25" s="25">
        <v>42.92</v>
      </c>
      <c r="AE25" s="25">
        <v>8583</v>
      </c>
      <c r="AF25" s="25">
        <v>601</v>
      </c>
      <c r="AG25" s="24">
        <f t="shared" si="13"/>
        <v>1502.2199999999998</v>
      </c>
      <c r="AH25" s="26"/>
      <c r="AI25" s="27"/>
      <c r="AJ25" s="27"/>
      <c r="AK25" s="24">
        <f t="shared" si="3"/>
        <v>3324.9999999999995</v>
      </c>
      <c r="AL25" s="28">
        <v>8583</v>
      </c>
      <c r="AM25" s="28">
        <v>8583</v>
      </c>
      <c r="AN25" s="28">
        <f t="shared" si="14"/>
        <v>1373.28</v>
      </c>
      <c r="AO25" s="28">
        <v>772.48</v>
      </c>
      <c r="AP25" s="28">
        <f t="shared" si="5"/>
        <v>42.92</v>
      </c>
      <c r="AQ25" s="28">
        <v>17.170000000000002</v>
      </c>
      <c r="AR25" s="28"/>
      <c r="AS25" s="28">
        <f t="shared" si="6"/>
        <v>601</v>
      </c>
      <c r="AT25" s="28">
        <f t="shared" si="7"/>
        <v>128.75</v>
      </c>
      <c r="AU25" s="24">
        <f t="shared" si="8"/>
        <v>2935.6000000000004</v>
      </c>
      <c r="AV25" s="24">
        <v>84</v>
      </c>
      <c r="AW25" s="24">
        <f t="shared" si="9"/>
        <v>7846.82</v>
      </c>
      <c r="AX25" s="34">
        <v>-4.8</v>
      </c>
      <c r="AY25" s="35" t="s">
        <v>101</v>
      </c>
      <c r="AZ25" s="24">
        <v>255</v>
      </c>
      <c r="BA25" s="38">
        <f t="shared" si="10"/>
        <v>8097.02</v>
      </c>
      <c r="BB25" s="24">
        <f t="shared" si="11"/>
        <v>485.82</v>
      </c>
      <c r="BC25" s="24">
        <f t="shared" si="16"/>
        <v>8582.84</v>
      </c>
      <c r="BD25" s="29">
        <f t="shared" si="17"/>
        <v>79</v>
      </c>
      <c r="BE25" s="40"/>
    </row>
    <row r="26" spans="1:57" s="3" customFormat="1" ht="15" customHeight="1" x14ac:dyDescent="0.25">
      <c r="A26" s="11">
        <f t="shared" si="0"/>
        <v>24</v>
      </c>
      <c r="B26" s="12">
        <v>2502</v>
      </c>
      <c r="C26" s="12" t="s">
        <v>168</v>
      </c>
      <c r="D26" s="11" t="s">
        <v>169</v>
      </c>
      <c r="E26" s="14" t="s">
        <v>170</v>
      </c>
      <c r="F26" s="15">
        <v>45444</v>
      </c>
      <c r="G26" s="15">
        <v>45808</v>
      </c>
      <c r="H26" s="11"/>
      <c r="I26" s="19" t="s">
        <v>99</v>
      </c>
      <c r="J26" s="20">
        <v>900</v>
      </c>
      <c r="K26" s="21">
        <v>3382.95</v>
      </c>
      <c r="L26" s="21">
        <v>492.75</v>
      </c>
      <c r="M26" s="21"/>
      <c r="N26" s="21"/>
      <c r="O26" s="21">
        <v>989.43</v>
      </c>
      <c r="P26" s="21"/>
      <c r="Q26" s="21"/>
      <c r="R26" s="21">
        <v>630</v>
      </c>
      <c r="S26" s="21"/>
      <c r="T26" s="21"/>
      <c r="U26" s="21"/>
      <c r="V26" s="21"/>
      <c r="W26" s="21"/>
      <c r="X26" s="21" t="s">
        <v>100</v>
      </c>
      <c r="Y26" s="21">
        <v>0</v>
      </c>
      <c r="Z26" s="24">
        <f t="shared" si="12"/>
        <v>6395.13</v>
      </c>
      <c r="AA26" s="25">
        <v>7384</v>
      </c>
      <c r="AB26" s="25">
        <v>590.72</v>
      </c>
      <c r="AC26" s="25">
        <v>147.68</v>
      </c>
      <c r="AD26" s="25">
        <v>36.92</v>
      </c>
      <c r="AE26" s="25">
        <v>2690</v>
      </c>
      <c r="AF26" s="25">
        <v>188</v>
      </c>
      <c r="AG26" s="24">
        <f t="shared" si="13"/>
        <v>963.32</v>
      </c>
      <c r="AH26" s="26"/>
      <c r="AI26" s="27"/>
      <c r="AJ26" s="27"/>
      <c r="AK26" s="24">
        <f t="shared" si="3"/>
        <v>5431.81</v>
      </c>
      <c r="AL26" s="28">
        <v>7384</v>
      </c>
      <c r="AM26" s="28">
        <v>2690</v>
      </c>
      <c r="AN26" s="28">
        <f t="shared" si="14"/>
        <v>1181.44</v>
      </c>
      <c r="AO26" s="28">
        <f t="shared" si="15"/>
        <v>664.56</v>
      </c>
      <c r="AP26" s="28">
        <f t="shared" si="5"/>
        <v>36.92</v>
      </c>
      <c r="AQ26" s="28">
        <v>14.77</v>
      </c>
      <c r="AR26" s="28"/>
      <c r="AS26" s="28">
        <f t="shared" si="6"/>
        <v>188</v>
      </c>
      <c r="AT26" s="28">
        <f t="shared" si="7"/>
        <v>110.76</v>
      </c>
      <c r="AU26" s="24">
        <f t="shared" si="8"/>
        <v>2196.4500000000003</v>
      </c>
      <c r="AV26" s="24">
        <v>115</v>
      </c>
      <c r="AW26" s="24">
        <f t="shared" si="9"/>
        <v>8706.58</v>
      </c>
      <c r="AX26" s="34">
        <v>-4.13</v>
      </c>
      <c r="AY26" s="35" t="s">
        <v>101</v>
      </c>
      <c r="AZ26" s="24">
        <v>255</v>
      </c>
      <c r="BA26" s="38">
        <f t="shared" si="10"/>
        <v>8957.4500000000007</v>
      </c>
      <c r="BB26" s="24">
        <f t="shared" si="11"/>
        <v>537.45000000000005</v>
      </c>
      <c r="BC26" s="24">
        <f t="shared" si="16"/>
        <v>9494.9</v>
      </c>
      <c r="BD26" s="29">
        <f t="shared" si="17"/>
        <v>110</v>
      </c>
      <c r="BE26" s="40"/>
    </row>
    <row r="27" spans="1:57" s="3" customFormat="1" ht="15" customHeight="1" x14ac:dyDescent="0.25">
      <c r="A27" s="11">
        <f t="shared" si="0"/>
        <v>25</v>
      </c>
      <c r="B27" s="12">
        <v>2502</v>
      </c>
      <c r="C27" s="12" t="s">
        <v>171</v>
      </c>
      <c r="D27" s="11" t="s">
        <v>172</v>
      </c>
      <c r="E27" s="14" t="s">
        <v>173</v>
      </c>
      <c r="F27" s="15">
        <v>45474</v>
      </c>
      <c r="G27" s="15">
        <v>45900</v>
      </c>
      <c r="H27" s="11"/>
      <c r="I27" s="19" t="s">
        <v>99</v>
      </c>
      <c r="J27" s="20">
        <v>800</v>
      </c>
      <c r="K27" s="21">
        <v>4369</v>
      </c>
      <c r="L27" s="21">
        <v>615.9</v>
      </c>
      <c r="M27" s="21"/>
      <c r="N27" s="21"/>
      <c r="O27" s="21">
        <v>989.43</v>
      </c>
      <c r="P27" s="21"/>
      <c r="Q27" s="21"/>
      <c r="R27" s="21">
        <v>630</v>
      </c>
      <c r="S27" s="21"/>
      <c r="T27" s="21"/>
      <c r="U27" s="21"/>
      <c r="V27" s="21"/>
      <c r="W27" s="21"/>
      <c r="X27" s="21" t="s">
        <v>100</v>
      </c>
      <c r="Y27" s="21">
        <v>0</v>
      </c>
      <c r="Z27" s="24">
        <f t="shared" si="12"/>
        <v>7404.33</v>
      </c>
      <c r="AA27" s="25">
        <v>12197</v>
      </c>
      <c r="AB27" s="25">
        <v>975.76</v>
      </c>
      <c r="AC27" s="25">
        <v>243.94</v>
      </c>
      <c r="AD27" s="25">
        <v>60.99</v>
      </c>
      <c r="AE27" s="25">
        <v>12197</v>
      </c>
      <c r="AF27" s="25">
        <v>854</v>
      </c>
      <c r="AG27" s="24">
        <f t="shared" si="13"/>
        <v>2134.69</v>
      </c>
      <c r="AH27" s="26"/>
      <c r="AI27" s="27"/>
      <c r="AJ27" s="27"/>
      <c r="AK27" s="24">
        <f t="shared" si="3"/>
        <v>5269.6399999999994</v>
      </c>
      <c r="AL27" s="28">
        <v>12197</v>
      </c>
      <c r="AM27" s="28">
        <v>12197</v>
      </c>
      <c r="AN27" s="28">
        <f t="shared" si="14"/>
        <v>1951.52</v>
      </c>
      <c r="AO27" s="28">
        <v>1097.74</v>
      </c>
      <c r="AP27" s="28">
        <f t="shared" si="5"/>
        <v>60.99</v>
      </c>
      <c r="AQ27" s="28">
        <v>24.39</v>
      </c>
      <c r="AR27" s="28"/>
      <c r="AS27" s="28">
        <f t="shared" si="6"/>
        <v>854</v>
      </c>
      <c r="AT27" s="28">
        <f t="shared" si="7"/>
        <v>182.96</v>
      </c>
      <c r="AU27" s="24">
        <f t="shared" si="8"/>
        <v>4171.5999999999995</v>
      </c>
      <c r="AV27" s="24">
        <v>135</v>
      </c>
      <c r="AW27" s="24">
        <f t="shared" si="9"/>
        <v>11710.93</v>
      </c>
      <c r="AX27" s="34">
        <v>-6.83</v>
      </c>
      <c r="AY27" s="35" t="s">
        <v>101</v>
      </c>
      <c r="AZ27" s="24">
        <v>255</v>
      </c>
      <c r="BA27" s="38">
        <f t="shared" si="10"/>
        <v>11959.1</v>
      </c>
      <c r="BB27" s="24">
        <f t="shared" si="11"/>
        <v>717.55</v>
      </c>
      <c r="BC27" s="24">
        <f t="shared" si="16"/>
        <v>12676.65</v>
      </c>
      <c r="BD27" s="29">
        <f t="shared" si="17"/>
        <v>130</v>
      </c>
      <c r="BE27" s="40"/>
    </row>
    <row r="28" spans="1:57" ht="15" customHeight="1" x14ac:dyDescent="0.25"/>
    <row r="29" spans="1:57" s="4" customFormat="1" x14ac:dyDescent="0.25">
      <c r="A29" s="4" t="s">
        <v>174</v>
      </c>
      <c r="Z29" s="4">
        <f>SUBTOTAL(9,Z3:Z27)</f>
        <v>207734.75</v>
      </c>
      <c r="AG29" s="4">
        <f>SUBTOTAL(9,AG3:AG27)</f>
        <v>40464.26</v>
      </c>
      <c r="AK29" s="4">
        <f>SUBTOTAL(9,AK2:AK27)</f>
        <v>167270.49</v>
      </c>
      <c r="AU29" s="4">
        <f>SUBTOTAL(9,AU3:AU27)</f>
        <v>80007.199999999983</v>
      </c>
      <c r="AV29" s="4">
        <f>SUM(AV3:AV27)</f>
        <v>3850</v>
      </c>
      <c r="AW29" s="4">
        <f>SUBTOTAL(9,AW3:AW27)</f>
        <v>291591.95</v>
      </c>
      <c r="AX29" s="36">
        <f>SUBTOTAL(9,AX3:AX27)</f>
        <v>-136.63999999999999</v>
      </c>
      <c r="AZ29" s="4">
        <f>SUBTOTAL(9,AZ3:AZ27)</f>
        <v>6120</v>
      </c>
      <c r="BA29" s="39">
        <f>SUBTOTAL(9,BA3:BA27)</f>
        <v>297575.31</v>
      </c>
      <c r="BB29" s="4">
        <f>SUBTOTAL(9,BB3:BB27)</f>
        <v>17854.510000000002</v>
      </c>
      <c r="BC29" s="4">
        <f>SUBTOTAL(9,BC3:BC27)</f>
        <v>315429.82</v>
      </c>
      <c r="BD29" s="4">
        <f>SUBTOTAL(9,BD3:BD27)</f>
        <v>3725</v>
      </c>
    </row>
    <row r="31" spans="1:57" x14ac:dyDescent="0.25">
      <c r="BA31" s="104"/>
    </row>
  </sheetData>
  <autoFilter ref="A2:BE27" xr:uid="{00000000-0009-0000-0000-000000000000}">
    <filterColumn colId="3">
      <colorFilter dxfId="15"/>
      <extLst>
        <colorFilter dxfId="0"/>
        <colorFilter dxfId="1"/>
        <dxfs count="2">
          <dxf>
            <fill>
              <patternFill patternType="none"/>
            </fill>
          </dxf>
          <dxf>
            <fill>
              <patternFill patternType="solid">
                <fgColor rgb="FFFFFF00"/>
                <bgColor rgb="FFFFFF00"/>
              </patternFill>
            </fill>
          </dxf>
        </dxfs>
      </extLst>
    </filterColumn>
  </autoFilter>
  <mergeCells count="1">
    <mergeCell ref="M1:Y1"/>
  </mergeCells>
  <phoneticPr fontId="14" type="noConversion"/>
  <conditionalFormatting sqref="C1">
    <cfRule type="duplicateValues" dxfId="14" priority="155"/>
    <cfRule type="duplicateValues" dxfId="13" priority="156"/>
    <cfRule type="duplicateValues" dxfId="12" priority="157"/>
    <cfRule type="duplicateValues" dxfId="11" priority="158"/>
    <cfRule type="duplicateValues" dxfId="10" priority="159"/>
    <cfRule type="duplicateValues" dxfId="9" priority="160"/>
  </conditionalFormatting>
  <conditionalFormatting sqref="D1">
    <cfRule type="duplicateValues" dxfId="8" priority="198"/>
    <cfRule type="duplicateValues" dxfId="7" priority="199"/>
    <cfRule type="duplicateValues" dxfId="6" priority="200"/>
  </conditionalFormatting>
  <conditionalFormatting sqref="C2">
    <cfRule type="duplicateValues" dxfId="5" priority="152"/>
    <cfRule type="duplicateValues" dxfId="4" priority="153"/>
    <cfRule type="duplicateValues" dxfId="3" priority="154"/>
  </conditionalFormatting>
  <conditionalFormatting sqref="D2">
    <cfRule type="duplicateValues" dxfId="2" priority="201"/>
    <cfRule type="duplicateValues" dxfId="1" priority="202"/>
    <cfRule type="duplicateValues" dxfId="0" priority="20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8B5DC-99CB-4F27-A62F-CFDAC32B86EF}">
  <dimension ref="A1:J20"/>
  <sheetViews>
    <sheetView tabSelected="1" workbookViewId="0">
      <selection activeCell="G24" sqref="G23:G24"/>
    </sheetView>
  </sheetViews>
  <sheetFormatPr defaultRowHeight="13.8" x14ac:dyDescent="0.25"/>
  <cols>
    <col min="1" max="1" width="21.6640625" customWidth="1"/>
    <col min="2" max="2" width="17.88671875" customWidth="1"/>
    <col min="3" max="3" width="20.33203125" customWidth="1"/>
    <col min="4" max="4" width="16.88671875" customWidth="1"/>
    <col min="5" max="5" width="25.33203125" customWidth="1"/>
    <col min="6" max="6" width="23.6640625" customWidth="1"/>
    <col min="7" max="8" width="19.77734375" customWidth="1"/>
    <col min="9" max="9" width="19.33203125" customWidth="1"/>
    <col min="10" max="10" width="11.77734375" customWidth="1"/>
  </cols>
  <sheetData>
    <row r="1" spans="1:10" x14ac:dyDescent="0.25">
      <c r="A1" s="93" t="s">
        <v>311</v>
      </c>
      <c r="B1" s="94" t="s">
        <v>312</v>
      </c>
      <c r="C1" s="94" t="s">
        <v>313</v>
      </c>
      <c r="D1" s="94">
        <v>155</v>
      </c>
      <c r="E1" s="94" t="s">
        <v>314</v>
      </c>
      <c r="F1" s="94" t="s">
        <v>315</v>
      </c>
      <c r="G1" s="94" t="s">
        <v>316</v>
      </c>
      <c r="H1" s="94" t="s">
        <v>317</v>
      </c>
      <c r="I1" s="94" t="s">
        <v>174</v>
      </c>
      <c r="J1" s="95" t="s">
        <v>318</v>
      </c>
    </row>
    <row r="2" spans="1:10" x14ac:dyDescent="0.25">
      <c r="A2" s="93" t="s">
        <v>187</v>
      </c>
      <c r="B2" s="94">
        <f>'202502'!BB29</f>
        <v>17854.510000000002</v>
      </c>
      <c r="C2" s="94">
        <f>系统!E41</f>
        <v>19801.400000000001</v>
      </c>
      <c r="D2" s="94">
        <f>24*155</f>
        <v>3720</v>
      </c>
      <c r="E2" s="94"/>
      <c r="F2" s="94"/>
      <c r="G2" s="94"/>
      <c r="H2" s="94"/>
      <c r="I2" s="94">
        <f>SUM(C2:G2)</f>
        <v>23521.4</v>
      </c>
      <c r="J2" s="96">
        <f t="shared" ref="J2:J10" si="0">B2-C2</f>
        <v>-1946.8899999999994</v>
      </c>
    </row>
    <row r="3" spans="1:10" x14ac:dyDescent="0.25">
      <c r="A3" s="93" t="s">
        <v>319</v>
      </c>
      <c r="B3" s="94">
        <f>'202502'!AZ29</f>
        <v>6120</v>
      </c>
      <c r="C3" s="94">
        <v>0</v>
      </c>
      <c r="D3" s="94"/>
      <c r="E3" s="94"/>
      <c r="F3" s="94"/>
      <c r="G3" s="94"/>
      <c r="H3" s="94"/>
      <c r="I3" s="94">
        <f>SUM(C3:G3)</f>
        <v>0</v>
      </c>
      <c r="J3" s="96">
        <f t="shared" si="0"/>
        <v>6120</v>
      </c>
    </row>
    <row r="4" spans="1:10" x14ac:dyDescent="0.25">
      <c r="A4" s="93" t="s">
        <v>320</v>
      </c>
      <c r="B4" s="94">
        <f>'202502'!AG29</f>
        <v>40464.26</v>
      </c>
      <c r="C4" s="94">
        <f>系统!V41</f>
        <v>40464.259999999995</v>
      </c>
      <c r="D4" s="94"/>
      <c r="E4" s="94"/>
      <c r="F4" s="94"/>
      <c r="G4" s="94"/>
      <c r="H4" s="94"/>
      <c r="I4" s="94">
        <f>SUM(C4:G4)</f>
        <v>40464.259999999995</v>
      </c>
      <c r="J4" s="96">
        <f t="shared" si="0"/>
        <v>0</v>
      </c>
    </row>
    <row r="5" spans="1:10" x14ac:dyDescent="0.25">
      <c r="A5" s="93" t="s">
        <v>321</v>
      </c>
      <c r="B5" s="94">
        <f>'202502'!AU29</f>
        <v>80007.199999999983</v>
      </c>
      <c r="C5" s="94">
        <f>系统!O41</f>
        <v>80007.199999999997</v>
      </c>
      <c r="D5" s="94"/>
      <c r="E5" s="97"/>
      <c r="F5" s="94"/>
      <c r="G5" s="94"/>
      <c r="H5" s="94"/>
      <c r="I5" s="94">
        <f>SUM(C5:E5)</f>
        <v>80007.199999999997</v>
      </c>
      <c r="J5" s="96">
        <f t="shared" si="0"/>
        <v>0</v>
      </c>
    </row>
    <row r="6" spans="1:10" x14ac:dyDescent="0.25">
      <c r="A6" s="93" t="s">
        <v>322</v>
      </c>
      <c r="B6" s="94"/>
      <c r="C6" s="94"/>
      <c r="D6" s="94"/>
      <c r="E6" s="94"/>
      <c r="F6" s="94"/>
      <c r="G6" s="94"/>
      <c r="H6" s="94"/>
      <c r="I6" s="94">
        <f t="shared" ref="I6:I10" si="1">SUM(C6:G6)</f>
        <v>0</v>
      </c>
      <c r="J6" s="96">
        <f t="shared" si="0"/>
        <v>0</v>
      </c>
    </row>
    <row r="7" spans="1:10" x14ac:dyDescent="0.25">
      <c r="A7" s="93" t="s">
        <v>323</v>
      </c>
      <c r="B7" s="94">
        <f>'202502'!Z29-'202502'!AG29</f>
        <v>167270.49</v>
      </c>
      <c r="C7" s="94">
        <f>系统!W41</f>
        <v>167150.49000000002</v>
      </c>
      <c r="D7" s="94">
        <f>5*24-0.09</f>
        <v>119.91</v>
      </c>
      <c r="E7" s="94"/>
      <c r="F7" s="94"/>
      <c r="G7" s="94"/>
      <c r="H7" s="94"/>
      <c r="I7" s="94">
        <f t="shared" si="1"/>
        <v>167270.40000000002</v>
      </c>
      <c r="J7" s="96">
        <f t="shared" si="0"/>
        <v>119.9999999999709</v>
      </c>
    </row>
    <row r="8" spans="1:10" x14ac:dyDescent="0.25">
      <c r="A8" s="93" t="s">
        <v>324</v>
      </c>
      <c r="B8" s="94"/>
      <c r="C8" s="94"/>
      <c r="D8" s="94"/>
      <c r="E8" s="98"/>
      <c r="F8" s="98"/>
      <c r="G8" s="99"/>
      <c r="H8" s="99"/>
      <c r="I8" s="94">
        <f t="shared" si="1"/>
        <v>0</v>
      </c>
      <c r="J8" s="96">
        <f t="shared" si="0"/>
        <v>0</v>
      </c>
    </row>
    <row r="9" spans="1:10" x14ac:dyDescent="0.25">
      <c r="A9" s="93" t="s">
        <v>325</v>
      </c>
      <c r="B9" s="94">
        <f>'202502'!AV29</f>
        <v>3850</v>
      </c>
      <c r="C9" s="94"/>
      <c r="D9" s="94">
        <f>B10</f>
        <v>-136.63999999999999</v>
      </c>
      <c r="E9" s="94"/>
      <c r="F9" s="94">
        <f>B9</f>
        <v>3850</v>
      </c>
      <c r="G9" s="99"/>
      <c r="H9" s="99"/>
      <c r="I9" s="94">
        <f t="shared" si="1"/>
        <v>3713.36</v>
      </c>
      <c r="J9" s="96">
        <f t="shared" si="0"/>
        <v>3850</v>
      </c>
    </row>
    <row r="10" spans="1:10" x14ac:dyDescent="0.25">
      <c r="A10" s="93" t="s">
        <v>326</v>
      </c>
      <c r="B10" s="94">
        <f>'202502'!AX29</f>
        <v>-136.63999999999999</v>
      </c>
      <c r="C10" s="94"/>
      <c r="D10" s="94"/>
      <c r="E10" s="94"/>
      <c r="F10" s="94"/>
      <c r="G10" s="94"/>
      <c r="H10" s="94"/>
      <c r="I10" s="94">
        <f t="shared" si="1"/>
        <v>0</v>
      </c>
      <c r="J10" s="96">
        <f t="shared" si="0"/>
        <v>-136.63999999999999</v>
      </c>
    </row>
    <row r="11" spans="1:10" x14ac:dyDescent="0.25">
      <c r="A11" s="100" t="s">
        <v>327</v>
      </c>
      <c r="B11" s="101">
        <f t="shared" ref="B11" si="2">SUM(B2:B10)</f>
        <v>315429.81999999995</v>
      </c>
      <c r="C11" s="101">
        <f>SUM(C2:C10)</f>
        <v>307423.34999999998</v>
      </c>
      <c r="D11" s="101">
        <f>SUM(D2:D10)</f>
        <v>3703.27</v>
      </c>
      <c r="E11" s="101">
        <f>E5</f>
        <v>0</v>
      </c>
      <c r="F11" s="101">
        <f>F9</f>
        <v>3850</v>
      </c>
      <c r="G11" s="101">
        <f>G9</f>
        <v>0</v>
      </c>
      <c r="H11" s="101">
        <f>H9</f>
        <v>0</v>
      </c>
      <c r="I11" s="101">
        <f>SUM(C11:G11)</f>
        <v>314976.62</v>
      </c>
    </row>
    <row r="12" spans="1:10" x14ac:dyDescent="0.25">
      <c r="A12" s="93" t="s">
        <v>328</v>
      </c>
      <c r="B12" s="94"/>
      <c r="C12" s="94"/>
      <c r="D12" s="94"/>
      <c r="E12" s="94"/>
      <c r="F12" s="94"/>
      <c r="G12" s="94"/>
      <c r="H12" s="94"/>
      <c r="I12" s="94"/>
    </row>
    <row r="13" spans="1:10" x14ac:dyDescent="0.25">
      <c r="A13" s="93" t="s">
        <v>41</v>
      </c>
      <c r="B13" s="94"/>
      <c r="C13" s="94"/>
      <c r="D13" s="94">
        <f>ROUND((D11+D12)*6%,2)</f>
        <v>222.2</v>
      </c>
      <c r="E13" s="94"/>
      <c r="F13" s="94">
        <f>ROUND((F11+F12)*6%,2)</f>
        <v>231</v>
      </c>
      <c r="G13" s="94">
        <f>ROUND((G11+G12)*6%,2)</f>
        <v>0</v>
      </c>
      <c r="H13" s="94">
        <f>ROUND((H11+H12)*6%,2)</f>
        <v>0</v>
      </c>
      <c r="I13" s="94">
        <f>SUM(C13:G13)</f>
        <v>453.2</v>
      </c>
    </row>
    <row r="14" spans="1:10" x14ac:dyDescent="0.25">
      <c r="A14" s="102" t="s">
        <v>42</v>
      </c>
      <c r="B14" s="103">
        <f>SUM(B11:B13)</f>
        <v>315429.81999999995</v>
      </c>
      <c r="C14" s="103">
        <f t="shared" ref="C14" si="3">SUM(C11:C13)</f>
        <v>307423.34999999998</v>
      </c>
      <c r="D14" s="103">
        <f>SUM(D11:D13)</f>
        <v>3925.47</v>
      </c>
      <c r="E14" s="103">
        <f>E11</f>
        <v>0</v>
      </c>
      <c r="F14" s="103">
        <f>SUM(F11:F13)</f>
        <v>4081</v>
      </c>
      <c r="G14" s="103">
        <f>SUM(G11:G13)</f>
        <v>0</v>
      </c>
      <c r="H14" s="103">
        <f>SUM(H11:H13)</f>
        <v>0</v>
      </c>
      <c r="I14" s="103">
        <f>SUM(C14:H14)</f>
        <v>315429.81999999995</v>
      </c>
    </row>
    <row r="15" spans="1:10" x14ac:dyDescent="0.25">
      <c r="A15" s="102" t="s">
        <v>329</v>
      </c>
      <c r="B15" s="103"/>
      <c r="C15" s="103"/>
      <c r="D15" s="103"/>
      <c r="E15" s="103"/>
      <c r="F15" s="103"/>
      <c r="G15" s="103"/>
      <c r="H15" s="103"/>
      <c r="I15" s="103">
        <f>B14</f>
        <v>315429.81999999995</v>
      </c>
    </row>
    <row r="16" spans="1:10" x14ac:dyDescent="0.25">
      <c r="A16" s="93" t="s">
        <v>330</v>
      </c>
      <c r="B16" s="94"/>
      <c r="C16" s="94"/>
      <c r="D16" s="94"/>
      <c r="E16" s="94"/>
      <c r="F16" s="94"/>
      <c r="G16" s="94"/>
      <c r="H16" s="94"/>
      <c r="I16" s="94">
        <f>I15-I14</f>
        <v>0</v>
      </c>
    </row>
    <row r="17" spans="1:9" x14ac:dyDescent="0.25">
      <c r="A17" s="93" t="s">
        <v>331</v>
      </c>
      <c r="B17" s="94"/>
      <c r="C17" s="94"/>
      <c r="D17" s="94"/>
      <c r="E17" s="94"/>
      <c r="F17" s="94"/>
      <c r="G17" s="94"/>
      <c r="H17" s="94"/>
      <c r="I17" s="94">
        <f>ROUND(I16/1.06,2)</f>
        <v>0</v>
      </c>
    </row>
    <row r="19" spans="1:9" x14ac:dyDescent="0.25">
      <c r="C19" s="96"/>
      <c r="D19" s="96"/>
    </row>
    <row r="20" spans="1:9" x14ac:dyDescent="0.25">
      <c r="B20" s="96"/>
    </row>
  </sheetData>
  <phoneticPr fontId="14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1273E-AA37-49A2-8529-C4D6A49DA108}">
  <dimension ref="A1:AE94"/>
  <sheetViews>
    <sheetView topLeftCell="A45" workbookViewId="0">
      <selection activeCell="F7" sqref="F7"/>
    </sheetView>
  </sheetViews>
  <sheetFormatPr defaultRowHeight="13.8" x14ac:dyDescent="0.25"/>
  <cols>
    <col min="1" max="4" width="8.88671875" style="45"/>
    <col min="5" max="24" width="8.88671875" style="46"/>
    <col min="25" max="25" width="10.21875" style="46" bestFit="1" customWidth="1"/>
    <col min="26" max="27" width="8.88671875" style="45"/>
    <col min="28" max="28" width="15.77734375" style="45" customWidth="1"/>
    <col min="29" max="29" width="8.88671875" style="46"/>
    <col min="30" max="30" width="8.88671875" style="45"/>
    <col min="31" max="31" width="8.88671875" style="46"/>
    <col min="32" max="16384" width="8.88671875" style="45"/>
  </cols>
  <sheetData>
    <row r="1" spans="1:31" x14ac:dyDescent="0.25">
      <c r="A1" s="44" t="s">
        <v>175</v>
      </c>
    </row>
    <row r="2" spans="1:31" x14ac:dyDescent="0.25">
      <c r="A2" s="44" t="s">
        <v>176</v>
      </c>
    </row>
    <row r="3" spans="1:31" x14ac:dyDescent="0.25">
      <c r="B3" s="44" t="s">
        <v>177</v>
      </c>
    </row>
    <row r="6" spans="1:31" ht="20.399999999999999" x14ac:dyDescent="0.25">
      <c r="D6" s="47" t="s">
        <v>178</v>
      </c>
    </row>
    <row r="7" spans="1:31" ht="20.399999999999999" x14ac:dyDescent="0.25">
      <c r="C7" s="47" t="s">
        <v>179</v>
      </c>
    </row>
    <row r="9" spans="1:31" ht="20.399999999999999" x14ac:dyDescent="0.25">
      <c r="E9" s="48" t="s">
        <v>180</v>
      </c>
    </row>
    <row r="10" spans="1:31" ht="20.399999999999999" x14ac:dyDescent="0.25">
      <c r="E10" s="48" t="s">
        <v>181</v>
      </c>
    </row>
    <row r="11" spans="1:31" ht="15.6" x14ac:dyDescent="0.25">
      <c r="E11" s="49" t="s">
        <v>182</v>
      </c>
    </row>
    <row r="13" spans="1:31" s="51" customFormat="1" ht="13.2" x14ac:dyDescent="0.25">
      <c r="A13" s="50" t="s">
        <v>183</v>
      </c>
      <c r="E13" s="52"/>
      <c r="F13" s="52"/>
      <c r="G13" s="52"/>
      <c r="H13" s="52"/>
      <c r="I13" s="52"/>
      <c r="J13" s="53" t="s">
        <v>184</v>
      </c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AC13" s="52"/>
      <c r="AE13" s="52"/>
    </row>
    <row r="14" spans="1:31" s="54" customFormat="1" ht="60" customHeight="1" x14ac:dyDescent="0.15">
      <c r="A14" s="54" t="s">
        <v>0</v>
      </c>
      <c r="B14" s="54" t="s">
        <v>3</v>
      </c>
      <c r="C14" s="54" t="s">
        <v>185</v>
      </c>
      <c r="D14" s="54" t="s">
        <v>186</v>
      </c>
      <c r="E14" s="55" t="s">
        <v>187</v>
      </c>
      <c r="F14" s="55" t="s">
        <v>188</v>
      </c>
      <c r="G14" s="55" t="s">
        <v>189</v>
      </c>
      <c r="H14" s="56" t="s">
        <v>190</v>
      </c>
      <c r="I14" s="57"/>
      <c r="J14" s="57"/>
      <c r="K14" s="57"/>
      <c r="L14" s="57"/>
      <c r="M14" s="58"/>
      <c r="N14" s="59" t="s">
        <v>191</v>
      </c>
      <c r="O14" s="55" t="s">
        <v>192</v>
      </c>
      <c r="P14" s="56" t="s">
        <v>193</v>
      </c>
      <c r="Q14" s="57"/>
      <c r="R14" s="57"/>
      <c r="S14" s="57"/>
      <c r="T14" s="58"/>
      <c r="U14" s="59" t="s">
        <v>194</v>
      </c>
      <c r="V14" s="55" t="s">
        <v>195</v>
      </c>
      <c r="W14" s="55" t="s">
        <v>196</v>
      </c>
      <c r="X14" s="55" t="s">
        <v>197</v>
      </c>
      <c r="Y14" s="60" t="s">
        <v>42</v>
      </c>
      <c r="Z14" s="54" t="s">
        <v>198</v>
      </c>
      <c r="AA14" s="54" t="s">
        <v>199</v>
      </c>
      <c r="AB14" s="54" t="s">
        <v>200</v>
      </c>
      <c r="AC14" s="55" t="s">
        <v>201</v>
      </c>
      <c r="AD14" s="54" t="s">
        <v>202</v>
      </c>
      <c r="AE14" s="55" t="s">
        <v>41</v>
      </c>
    </row>
    <row r="15" spans="1:31" s="61" customFormat="1" ht="60" customHeight="1" x14ac:dyDescent="0.25">
      <c r="A15" s="61" t="s">
        <v>203</v>
      </c>
      <c r="B15" s="61" t="s">
        <v>47</v>
      </c>
      <c r="C15" s="61" t="s">
        <v>204</v>
      </c>
      <c r="D15" s="61" t="s">
        <v>205</v>
      </c>
      <c r="E15" s="62" t="s">
        <v>206</v>
      </c>
      <c r="F15" s="62" t="s">
        <v>207</v>
      </c>
      <c r="G15" s="62" t="s">
        <v>208</v>
      </c>
      <c r="H15" s="63" t="s">
        <v>209</v>
      </c>
      <c r="I15" s="63" t="s">
        <v>210</v>
      </c>
      <c r="J15" s="63" t="s">
        <v>211</v>
      </c>
      <c r="K15" s="63" t="s">
        <v>212</v>
      </c>
      <c r="L15" s="63" t="s">
        <v>213</v>
      </c>
      <c r="M15" s="63" t="s">
        <v>214</v>
      </c>
      <c r="N15" s="63" t="s">
        <v>215</v>
      </c>
      <c r="O15" s="62" t="s">
        <v>216</v>
      </c>
      <c r="P15" s="63" t="s">
        <v>209</v>
      </c>
      <c r="Q15" s="63" t="s">
        <v>210</v>
      </c>
      <c r="R15" s="63" t="s">
        <v>211</v>
      </c>
      <c r="S15" s="63" t="s">
        <v>212</v>
      </c>
      <c r="T15" s="63" t="s">
        <v>213</v>
      </c>
      <c r="U15" s="63" t="s">
        <v>215</v>
      </c>
      <c r="V15" s="62" t="s">
        <v>217</v>
      </c>
      <c r="W15" s="62" t="s">
        <v>218</v>
      </c>
      <c r="X15" s="62" t="s">
        <v>219</v>
      </c>
      <c r="Y15" s="64" t="s">
        <v>93</v>
      </c>
      <c r="Z15" s="61" t="s">
        <v>220</v>
      </c>
      <c r="AA15" s="61" t="s">
        <v>221</v>
      </c>
      <c r="AB15" s="61" t="s">
        <v>222</v>
      </c>
      <c r="AC15" s="62" t="s">
        <v>223</v>
      </c>
      <c r="AD15" s="61" t="s">
        <v>224</v>
      </c>
      <c r="AE15" s="62" t="s">
        <v>94</v>
      </c>
    </row>
    <row r="16" spans="1:31" s="65" customFormat="1" ht="11.4" x14ac:dyDescent="0.25">
      <c r="A16" s="65">
        <v>1</v>
      </c>
      <c r="B16" s="65" t="s">
        <v>118</v>
      </c>
      <c r="C16" s="65" t="s">
        <v>225</v>
      </c>
      <c r="D16" s="65" t="s">
        <v>226</v>
      </c>
      <c r="E16" s="66">
        <v>1878.16</v>
      </c>
      <c r="F16" s="66"/>
      <c r="G16" s="66"/>
      <c r="H16" s="66"/>
      <c r="I16" s="66"/>
      <c r="J16" s="66"/>
      <c r="K16" s="66"/>
      <c r="L16" s="66"/>
      <c r="M16" s="66"/>
      <c r="N16" s="66"/>
      <c r="O16" s="66">
        <f t="shared" ref="O16:O40" si="0">SUM(H16:N16)</f>
        <v>0</v>
      </c>
      <c r="P16" s="66"/>
      <c r="Q16" s="66"/>
      <c r="R16" s="66"/>
      <c r="S16" s="66"/>
      <c r="T16" s="66"/>
      <c r="U16" s="66"/>
      <c r="V16" s="66">
        <f t="shared" ref="V16:V40" si="1">SUM(P16:U16)</f>
        <v>0</v>
      </c>
      <c r="W16" s="66">
        <v>31302.6</v>
      </c>
      <c r="X16" s="66"/>
      <c r="Y16" s="67">
        <f t="shared" ref="Y16:Y39" si="2">SUM(E16,O16,V16:X16)</f>
        <v>33180.76</v>
      </c>
      <c r="AA16" s="65" t="s">
        <v>227</v>
      </c>
      <c r="AB16" s="65" t="s">
        <v>119</v>
      </c>
      <c r="AC16" s="68">
        <v>31302.6</v>
      </c>
      <c r="AD16" s="65" t="s">
        <v>228</v>
      </c>
      <c r="AE16" s="68">
        <v>1878.16</v>
      </c>
    </row>
    <row r="17" spans="1:31" s="65" customFormat="1" ht="11.4" x14ac:dyDescent="0.25">
      <c r="A17" s="65">
        <v>2</v>
      </c>
      <c r="B17" s="65" t="s">
        <v>124</v>
      </c>
      <c r="C17" s="65" t="s">
        <v>225</v>
      </c>
      <c r="D17" s="65" t="s">
        <v>226</v>
      </c>
      <c r="E17" s="66">
        <v>595.80999999999995</v>
      </c>
      <c r="F17" s="66">
        <v>7384</v>
      </c>
      <c r="G17" s="66">
        <v>6812</v>
      </c>
      <c r="H17" s="66">
        <v>1181.44</v>
      </c>
      <c r="I17" s="66">
        <v>664.56</v>
      </c>
      <c r="J17" s="66">
        <v>36.92</v>
      </c>
      <c r="K17" s="66">
        <v>14.77</v>
      </c>
      <c r="L17" s="66"/>
      <c r="M17" s="66">
        <v>110.76</v>
      </c>
      <c r="N17" s="66">
        <v>477</v>
      </c>
      <c r="O17" s="66">
        <f t="shared" si="0"/>
        <v>2485.4499999999998</v>
      </c>
      <c r="P17" s="66">
        <v>590.72</v>
      </c>
      <c r="Q17" s="66">
        <v>147.68</v>
      </c>
      <c r="R17" s="66">
        <v>36.92</v>
      </c>
      <c r="S17" s="66"/>
      <c r="T17" s="66"/>
      <c r="U17" s="66">
        <v>477</v>
      </c>
      <c r="V17" s="66">
        <f t="shared" si="1"/>
        <v>1252.3200000000002</v>
      </c>
      <c r="W17" s="66">
        <v>4425.59</v>
      </c>
      <c r="X17" s="66"/>
      <c r="Y17" s="67">
        <f t="shared" si="2"/>
        <v>8759.17</v>
      </c>
      <c r="AA17" s="65" t="s">
        <v>229</v>
      </c>
      <c r="AB17" s="65" t="s">
        <v>125</v>
      </c>
      <c r="AC17" s="68">
        <v>8263.35</v>
      </c>
      <c r="AD17" s="65" t="s">
        <v>228</v>
      </c>
      <c r="AE17" s="68">
        <v>495.82</v>
      </c>
    </row>
    <row r="18" spans="1:31" s="65" customFormat="1" ht="11.4" x14ac:dyDescent="0.25">
      <c r="A18" s="65">
        <v>3</v>
      </c>
      <c r="B18" s="65" t="s">
        <v>97</v>
      </c>
      <c r="C18" s="65" t="s">
        <v>225</v>
      </c>
      <c r="D18" s="65" t="s">
        <v>230</v>
      </c>
      <c r="E18" s="66">
        <v>669.1</v>
      </c>
      <c r="F18" s="66">
        <v>7384</v>
      </c>
      <c r="G18" s="66">
        <v>5865</v>
      </c>
      <c r="H18" s="66">
        <v>1181.44</v>
      </c>
      <c r="I18" s="66">
        <v>664.56</v>
      </c>
      <c r="J18" s="66">
        <v>36.92</v>
      </c>
      <c r="K18" s="66">
        <v>14.77</v>
      </c>
      <c r="L18" s="66"/>
      <c r="M18" s="66">
        <v>110.76</v>
      </c>
      <c r="N18" s="66">
        <v>411</v>
      </c>
      <c r="O18" s="66">
        <f t="shared" si="0"/>
        <v>2419.4499999999998</v>
      </c>
      <c r="P18" s="66">
        <v>590.72</v>
      </c>
      <c r="Q18" s="66">
        <v>147.68</v>
      </c>
      <c r="R18" s="66">
        <v>36.92</v>
      </c>
      <c r="S18" s="66"/>
      <c r="T18" s="66"/>
      <c r="U18" s="66">
        <v>411</v>
      </c>
      <c r="V18" s="66">
        <f t="shared" si="1"/>
        <v>1186.3200000000002</v>
      </c>
      <c r="W18" s="66">
        <v>5779.15</v>
      </c>
      <c r="X18" s="66"/>
      <c r="Y18" s="67">
        <f t="shared" si="2"/>
        <v>10054.02</v>
      </c>
      <c r="AA18" s="65" t="s">
        <v>231</v>
      </c>
      <c r="AB18" s="65" t="s">
        <v>98</v>
      </c>
      <c r="AC18" s="68">
        <v>9484.91</v>
      </c>
      <c r="AD18" s="65" t="s">
        <v>228</v>
      </c>
      <c r="AE18" s="68">
        <v>569.11</v>
      </c>
    </row>
    <row r="19" spans="1:31" s="65" customFormat="1" ht="11.4" x14ac:dyDescent="0.25">
      <c r="A19" s="65">
        <v>4</v>
      </c>
      <c r="B19" s="65" t="s">
        <v>154</v>
      </c>
      <c r="C19" s="65" t="s">
        <v>225</v>
      </c>
      <c r="D19" s="65" t="s">
        <v>226</v>
      </c>
      <c r="E19" s="66">
        <v>668.31</v>
      </c>
      <c r="F19" s="66">
        <v>7670</v>
      </c>
      <c r="G19" s="66">
        <v>7670</v>
      </c>
      <c r="H19" s="66">
        <v>1227.2</v>
      </c>
      <c r="I19" s="66">
        <v>690.3</v>
      </c>
      <c r="J19" s="66">
        <v>38.35</v>
      </c>
      <c r="K19" s="66">
        <v>15.34</v>
      </c>
      <c r="L19" s="66"/>
      <c r="M19" s="66">
        <v>115.05</v>
      </c>
      <c r="N19" s="66">
        <v>537</v>
      </c>
      <c r="O19" s="66">
        <f t="shared" si="0"/>
        <v>2623.24</v>
      </c>
      <c r="P19" s="66">
        <v>613.6</v>
      </c>
      <c r="Q19" s="66">
        <v>153.4</v>
      </c>
      <c r="R19" s="66">
        <v>38.35</v>
      </c>
      <c r="S19" s="66"/>
      <c r="T19" s="66"/>
      <c r="U19" s="66">
        <v>537</v>
      </c>
      <c r="V19" s="66">
        <f t="shared" si="1"/>
        <v>1342.35</v>
      </c>
      <c r="W19" s="66">
        <v>5406.09</v>
      </c>
      <c r="X19" s="66"/>
      <c r="Y19" s="67">
        <f t="shared" si="2"/>
        <v>10039.99</v>
      </c>
      <c r="AA19" s="65" t="s">
        <v>232</v>
      </c>
      <c r="AB19" s="65" t="s">
        <v>155</v>
      </c>
      <c r="AC19" s="68">
        <v>9471.69</v>
      </c>
      <c r="AD19" s="65" t="s">
        <v>228</v>
      </c>
      <c r="AE19" s="68">
        <v>568.29999999999995</v>
      </c>
    </row>
    <row r="20" spans="1:31" s="65" customFormat="1" ht="11.4" x14ac:dyDescent="0.25">
      <c r="A20" s="65">
        <v>5</v>
      </c>
      <c r="B20" s="65" t="s">
        <v>112</v>
      </c>
      <c r="C20" s="65" t="s">
        <v>225</v>
      </c>
      <c r="D20" s="65" t="s">
        <v>226</v>
      </c>
      <c r="E20" s="66">
        <v>1794.53</v>
      </c>
      <c r="F20" s="66">
        <v>18333</v>
      </c>
      <c r="G20" s="66">
        <v>18333</v>
      </c>
      <c r="H20" s="66">
        <v>2933.28</v>
      </c>
      <c r="I20" s="66">
        <v>1649.98</v>
      </c>
      <c r="J20" s="66">
        <v>91.67</v>
      </c>
      <c r="K20" s="66">
        <v>36.67</v>
      </c>
      <c r="L20" s="66"/>
      <c r="M20" s="66">
        <v>275</v>
      </c>
      <c r="N20" s="66">
        <v>1283</v>
      </c>
      <c r="O20" s="66">
        <f t="shared" si="0"/>
        <v>6269.6</v>
      </c>
      <c r="P20" s="66">
        <v>1466.64</v>
      </c>
      <c r="Q20" s="66">
        <v>366.66</v>
      </c>
      <c r="R20" s="66">
        <v>91.67</v>
      </c>
      <c r="S20" s="66"/>
      <c r="T20" s="66"/>
      <c r="U20" s="66">
        <v>1283</v>
      </c>
      <c r="V20" s="66">
        <f t="shared" si="1"/>
        <v>3207.9700000000003</v>
      </c>
      <c r="W20" s="66">
        <v>18664.740000000002</v>
      </c>
      <c r="X20" s="66"/>
      <c r="Y20" s="67">
        <f t="shared" si="2"/>
        <v>29936.840000000004</v>
      </c>
      <c r="AA20" s="65" t="s">
        <v>233</v>
      </c>
      <c r="AB20" s="65" t="s">
        <v>113</v>
      </c>
      <c r="AC20" s="68">
        <v>28242.3</v>
      </c>
      <c r="AD20" s="65" t="s">
        <v>228</v>
      </c>
      <c r="AE20" s="68">
        <v>1694.54</v>
      </c>
    </row>
    <row r="21" spans="1:31" s="65" customFormat="1" ht="11.4" x14ac:dyDescent="0.25">
      <c r="A21" s="65">
        <v>6</v>
      </c>
      <c r="B21" s="65" t="s">
        <v>157</v>
      </c>
      <c r="C21" s="65" t="s">
        <v>225</v>
      </c>
      <c r="D21" s="65" t="s">
        <v>226</v>
      </c>
      <c r="E21" s="66">
        <v>857.79</v>
      </c>
      <c r="F21" s="66">
        <v>9323</v>
      </c>
      <c r="G21" s="66">
        <v>9323</v>
      </c>
      <c r="H21" s="66">
        <v>1491.68</v>
      </c>
      <c r="I21" s="66">
        <v>839.08</v>
      </c>
      <c r="J21" s="66">
        <v>46.62</v>
      </c>
      <c r="K21" s="66">
        <v>18.649999999999999</v>
      </c>
      <c r="L21" s="66"/>
      <c r="M21" s="66">
        <v>139.85</v>
      </c>
      <c r="N21" s="66">
        <v>653</v>
      </c>
      <c r="O21" s="66">
        <f t="shared" si="0"/>
        <v>3188.88</v>
      </c>
      <c r="P21" s="66">
        <v>745.84</v>
      </c>
      <c r="Q21" s="66">
        <v>186.46</v>
      </c>
      <c r="R21" s="66">
        <v>46.62</v>
      </c>
      <c r="S21" s="66"/>
      <c r="T21" s="66"/>
      <c r="U21" s="66">
        <v>653</v>
      </c>
      <c r="V21" s="66">
        <f t="shared" si="1"/>
        <v>1631.92</v>
      </c>
      <c r="W21" s="66">
        <v>7708.98</v>
      </c>
      <c r="X21" s="66"/>
      <c r="Y21" s="67">
        <f t="shared" si="2"/>
        <v>13387.57</v>
      </c>
      <c r="AA21" s="65" t="s">
        <v>234</v>
      </c>
      <c r="AB21" s="65" t="s">
        <v>158</v>
      </c>
      <c r="AC21" s="68">
        <v>12629.78</v>
      </c>
      <c r="AD21" s="65" t="s">
        <v>228</v>
      </c>
      <c r="AE21" s="68">
        <v>757.79</v>
      </c>
    </row>
    <row r="22" spans="1:31" s="65" customFormat="1" ht="11.4" x14ac:dyDescent="0.25">
      <c r="A22" s="65">
        <v>7</v>
      </c>
      <c r="B22" s="65" t="s">
        <v>121</v>
      </c>
      <c r="C22" s="65" t="s">
        <v>225</v>
      </c>
      <c r="D22" s="65" t="s">
        <v>226</v>
      </c>
      <c r="E22" s="66">
        <v>588.11</v>
      </c>
      <c r="F22" s="66">
        <v>7384</v>
      </c>
      <c r="G22" s="66">
        <v>7234</v>
      </c>
      <c r="H22" s="66">
        <v>1181.44</v>
      </c>
      <c r="I22" s="66">
        <v>664.56</v>
      </c>
      <c r="J22" s="66">
        <v>36.92</v>
      </c>
      <c r="K22" s="66">
        <v>14.77</v>
      </c>
      <c r="L22" s="66"/>
      <c r="M22" s="66">
        <v>110.76</v>
      </c>
      <c r="N22" s="66">
        <v>506</v>
      </c>
      <c r="O22" s="66">
        <f t="shared" si="0"/>
        <v>2514.4499999999998</v>
      </c>
      <c r="P22" s="66">
        <v>590.72</v>
      </c>
      <c r="Q22" s="66">
        <v>147.68</v>
      </c>
      <c r="R22" s="66">
        <v>36.92</v>
      </c>
      <c r="S22" s="66"/>
      <c r="T22" s="66"/>
      <c r="U22" s="66">
        <v>506</v>
      </c>
      <c r="V22" s="66">
        <f t="shared" si="1"/>
        <v>1281.3200000000002</v>
      </c>
      <c r="W22" s="66">
        <v>4239.28</v>
      </c>
      <c r="X22" s="66"/>
      <c r="Y22" s="67">
        <f t="shared" si="2"/>
        <v>8623.16</v>
      </c>
      <c r="AA22" s="65" t="s">
        <v>235</v>
      </c>
      <c r="AB22" s="65" t="s">
        <v>122</v>
      </c>
      <c r="AC22" s="68">
        <v>8135.04</v>
      </c>
      <c r="AD22" s="65" t="s">
        <v>228</v>
      </c>
      <c r="AE22" s="68">
        <v>488.12</v>
      </c>
    </row>
    <row r="23" spans="1:31" s="65" customFormat="1" ht="11.4" x14ac:dyDescent="0.25">
      <c r="A23" s="65">
        <v>8</v>
      </c>
      <c r="B23" s="65" t="s">
        <v>166</v>
      </c>
      <c r="C23" s="65" t="s">
        <v>225</v>
      </c>
      <c r="D23" s="65" t="s">
        <v>226</v>
      </c>
      <c r="E23" s="66">
        <v>571.47</v>
      </c>
      <c r="F23" s="66">
        <v>8583</v>
      </c>
      <c r="G23" s="66">
        <v>8583</v>
      </c>
      <c r="H23" s="66">
        <v>1373.28</v>
      </c>
      <c r="I23" s="66">
        <v>772.48</v>
      </c>
      <c r="J23" s="66">
        <v>42.92</v>
      </c>
      <c r="K23" s="66">
        <v>17.170000000000002</v>
      </c>
      <c r="L23" s="66"/>
      <c r="M23" s="66">
        <v>128.75</v>
      </c>
      <c r="N23" s="66">
        <v>601</v>
      </c>
      <c r="O23" s="66">
        <f t="shared" si="0"/>
        <v>2935.6000000000004</v>
      </c>
      <c r="P23" s="66">
        <v>686.64</v>
      </c>
      <c r="Q23" s="66">
        <v>171.66</v>
      </c>
      <c r="R23" s="66">
        <v>42.92</v>
      </c>
      <c r="S23" s="66"/>
      <c r="T23" s="66"/>
      <c r="U23" s="66">
        <v>601</v>
      </c>
      <c r="V23" s="66">
        <f t="shared" si="1"/>
        <v>1502.2199999999998</v>
      </c>
      <c r="W23" s="66">
        <v>3320</v>
      </c>
      <c r="X23" s="66"/>
      <c r="Y23" s="67">
        <f t="shared" si="2"/>
        <v>8329.2900000000009</v>
      </c>
      <c r="AA23" s="65" t="s">
        <v>236</v>
      </c>
      <c r="AB23" s="65" t="s">
        <v>167</v>
      </c>
      <c r="AC23" s="68">
        <v>7857.8</v>
      </c>
      <c r="AD23" s="65" t="s">
        <v>228</v>
      </c>
      <c r="AE23" s="68">
        <v>471.49</v>
      </c>
    </row>
    <row r="24" spans="1:31" s="65" customFormat="1" ht="11.4" x14ac:dyDescent="0.25">
      <c r="A24" s="65">
        <v>9</v>
      </c>
      <c r="B24" s="65" t="s">
        <v>127</v>
      </c>
      <c r="C24" s="65" t="s">
        <v>225</v>
      </c>
      <c r="D24" s="65" t="s">
        <v>226</v>
      </c>
      <c r="E24" s="66">
        <v>1376.02</v>
      </c>
      <c r="F24" s="66">
        <v>19290</v>
      </c>
      <c r="G24" s="66">
        <v>19290</v>
      </c>
      <c r="H24" s="66">
        <v>3086.4</v>
      </c>
      <c r="I24" s="66">
        <v>1736.1</v>
      </c>
      <c r="J24" s="66">
        <v>96.45</v>
      </c>
      <c r="K24" s="66">
        <v>38.58</v>
      </c>
      <c r="L24" s="66"/>
      <c r="M24" s="66">
        <v>289.35000000000002</v>
      </c>
      <c r="N24" s="66">
        <v>1350</v>
      </c>
      <c r="O24" s="66">
        <f t="shared" si="0"/>
        <v>6596.88</v>
      </c>
      <c r="P24" s="66">
        <v>1543.2</v>
      </c>
      <c r="Q24" s="66">
        <v>385.8</v>
      </c>
      <c r="R24" s="66">
        <v>96.45</v>
      </c>
      <c r="S24" s="66"/>
      <c r="T24" s="66"/>
      <c r="U24" s="66">
        <v>1350</v>
      </c>
      <c r="V24" s="66">
        <f t="shared" si="1"/>
        <v>3375.45</v>
      </c>
      <c r="W24" s="66">
        <v>11194.63</v>
      </c>
      <c r="X24" s="66"/>
      <c r="Y24" s="67">
        <f t="shared" si="2"/>
        <v>22542.979999999996</v>
      </c>
      <c r="AA24" s="65" t="s">
        <v>237</v>
      </c>
      <c r="AB24" s="65" t="s">
        <v>128</v>
      </c>
      <c r="AC24" s="68">
        <v>21266.959999999999</v>
      </c>
      <c r="AD24" s="65" t="s">
        <v>228</v>
      </c>
      <c r="AE24" s="68">
        <v>1276.02</v>
      </c>
    </row>
    <row r="25" spans="1:31" s="65" customFormat="1" ht="11.4" x14ac:dyDescent="0.25">
      <c r="A25" s="65">
        <v>10</v>
      </c>
      <c r="B25" s="65" t="s">
        <v>139</v>
      </c>
      <c r="C25" s="65" t="s">
        <v>225</v>
      </c>
      <c r="D25" s="65" t="s">
        <v>226</v>
      </c>
      <c r="E25" s="66">
        <v>583.91999999999996</v>
      </c>
      <c r="F25" s="66">
        <v>7384</v>
      </c>
      <c r="G25" s="66">
        <v>6228</v>
      </c>
      <c r="H25" s="66">
        <v>1181.44</v>
      </c>
      <c r="I25" s="66">
        <v>664.56</v>
      </c>
      <c r="J25" s="66">
        <v>36.92</v>
      </c>
      <c r="K25" s="66">
        <v>14.77</v>
      </c>
      <c r="L25" s="66"/>
      <c r="M25" s="66">
        <v>110.76</v>
      </c>
      <c r="N25" s="66">
        <v>436</v>
      </c>
      <c r="O25" s="66">
        <f t="shared" si="0"/>
        <v>2444.4499999999998</v>
      </c>
      <c r="P25" s="66">
        <v>590.72</v>
      </c>
      <c r="Q25" s="66">
        <v>147.68</v>
      </c>
      <c r="R25" s="66">
        <v>36.92</v>
      </c>
      <c r="S25" s="66"/>
      <c r="T25" s="66"/>
      <c r="U25" s="66">
        <v>436</v>
      </c>
      <c r="V25" s="66">
        <f t="shared" si="1"/>
        <v>1211.3200000000002</v>
      </c>
      <c r="W25" s="66">
        <v>4309.43</v>
      </c>
      <c r="X25" s="66"/>
      <c r="Y25" s="67">
        <f t="shared" si="2"/>
        <v>8549.1200000000008</v>
      </c>
      <c r="AA25" s="65" t="s">
        <v>238</v>
      </c>
      <c r="AB25" s="65" t="s">
        <v>140</v>
      </c>
      <c r="AC25" s="68">
        <v>8065.19</v>
      </c>
      <c r="AD25" s="65" t="s">
        <v>228</v>
      </c>
      <c r="AE25" s="68">
        <v>483.93</v>
      </c>
    </row>
    <row r="26" spans="1:31" s="65" customFormat="1" ht="11.4" x14ac:dyDescent="0.25">
      <c r="A26" s="65">
        <v>11</v>
      </c>
      <c r="B26" s="65" t="s">
        <v>142</v>
      </c>
      <c r="C26" s="65" t="s">
        <v>225</v>
      </c>
      <c r="D26" s="65" t="s">
        <v>226</v>
      </c>
      <c r="E26" s="66">
        <v>863.84</v>
      </c>
      <c r="F26" s="66">
        <v>16093</v>
      </c>
      <c r="G26" s="66">
        <v>16093</v>
      </c>
      <c r="H26" s="66">
        <v>2574.88</v>
      </c>
      <c r="I26" s="66">
        <v>1448.38</v>
      </c>
      <c r="J26" s="66">
        <v>80.47</v>
      </c>
      <c r="K26" s="66">
        <v>32.19</v>
      </c>
      <c r="L26" s="66"/>
      <c r="M26" s="66">
        <v>241.4</v>
      </c>
      <c r="N26" s="66">
        <v>1127</v>
      </c>
      <c r="O26" s="66">
        <f t="shared" si="0"/>
        <v>5504.32</v>
      </c>
      <c r="P26" s="66">
        <v>1287.44</v>
      </c>
      <c r="Q26" s="66">
        <v>321.86</v>
      </c>
      <c r="R26" s="66">
        <v>80.47</v>
      </c>
      <c r="S26" s="66"/>
      <c r="T26" s="66"/>
      <c r="U26" s="66">
        <v>1127</v>
      </c>
      <c r="V26" s="66">
        <f t="shared" si="1"/>
        <v>2816.7700000000004</v>
      </c>
      <c r="W26" s="66">
        <v>4309.43</v>
      </c>
      <c r="X26" s="66"/>
      <c r="Y26" s="67">
        <f t="shared" si="2"/>
        <v>13494.36</v>
      </c>
      <c r="AA26" s="65" t="s">
        <v>239</v>
      </c>
      <c r="AB26" s="65" t="s">
        <v>143</v>
      </c>
      <c r="AC26" s="68">
        <v>12730.53</v>
      </c>
      <c r="AD26" s="65" t="s">
        <v>228</v>
      </c>
      <c r="AE26" s="68">
        <v>763.83</v>
      </c>
    </row>
    <row r="27" spans="1:31" s="65" customFormat="1" ht="11.4" x14ac:dyDescent="0.25">
      <c r="A27" s="65">
        <v>12</v>
      </c>
      <c r="B27" s="65" t="s">
        <v>130</v>
      </c>
      <c r="C27" s="65" t="s">
        <v>225</v>
      </c>
      <c r="D27" s="65" t="s">
        <v>226</v>
      </c>
      <c r="E27" s="66">
        <v>612.95000000000005</v>
      </c>
      <c r="F27" s="66">
        <v>7384</v>
      </c>
      <c r="G27" s="66">
        <v>6424</v>
      </c>
      <c r="H27" s="66">
        <v>1181.44</v>
      </c>
      <c r="I27" s="66">
        <v>664.56</v>
      </c>
      <c r="J27" s="66">
        <v>36.92</v>
      </c>
      <c r="K27" s="66">
        <v>14.77</v>
      </c>
      <c r="L27" s="66"/>
      <c r="M27" s="66">
        <v>110.76</v>
      </c>
      <c r="N27" s="66">
        <v>450</v>
      </c>
      <c r="O27" s="66">
        <f t="shared" si="0"/>
        <v>2458.4499999999998</v>
      </c>
      <c r="P27" s="66">
        <v>590.72</v>
      </c>
      <c r="Q27" s="66">
        <v>147.68</v>
      </c>
      <c r="R27" s="66">
        <v>36.92</v>
      </c>
      <c r="S27" s="66"/>
      <c r="T27" s="66"/>
      <c r="U27" s="66">
        <v>450</v>
      </c>
      <c r="V27" s="66">
        <f t="shared" si="1"/>
        <v>1225.3200000000002</v>
      </c>
      <c r="W27" s="66">
        <v>4765.33</v>
      </c>
      <c r="X27" s="66"/>
      <c r="Y27" s="67">
        <f t="shared" si="2"/>
        <v>9062.0499999999993</v>
      </c>
      <c r="AA27" s="65" t="s">
        <v>240</v>
      </c>
      <c r="AB27" s="65" t="s">
        <v>131</v>
      </c>
      <c r="AC27" s="68">
        <v>8549.09</v>
      </c>
      <c r="AD27" s="65" t="s">
        <v>228</v>
      </c>
      <c r="AE27" s="68">
        <v>512.96</v>
      </c>
    </row>
    <row r="28" spans="1:31" s="65" customFormat="1" ht="11.4" x14ac:dyDescent="0.25">
      <c r="A28" s="65">
        <v>13</v>
      </c>
      <c r="B28" s="65" t="s">
        <v>103</v>
      </c>
      <c r="C28" s="65" t="s">
        <v>225</v>
      </c>
      <c r="D28" s="65" t="s">
        <v>226</v>
      </c>
      <c r="E28" s="66">
        <v>544.31999999999994</v>
      </c>
      <c r="F28" s="66">
        <v>7384</v>
      </c>
      <c r="G28" s="66">
        <v>6776</v>
      </c>
      <c r="H28" s="66">
        <v>1181.44</v>
      </c>
      <c r="I28" s="66">
        <v>664.56</v>
      </c>
      <c r="J28" s="66">
        <v>36.92</v>
      </c>
      <c r="K28" s="66">
        <v>14.77</v>
      </c>
      <c r="L28" s="66"/>
      <c r="M28" s="66">
        <v>110.76</v>
      </c>
      <c r="N28" s="66">
        <v>474</v>
      </c>
      <c r="O28" s="66">
        <f t="shared" si="0"/>
        <v>2482.4499999999998</v>
      </c>
      <c r="P28" s="66">
        <v>590.72</v>
      </c>
      <c r="Q28" s="66">
        <v>147.68</v>
      </c>
      <c r="R28" s="66">
        <v>36.92</v>
      </c>
      <c r="S28" s="66"/>
      <c r="T28" s="66"/>
      <c r="U28" s="66">
        <v>474</v>
      </c>
      <c r="V28" s="66">
        <f t="shared" si="1"/>
        <v>1249.3200000000002</v>
      </c>
      <c r="W28" s="66">
        <v>3573.43</v>
      </c>
      <c r="X28" s="66"/>
      <c r="Y28" s="67">
        <f t="shared" si="2"/>
        <v>7849.52</v>
      </c>
      <c r="AA28" s="65" t="s">
        <v>241</v>
      </c>
      <c r="AB28" s="65" t="s">
        <v>104</v>
      </c>
      <c r="AC28" s="68">
        <v>7405.19</v>
      </c>
      <c r="AD28" s="65" t="s">
        <v>228</v>
      </c>
      <c r="AE28" s="68">
        <v>444.33</v>
      </c>
    </row>
    <row r="29" spans="1:31" s="65" customFormat="1" ht="11.4" x14ac:dyDescent="0.25">
      <c r="A29" s="65">
        <v>14</v>
      </c>
      <c r="B29" s="65" t="s">
        <v>133</v>
      </c>
      <c r="C29" s="65" t="s">
        <v>225</v>
      </c>
      <c r="D29" s="65" t="s">
        <v>226</v>
      </c>
      <c r="E29" s="66">
        <v>783.63</v>
      </c>
      <c r="F29" s="66">
        <v>7384</v>
      </c>
      <c r="G29" s="66">
        <v>5565</v>
      </c>
      <c r="H29" s="66">
        <v>1181.44</v>
      </c>
      <c r="I29" s="66">
        <v>664.56</v>
      </c>
      <c r="J29" s="66">
        <v>36.92</v>
      </c>
      <c r="K29" s="66">
        <v>14.77</v>
      </c>
      <c r="L29" s="66"/>
      <c r="M29" s="66">
        <v>110.76</v>
      </c>
      <c r="N29" s="66">
        <v>390</v>
      </c>
      <c r="O29" s="66">
        <f t="shared" si="0"/>
        <v>2398.4499999999998</v>
      </c>
      <c r="P29" s="66">
        <v>590.72</v>
      </c>
      <c r="Q29" s="66">
        <v>147.68</v>
      </c>
      <c r="R29" s="66">
        <v>36.92</v>
      </c>
      <c r="S29" s="66"/>
      <c r="T29" s="66"/>
      <c r="U29" s="66">
        <v>390</v>
      </c>
      <c r="V29" s="66">
        <f t="shared" si="1"/>
        <v>1165.3200000000002</v>
      </c>
      <c r="W29" s="66">
        <v>7730.01</v>
      </c>
      <c r="X29" s="66"/>
      <c r="Y29" s="67">
        <f t="shared" si="2"/>
        <v>12077.41</v>
      </c>
      <c r="AA29" s="65" t="s">
        <v>242</v>
      </c>
      <c r="AB29" s="65" t="s">
        <v>134</v>
      </c>
      <c r="AC29" s="68">
        <v>11393.77</v>
      </c>
      <c r="AD29" s="65" t="s">
        <v>228</v>
      </c>
      <c r="AE29" s="68">
        <v>683.64</v>
      </c>
    </row>
    <row r="30" spans="1:31" s="65" customFormat="1" ht="11.4" x14ac:dyDescent="0.25">
      <c r="A30" s="65">
        <v>15</v>
      </c>
      <c r="B30" s="65" t="s">
        <v>145</v>
      </c>
      <c r="C30" s="65" t="s">
        <v>225</v>
      </c>
      <c r="D30" s="65" t="s">
        <v>226</v>
      </c>
      <c r="E30" s="66">
        <v>535.69999999999993</v>
      </c>
      <c r="F30" s="66">
        <v>7384</v>
      </c>
      <c r="G30" s="66">
        <v>6661</v>
      </c>
      <c r="H30" s="66">
        <v>1181.44</v>
      </c>
      <c r="I30" s="66">
        <v>664.56</v>
      </c>
      <c r="J30" s="66">
        <v>36.92</v>
      </c>
      <c r="K30" s="66">
        <v>14.77</v>
      </c>
      <c r="L30" s="66"/>
      <c r="M30" s="66">
        <v>110.76</v>
      </c>
      <c r="N30" s="66">
        <v>466</v>
      </c>
      <c r="O30" s="66">
        <f t="shared" si="0"/>
        <v>2474.4499999999998</v>
      </c>
      <c r="P30" s="66">
        <v>590.72</v>
      </c>
      <c r="Q30" s="66">
        <v>147.68</v>
      </c>
      <c r="R30" s="66">
        <v>36.92</v>
      </c>
      <c r="S30" s="66"/>
      <c r="T30" s="66"/>
      <c r="U30" s="66">
        <v>466</v>
      </c>
      <c r="V30" s="66">
        <f t="shared" si="1"/>
        <v>1241.3200000000002</v>
      </c>
      <c r="W30" s="66">
        <v>3445.88</v>
      </c>
      <c r="X30" s="66"/>
      <c r="Y30" s="67">
        <f t="shared" si="2"/>
        <v>7697.3499999999995</v>
      </c>
      <c r="AA30" s="65" t="s">
        <v>243</v>
      </c>
      <c r="AB30" s="65" t="s">
        <v>146</v>
      </c>
      <c r="AC30" s="68">
        <v>7261.64</v>
      </c>
      <c r="AD30" s="65" t="s">
        <v>228</v>
      </c>
      <c r="AE30" s="68">
        <v>435.71</v>
      </c>
    </row>
    <row r="31" spans="1:31" s="65" customFormat="1" ht="11.4" x14ac:dyDescent="0.25">
      <c r="A31" s="65">
        <v>16</v>
      </c>
      <c r="B31" s="65" t="s">
        <v>160</v>
      </c>
      <c r="C31" s="65" t="s">
        <v>225</v>
      </c>
      <c r="D31" s="65" t="s">
        <v>226</v>
      </c>
      <c r="E31" s="66">
        <v>531.51</v>
      </c>
      <c r="F31" s="66">
        <v>7384</v>
      </c>
      <c r="G31" s="66">
        <v>7055</v>
      </c>
      <c r="H31" s="66">
        <v>1181.44</v>
      </c>
      <c r="I31" s="66">
        <v>664.56</v>
      </c>
      <c r="J31" s="66">
        <v>36.92</v>
      </c>
      <c r="K31" s="66">
        <v>14.77</v>
      </c>
      <c r="L31" s="66"/>
      <c r="M31" s="66">
        <v>110.76</v>
      </c>
      <c r="N31" s="66">
        <v>494</v>
      </c>
      <c r="O31" s="66">
        <f t="shared" si="0"/>
        <v>2502.4499999999998</v>
      </c>
      <c r="P31" s="66">
        <v>590.72</v>
      </c>
      <c r="Q31" s="66">
        <v>147.68</v>
      </c>
      <c r="R31" s="66">
        <v>36.92</v>
      </c>
      <c r="S31" s="66"/>
      <c r="T31" s="66"/>
      <c r="U31" s="66">
        <v>494</v>
      </c>
      <c r="V31" s="66">
        <f t="shared" si="1"/>
        <v>1269.3200000000002</v>
      </c>
      <c r="W31" s="66">
        <v>3320</v>
      </c>
      <c r="X31" s="66"/>
      <c r="Y31" s="67">
        <f t="shared" si="2"/>
        <v>7623.2800000000007</v>
      </c>
      <c r="AA31" s="65" t="s">
        <v>244</v>
      </c>
      <c r="AB31" s="65" t="s">
        <v>161</v>
      </c>
      <c r="AC31" s="68">
        <v>7191.76</v>
      </c>
      <c r="AD31" s="65" t="s">
        <v>228</v>
      </c>
      <c r="AE31" s="68">
        <v>431.52</v>
      </c>
    </row>
    <row r="32" spans="1:31" s="65" customFormat="1" ht="11.4" x14ac:dyDescent="0.25">
      <c r="A32" s="65">
        <v>17</v>
      </c>
      <c r="B32" s="65" t="s">
        <v>106</v>
      </c>
      <c r="C32" s="65" t="s">
        <v>225</v>
      </c>
      <c r="D32" s="65" t="s">
        <v>226</v>
      </c>
      <c r="E32" s="66">
        <v>740.03</v>
      </c>
      <c r="F32" s="66">
        <v>14019</v>
      </c>
      <c r="G32" s="66">
        <v>14019</v>
      </c>
      <c r="H32" s="66">
        <v>2243.04</v>
      </c>
      <c r="I32" s="66">
        <v>1261.72</v>
      </c>
      <c r="J32" s="66">
        <v>70.099999999999994</v>
      </c>
      <c r="K32" s="66">
        <v>28.04</v>
      </c>
      <c r="L32" s="66"/>
      <c r="M32" s="66">
        <v>210.29</v>
      </c>
      <c r="N32" s="66">
        <v>981</v>
      </c>
      <c r="O32" s="66">
        <f t="shared" si="0"/>
        <v>4794.1900000000005</v>
      </c>
      <c r="P32" s="66">
        <v>1121.52</v>
      </c>
      <c r="Q32" s="66">
        <v>280.38</v>
      </c>
      <c r="R32" s="66">
        <v>70.099999999999994</v>
      </c>
      <c r="S32" s="66"/>
      <c r="T32" s="66"/>
      <c r="U32" s="66">
        <v>981</v>
      </c>
      <c r="V32" s="66">
        <f t="shared" si="1"/>
        <v>2453</v>
      </c>
      <c r="W32" s="66">
        <v>3320</v>
      </c>
      <c r="X32" s="66"/>
      <c r="Y32" s="67">
        <f t="shared" si="2"/>
        <v>11307.220000000001</v>
      </c>
      <c r="AA32" s="65" t="s">
        <v>245</v>
      </c>
      <c r="AB32" s="65" t="s">
        <v>107</v>
      </c>
      <c r="AC32" s="68">
        <v>10667.19</v>
      </c>
      <c r="AD32" s="65" t="s">
        <v>228</v>
      </c>
      <c r="AE32" s="68">
        <v>640.03</v>
      </c>
    </row>
    <row r="33" spans="1:31" s="65" customFormat="1" ht="11.4" x14ac:dyDescent="0.25">
      <c r="A33" s="65">
        <v>18</v>
      </c>
      <c r="B33" s="65" t="s">
        <v>109</v>
      </c>
      <c r="C33" s="65" t="s">
        <v>225</v>
      </c>
      <c r="D33" s="65" t="s">
        <v>226</v>
      </c>
      <c r="E33" s="66">
        <v>706.06000000000006</v>
      </c>
      <c r="F33" s="66">
        <v>10618</v>
      </c>
      <c r="G33" s="66">
        <v>10618</v>
      </c>
      <c r="H33" s="66">
        <v>1698.88</v>
      </c>
      <c r="I33" s="66">
        <v>955.62</v>
      </c>
      <c r="J33" s="66">
        <v>53.09</v>
      </c>
      <c r="K33" s="66">
        <v>21.24</v>
      </c>
      <c r="L33" s="66"/>
      <c r="M33" s="66">
        <v>159.27000000000001</v>
      </c>
      <c r="N33" s="66">
        <v>743</v>
      </c>
      <c r="O33" s="66">
        <f t="shared" si="0"/>
        <v>3631.1</v>
      </c>
      <c r="P33" s="66">
        <v>849.44</v>
      </c>
      <c r="Q33" s="66">
        <v>212.36</v>
      </c>
      <c r="R33" s="66">
        <v>53.09</v>
      </c>
      <c r="S33" s="66"/>
      <c r="T33" s="66"/>
      <c r="U33" s="66">
        <v>743</v>
      </c>
      <c r="V33" s="66">
        <f t="shared" si="1"/>
        <v>1857.89</v>
      </c>
      <c r="W33" s="66">
        <v>4511.99</v>
      </c>
      <c r="X33" s="66"/>
      <c r="Y33" s="67">
        <f t="shared" si="2"/>
        <v>10707.04</v>
      </c>
      <c r="AA33" s="65" t="s">
        <v>246</v>
      </c>
      <c r="AB33" s="65" t="s">
        <v>110</v>
      </c>
      <c r="AC33" s="68">
        <v>10100.969999999999</v>
      </c>
      <c r="AD33" s="65" t="s">
        <v>228</v>
      </c>
      <c r="AE33" s="68">
        <v>606.07000000000005</v>
      </c>
    </row>
    <row r="34" spans="1:31" s="65" customFormat="1" ht="11.4" x14ac:dyDescent="0.25">
      <c r="A34" s="65">
        <v>19</v>
      </c>
      <c r="B34" s="65" t="s">
        <v>148</v>
      </c>
      <c r="C34" s="65" t="s">
        <v>225</v>
      </c>
      <c r="D34" s="65" t="s">
        <v>226</v>
      </c>
      <c r="E34" s="66">
        <v>637.86</v>
      </c>
      <c r="F34" s="66">
        <v>7384</v>
      </c>
      <c r="G34" s="66">
        <v>6654</v>
      </c>
      <c r="H34" s="66">
        <v>1181.44</v>
      </c>
      <c r="I34" s="66">
        <v>664.56</v>
      </c>
      <c r="J34" s="66">
        <v>36.92</v>
      </c>
      <c r="K34" s="66">
        <v>14.77</v>
      </c>
      <c r="L34" s="66"/>
      <c r="M34" s="66">
        <v>110.76</v>
      </c>
      <c r="N34" s="66">
        <v>466</v>
      </c>
      <c r="O34" s="66">
        <f t="shared" si="0"/>
        <v>2474.4499999999998</v>
      </c>
      <c r="P34" s="66">
        <v>590.72</v>
      </c>
      <c r="Q34" s="66">
        <v>147.68</v>
      </c>
      <c r="R34" s="66">
        <v>36.92</v>
      </c>
      <c r="S34" s="66"/>
      <c r="T34" s="66"/>
      <c r="U34" s="66">
        <v>466</v>
      </c>
      <c r="V34" s="66">
        <f t="shared" si="1"/>
        <v>1241.3200000000002</v>
      </c>
      <c r="W34" s="66">
        <v>5148.42</v>
      </c>
      <c r="X34" s="66"/>
      <c r="Y34" s="67">
        <f t="shared" si="2"/>
        <v>9502.0499999999993</v>
      </c>
      <c r="AA34" s="65" t="s">
        <v>247</v>
      </c>
      <c r="AB34" s="65" t="s">
        <v>149</v>
      </c>
      <c r="AC34" s="68">
        <v>8964.18</v>
      </c>
      <c r="AD34" s="65" t="s">
        <v>228</v>
      </c>
      <c r="AE34" s="68">
        <v>537.87</v>
      </c>
    </row>
    <row r="35" spans="1:31" s="65" customFormat="1" ht="11.4" x14ac:dyDescent="0.25">
      <c r="A35" s="65">
        <v>20</v>
      </c>
      <c r="B35" s="65" t="s">
        <v>163</v>
      </c>
      <c r="C35" s="65" t="s">
        <v>225</v>
      </c>
      <c r="D35" s="65" t="s">
        <v>226</v>
      </c>
      <c r="E35" s="66">
        <v>754.29</v>
      </c>
      <c r="F35" s="66">
        <v>14011</v>
      </c>
      <c r="G35" s="66">
        <v>14011</v>
      </c>
      <c r="H35" s="66">
        <v>2241.7600000000002</v>
      </c>
      <c r="I35" s="66">
        <v>1261</v>
      </c>
      <c r="J35" s="66">
        <v>70.06</v>
      </c>
      <c r="K35" s="66">
        <v>28.02</v>
      </c>
      <c r="L35" s="66"/>
      <c r="M35" s="66">
        <v>210.17</v>
      </c>
      <c r="N35" s="66">
        <v>981</v>
      </c>
      <c r="O35" s="66">
        <f t="shared" si="0"/>
        <v>4792.01</v>
      </c>
      <c r="P35" s="66">
        <v>1120.8800000000001</v>
      </c>
      <c r="Q35" s="66">
        <v>280.22000000000003</v>
      </c>
      <c r="R35" s="66">
        <v>70.06</v>
      </c>
      <c r="S35" s="66"/>
      <c r="T35" s="66"/>
      <c r="U35" s="66">
        <v>981</v>
      </c>
      <c r="V35" s="66">
        <f t="shared" si="1"/>
        <v>2452.16</v>
      </c>
      <c r="W35" s="66">
        <v>3560.64</v>
      </c>
      <c r="X35" s="66"/>
      <c r="Y35" s="67">
        <f t="shared" si="2"/>
        <v>11559.1</v>
      </c>
      <c r="AA35" s="65" t="s">
        <v>248</v>
      </c>
      <c r="AB35" s="65" t="s">
        <v>164</v>
      </c>
      <c r="AC35" s="68">
        <v>10904.82</v>
      </c>
      <c r="AD35" s="65" t="s">
        <v>228</v>
      </c>
      <c r="AE35" s="68">
        <v>654.28</v>
      </c>
    </row>
    <row r="36" spans="1:31" s="65" customFormat="1" ht="11.4" x14ac:dyDescent="0.25">
      <c r="A36" s="65">
        <v>21</v>
      </c>
      <c r="B36" s="65" t="s">
        <v>169</v>
      </c>
      <c r="C36" s="65" t="s">
        <v>225</v>
      </c>
      <c r="D36" s="65" t="s">
        <v>226</v>
      </c>
      <c r="E36" s="66">
        <v>621.20000000000005</v>
      </c>
      <c r="F36" s="66">
        <v>7384</v>
      </c>
      <c r="G36" s="66">
        <v>2690</v>
      </c>
      <c r="H36" s="66">
        <v>1181.44</v>
      </c>
      <c r="I36" s="66">
        <v>664.56</v>
      </c>
      <c r="J36" s="66">
        <v>36.92</v>
      </c>
      <c r="K36" s="66">
        <v>14.77</v>
      </c>
      <c r="L36" s="66"/>
      <c r="M36" s="66">
        <v>110.76</v>
      </c>
      <c r="N36" s="66">
        <v>188</v>
      </c>
      <c r="O36" s="66">
        <f t="shared" si="0"/>
        <v>2196.4499999999998</v>
      </c>
      <c r="P36" s="66">
        <v>590.72</v>
      </c>
      <c r="Q36" s="66">
        <v>147.68</v>
      </c>
      <c r="R36" s="66">
        <v>36.92</v>
      </c>
      <c r="S36" s="66"/>
      <c r="T36" s="66"/>
      <c r="U36" s="66">
        <v>188</v>
      </c>
      <c r="V36" s="66">
        <f t="shared" si="1"/>
        <v>963.32</v>
      </c>
      <c r="W36" s="66">
        <v>5426.81</v>
      </c>
      <c r="X36" s="66"/>
      <c r="Y36" s="67">
        <f t="shared" si="2"/>
        <v>9207.7800000000007</v>
      </c>
      <c r="AA36" s="65" t="s">
        <v>249</v>
      </c>
      <c r="AB36" s="65" t="s">
        <v>170</v>
      </c>
      <c r="AC36" s="68">
        <v>8686.57</v>
      </c>
      <c r="AD36" s="65" t="s">
        <v>228</v>
      </c>
      <c r="AE36" s="68">
        <v>521.21</v>
      </c>
    </row>
    <row r="37" spans="1:31" s="65" customFormat="1" ht="11.4" x14ac:dyDescent="0.25">
      <c r="A37" s="65">
        <v>22</v>
      </c>
      <c r="B37" s="65" t="s">
        <v>115</v>
      </c>
      <c r="C37" s="65" t="s">
        <v>225</v>
      </c>
      <c r="D37" s="65" t="s">
        <v>226</v>
      </c>
      <c r="E37" s="66">
        <v>678.32999999999993</v>
      </c>
      <c r="F37" s="66">
        <v>10115</v>
      </c>
      <c r="G37" s="66">
        <v>10115</v>
      </c>
      <c r="H37" s="66">
        <v>1618.4</v>
      </c>
      <c r="I37" s="66">
        <v>910.36</v>
      </c>
      <c r="J37" s="66">
        <v>50.58</v>
      </c>
      <c r="K37" s="66">
        <v>20.23</v>
      </c>
      <c r="L37" s="66"/>
      <c r="M37" s="66">
        <v>151.72999999999999</v>
      </c>
      <c r="N37" s="66">
        <v>708</v>
      </c>
      <c r="O37" s="66">
        <f t="shared" si="0"/>
        <v>3459.3</v>
      </c>
      <c r="P37" s="66">
        <v>809.2</v>
      </c>
      <c r="Q37" s="66">
        <v>202.3</v>
      </c>
      <c r="R37" s="66">
        <v>50.58</v>
      </c>
      <c r="S37" s="66"/>
      <c r="T37" s="66"/>
      <c r="U37" s="66">
        <v>708</v>
      </c>
      <c r="V37" s="66">
        <f t="shared" si="1"/>
        <v>1770.08</v>
      </c>
      <c r="W37" s="66">
        <v>4309.43</v>
      </c>
      <c r="X37" s="66"/>
      <c r="Y37" s="67">
        <f t="shared" si="2"/>
        <v>10217.14</v>
      </c>
      <c r="AA37" s="65" t="s">
        <v>250</v>
      </c>
      <c r="AB37" s="65" t="s">
        <v>116</v>
      </c>
      <c r="AC37" s="68">
        <v>9638.83</v>
      </c>
      <c r="AD37" s="65" t="s">
        <v>228</v>
      </c>
      <c r="AE37" s="68">
        <v>578.30999999999995</v>
      </c>
    </row>
    <row r="38" spans="1:31" s="65" customFormat="1" ht="11.4" x14ac:dyDescent="0.25">
      <c r="A38" s="65">
        <v>23</v>
      </c>
      <c r="B38" s="65" t="s">
        <v>172</v>
      </c>
      <c r="C38" s="65" t="s">
        <v>225</v>
      </c>
      <c r="D38" s="65" t="s">
        <v>251</v>
      </c>
      <c r="E38" s="66">
        <v>800.26</v>
      </c>
      <c r="F38" s="66">
        <v>12197</v>
      </c>
      <c r="G38" s="66">
        <v>12197</v>
      </c>
      <c r="H38" s="66">
        <v>1951.52</v>
      </c>
      <c r="I38" s="66">
        <v>1097.74</v>
      </c>
      <c r="J38" s="66">
        <v>60.99</v>
      </c>
      <c r="K38" s="66">
        <v>24.39</v>
      </c>
      <c r="L38" s="66"/>
      <c r="M38" s="66">
        <v>182.96</v>
      </c>
      <c r="N38" s="66">
        <v>854</v>
      </c>
      <c r="O38" s="66">
        <f t="shared" si="0"/>
        <v>4171.6000000000004</v>
      </c>
      <c r="P38" s="66">
        <v>975.76</v>
      </c>
      <c r="Q38" s="66">
        <v>243.94</v>
      </c>
      <c r="R38" s="66">
        <v>60.99</v>
      </c>
      <c r="S38" s="66"/>
      <c r="T38" s="66"/>
      <c r="U38" s="66">
        <v>854</v>
      </c>
      <c r="V38" s="66">
        <f t="shared" si="1"/>
        <v>2134.69</v>
      </c>
      <c r="W38" s="66">
        <v>5264.64</v>
      </c>
      <c r="X38" s="66"/>
      <c r="Y38" s="67">
        <f t="shared" si="2"/>
        <v>12371.190000000002</v>
      </c>
      <c r="AA38" s="65" t="s">
        <v>252</v>
      </c>
      <c r="AB38" s="65" t="s">
        <v>173</v>
      </c>
      <c r="AC38" s="68">
        <v>11670.93</v>
      </c>
      <c r="AD38" s="65" t="s">
        <v>228</v>
      </c>
      <c r="AE38" s="68">
        <v>700.26</v>
      </c>
    </row>
    <row r="39" spans="1:31" s="65" customFormat="1" ht="11.4" x14ac:dyDescent="0.25">
      <c r="A39" s="65">
        <v>24</v>
      </c>
      <c r="B39" s="65" t="s">
        <v>151</v>
      </c>
      <c r="C39" s="65" t="s">
        <v>225</v>
      </c>
      <c r="D39" s="65" t="s">
        <v>226</v>
      </c>
      <c r="E39" s="66">
        <v>773.71</v>
      </c>
      <c r="F39" s="66">
        <v>7923</v>
      </c>
      <c r="G39" s="66">
        <v>7923</v>
      </c>
      <c r="H39" s="66">
        <v>1267.68</v>
      </c>
      <c r="I39" s="66">
        <v>713.08</v>
      </c>
      <c r="J39" s="66">
        <v>39.619999999999997</v>
      </c>
      <c r="K39" s="66">
        <v>15.85</v>
      </c>
      <c r="L39" s="66"/>
      <c r="M39" s="66">
        <v>118.85</v>
      </c>
      <c r="N39" s="66">
        <v>555</v>
      </c>
      <c r="O39" s="66">
        <f t="shared" si="0"/>
        <v>2710.08</v>
      </c>
      <c r="P39" s="66">
        <v>633.84</v>
      </c>
      <c r="Q39" s="66">
        <v>158.46</v>
      </c>
      <c r="R39" s="66">
        <v>39.619999999999997</v>
      </c>
      <c r="S39" s="66"/>
      <c r="T39" s="66"/>
      <c r="U39" s="66">
        <v>555</v>
      </c>
      <c r="V39" s="66">
        <f t="shared" si="1"/>
        <v>1386.92</v>
      </c>
      <c r="W39" s="66">
        <v>7031.58</v>
      </c>
      <c r="X39" s="66"/>
      <c r="Y39" s="67">
        <f t="shared" si="2"/>
        <v>11902.29</v>
      </c>
      <c r="AA39" s="65" t="s">
        <v>253</v>
      </c>
      <c r="AB39" s="65" t="s">
        <v>152</v>
      </c>
      <c r="AC39" s="68">
        <v>11228.58</v>
      </c>
      <c r="AD39" s="65" t="s">
        <v>228</v>
      </c>
      <c r="AE39" s="68">
        <v>673.71</v>
      </c>
    </row>
    <row r="40" spans="1:31" s="65" customFormat="1" ht="11.4" x14ac:dyDescent="0.25">
      <c r="A40" s="65">
        <v>25</v>
      </c>
      <c r="B40" s="65" t="s">
        <v>136</v>
      </c>
      <c r="C40" s="65" t="s">
        <v>225</v>
      </c>
      <c r="D40" s="65" t="s">
        <v>226</v>
      </c>
      <c r="E40" s="66">
        <v>634.49</v>
      </c>
      <c r="F40" s="66">
        <v>7384</v>
      </c>
      <c r="G40" s="66">
        <v>6727</v>
      </c>
      <c r="H40" s="66">
        <v>1181.44</v>
      </c>
      <c r="I40" s="66">
        <v>664.56</v>
      </c>
      <c r="J40" s="66">
        <v>36.92</v>
      </c>
      <c r="K40" s="66">
        <v>14.77</v>
      </c>
      <c r="L40" s="66"/>
      <c r="M40" s="66">
        <v>110.76</v>
      </c>
      <c r="N40" s="66">
        <v>471</v>
      </c>
      <c r="O40" s="66">
        <f t="shared" si="0"/>
        <v>2479.4499999999998</v>
      </c>
      <c r="P40" s="66">
        <v>590.72</v>
      </c>
      <c r="Q40" s="66">
        <v>147.68</v>
      </c>
      <c r="R40" s="66">
        <v>36.92</v>
      </c>
      <c r="S40" s="66"/>
      <c r="T40" s="66"/>
      <c r="U40" s="66">
        <v>471</v>
      </c>
      <c r="V40" s="66">
        <f t="shared" si="1"/>
        <v>1246.3200000000002</v>
      </c>
      <c r="W40" s="66">
        <v>5082.41</v>
      </c>
      <c r="X40" s="66"/>
      <c r="Y40" s="67">
        <f>SUM(E40,O40,V40:X40)</f>
        <v>9442.67</v>
      </c>
      <c r="AA40" s="65" t="s">
        <v>254</v>
      </c>
      <c r="AB40" s="65" t="s">
        <v>137</v>
      </c>
      <c r="AC40" s="68">
        <v>8908.17</v>
      </c>
      <c r="AD40" s="65" t="s">
        <v>228</v>
      </c>
      <c r="AE40" s="68">
        <v>534.5</v>
      </c>
    </row>
    <row r="41" spans="1:31" s="65" customFormat="1" ht="11.4" x14ac:dyDescent="0.25">
      <c r="A41" s="65" t="s">
        <v>255</v>
      </c>
      <c r="E41" s="66">
        <f>SUM(E16:E40)</f>
        <v>19801.400000000001</v>
      </c>
      <c r="F41" s="66"/>
      <c r="G41" s="66"/>
      <c r="H41" s="66">
        <f t="shared" ref="H41:Y41" si="3">SUM(H16:H40)</f>
        <v>37885.279999999992</v>
      </c>
      <c r="I41" s="66">
        <f t="shared" si="3"/>
        <v>21310.560000000001</v>
      </c>
      <c r="J41" s="66">
        <f t="shared" si="3"/>
        <v>1183.9599999999998</v>
      </c>
      <c r="K41" s="66">
        <f t="shared" si="3"/>
        <v>473.60999999999996</v>
      </c>
      <c r="L41" s="66">
        <f t="shared" si="3"/>
        <v>0</v>
      </c>
      <c r="M41" s="66">
        <f t="shared" si="3"/>
        <v>3551.7900000000009</v>
      </c>
      <c r="N41" s="66">
        <f t="shared" si="3"/>
        <v>15602</v>
      </c>
      <c r="O41" s="66">
        <f t="shared" si="3"/>
        <v>80007.199999999997</v>
      </c>
      <c r="P41" s="66">
        <f t="shared" si="3"/>
        <v>18942.639999999996</v>
      </c>
      <c r="Q41" s="66">
        <f t="shared" si="3"/>
        <v>4735.6599999999989</v>
      </c>
      <c r="R41" s="66">
        <f t="shared" si="3"/>
        <v>1183.9599999999998</v>
      </c>
      <c r="S41" s="66">
        <f t="shared" si="3"/>
        <v>0</v>
      </c>
      <c r="T41" s="66">
        <f t="shared" si="3"/>
        <v>0</v>
      </c>
      <c r="U41" s="66">
        <f t="shared" si="3"/>
        <v>15602</v>
      </c>
      <c r="V41" s="66">
        <f t="shared" si="3"/>
        <v>40464.259999999995</v>
      </c>
      <c r="W41" s="66">
        <f t="shared" si="3"/>
        <v>167150.49000000002</v>
      </c>
      <c r="X41" s="66">
        <f t="shared" si="3"/>
        <v>0</v>
      </c>
      <c r="Y41" s="67">
        <f t="shared" si="3"/>
        <v>307423.34999999998</v>
      </c>
      <c r="AC41" s="68">
        <f>SUM(AC16:AC40)</f>
        <v>290021.84000000003</v>
      </c>
      <c r="AE41" s="68">
        <f>SUM(AE16:AE40)</f>
        <v>17401.509999999998</v>
      </c>
    </row>
    <row r="42" spans="1:31" s="65" customFormat="1" ht="11.4" x14ac:dyDescent="0.25">
      <c r="A42" s="69" t="s">
        <v>256</v>
      </c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70">
        <v>307423.34999999998</v>
      </c>
      <c r="AC42" s="68"/>
      <c r="AE42" s="68"/>
    </row>
    <row r="43" spans="1:31" x14ac:dyDescent="0.25"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</row>
    <row r="44" spans="1:31" s="73" customFormat="1" ht="11.4" x14ac:dyDescent="0.25">
      <c r="A44" s="72" t="s">
        <v>58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AC44" s="74"/>
      <c r="AE44" s="74"/>
    </row>
    <row r="45" spans="1:31" s="76" customFormat="1" ht="30" customHeight="1" x14ac:dyDescent="0.15">
      <c r="A45" s="54" t="s">
        <v>0</v>
      </c>
      <c r="B45" s="54" t="s">
        <v>185</v>
      </c>
      <c r="C45" s="54" t="s">
        <v>257</v>
      </c>
      <c r="D45" s="54" t="s">
        <v>258</v>
      </c>
      <c r="E45" s="55" t="s">
        <v>198</v>
      </c>
      <c r="F45" s="55" t="s">
        <v>201</v>
      </c>
      <c r="G45" s="55" t="s">
        <v>202</v>
      </c>
      <c r="H45" s="55" t="s">
        <v>41</v>
      </c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AC45" s="75"/>
      <c r="AE45" s="75"/>
    </row>
    <row r="46" spans="1:31" s="78" customFormat="1" ht="30" customHeight="1" x14ac:dyDescent="0.25">
      <c r="A46" s="61" t="s">
        <v>203</v>
      </c>
      <c r="B46" s="61" t="s">
        <v>204</v>
      </c>
      <c r="C46" s="61" t="s">
        <v>259</v>
      </c>
      <c r="D46" s="61" t="s">
        <v>260</v>
      </c>
      <c r="E46" s="62" t="s">
        <v>220</v>
      </c>
      <c r="F46" s="62" t="s">
        <v>223</v>
      </c>
      <c r="G46" s="62" t="s">
        <v>224</v>
      </c>
      <c r="H46" s="62" t="s">
        <v>94</v>
      </c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AC46" s="77"/>
      <c r="AE46" s="77"/>
    </row>
    <row r="47" spans="1:31" s="73" customFormat="1" ht="11.4" x14ac:dyDescent="0.25">
      <c r="A47" s="65">
        <v>1</v>
      </c>
      <c r="B47" s="65" t="s">
        <v>225</v>
      </c>
      <c r="C47" s="65" t="s">
        <v>261</v>
      </c>
      <c r="D47" s="66">
        <v>0</v>
      </c>
      <c r="E47" s="68"/>
      <c r="F47" s="66">
        <v>0.19</v>
      </c>
      <c r="G47" s="68">
        <v>0.06</v>
      </c>
      <c r="H47" s="66">
        <v>-0.19</v>
      </c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AC47" s="74"/>
      <c r="AE47" s="74"/>
    </row>
    <row r="48" spans="1:31" s="73" customFormat="1" ht="11.4" x14ac:dyDescent="0.25">
      <c r="A48" s="65" t="s">
        <v>255</v>
      </c>
      <c r="B48" s="65"/>
      <c r="C48" s="65"/>
      <c r="D48" s="66">
        <f>SUM(D47:D47)</f>
        <v>0</v>
      </c>
      <c r="E48" s="68"/>
      <c r="F48" s="66">
        <f>SUM(F47:F47)</f>
        <v>0.19</v>
      </c>
      <c r="G48" s="68"/>
      <c r="H48" s="66">
        <f>SUM(H47:H47)</f>
        <v>-0.19</v>
      </c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AC48" s="74"/>
      <c r="AE48" s="74"/>
    </row>
    <row r="49" spans="1:31" s="73" customFormat="1" ht="11.4" x14ac:dyDescent="0.25">
      <c r="A49" s="69" t="s">
        <v>262</v>
      </c>
      <c r="B49" s="65"/>
      <c r="C49" s="65"/>
      <c r="D49" s="79">
        <v>0</v>
      </c>
      <c r="E49" s="68"/>
      <c r="F49" s="79">
        <v>0.19</v>
      </c>
      <c r="G49" s="68"/>
      <c r="H49" s="79">
        <v>-0.19</v>
      </c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AC49" s="74"/>
      <c r="AE49" s="74"/>
    </row>
    <row r="51" spans="1:31" x14ac:dyDescent="0.25">
      <c r="A51" s="45" t="s">
        <v>263</v>
      </c>
    </row>
    <row r="52" spans="1:31" ht="25.05" customHeight="1" x14ac:dyDescent="0.25">
      <c r="A52" s="80" t="s">
        <v>264</v>
      </c>
      <c r="B52" s="80" t="s">
        <v>265</v>
      </c>
      <c r="C52" s="80" t="s">
        <v>202</v>
      </c>
      <c r="D52" s="80" t="s">
        <v>266</v>
      </c>
    </row>
    <row r="53" spans="1:31" ht="25.05" customHeight="1" x14ac:dyDescent="0.25">
      <c r="A53" s="81"/>
      <c r="B53" s="81"/>
      <c r="C53" s="81"/>
      <c r="D53" s="81"/>
    </row>
    <row r="54" spans="1:31" x14ac:dyDescent="0.25">
      <c r="A54" s="65">
        <v>1</v>
      </c>
      <c r="B54" s="68">
        <v>290022.03000000003</v>
      </c>
      <c r="C54" s="65" t="s">
        <v>228</v>
      </c>
      <c r="D54" s="68">
        <v>17401.32</v>
      </c>
    </row>
    <row r="55" spans="1:31" x14ac:dyDescent="0.25">
      <c r="A55" s="65" t="s">
        <v>267</v>
      </c>
      <c r="B55" s="68">
        <v>290022.03000000003</v>
      </c>
      <c r="C55" s="65"/>
      <c r="D55" s="68">
        <v>17401.32</v>
      </c>
    </row>
    <row r="56" spans="1:31" x14ac:dyDescent="0.25">
      <c r="A56" s="82" t="s">
        <v>268</v>
      </c>
      <c r="B56" s="83"/>
      <c r="C56" s="83"/>
      <c r="D56" s="84">
        <v>17401.32</v>
      </c>
    </row>
    <row r="57" spans="1:31" x14ac:dyDescent="0.25">
      <c r="A57" s="85" t="s">
        <v>269</v>
      </c>
    </row>
    <row r="58" spans="1:31" x14ac:dyDescent="0.25">
      <c r="A58" s="86">
        <v>307423.35000000003</v>
      </c>
    </row>
    <row r="59" spans="1:31" x14ac:dyDescent="0.25">
      <c r="A59" s="85" t="s">
        <v>270</v>
      </c>
    </row>
    <row r="61" spans="1:31" s="88" customFormat="1" ht="17.399999999999999" x14ac:dyDescent="0.25">
      <c r="A61" s="87" t="s">
        <v>271</v>
      </c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AC61" s="89"/>
      <c r="AE61" s="89"/>
    </row>
    <row r="63" spans="1:31" s="51" customFormat="1" ht="13.2" x14ac:dyDescent="0.25">
      <c r="A63" s="50" t="s">
        <v>272</v>
      </c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AC63" s="52"/>
      <c r="AE63" s="52"/>
    </row>
    <row r="64" spans="1:31" s="73" customFormat="1" ht="11.4" x14ac:dyDescent="0.25">
      <c r="A64" s="65" t="s">
        <v>0</v>
      </c>
      <c r="B64" s="65" t="s">
        <v>3</v>
      </c>
      <c r="C64" s="65" t="s">
        <v>7</v>
      </c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AC64" s="74"/>
      <c r="AE64" s="74"/>
    </row>
    <row r="65" spans="1:31" s="73" customFormat="1" ht="11.4" x14ac:dyDescent="0.25">
      <c r="A65" s="65">
        <v>1</v>
      </c>
      <c r="B65" s="65" t="s">
        <v>273</v>
      </c>
      <c r="C65" s="65" t="s">
        <v>274</v>
      </c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AC65" s="74"/>
      <c r="AE65" s="74"/>
    </row>
    <row r="66" spans="1:31" s="73" customFormat="1" ht="11.4" x14ac:dyDescent="0.25">
      <c r="A66" s="65">
        <v>2</v>
      </c>
      <c r="B66" s="65" t="s">
        <v>275</v>
      </c>
      <c r="C66" s="65" t="s">
        <v>274</v>
      </c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AC66" s="74"/>
      <c r="AE66" s="74"/>
    </row>
    <row r="68" spans="1:31" x14ac:dyDescent="0.25">
      <c r="A68" s="90" t="s">
        <v>276</v>
      </c>
      <c r="J68" s="46" t="s">
        <v>277</v>
      </c>
    </row>
    <row r="70" spans="1:31" x14ac:dyDescent="0.25">
      <c r="A70" s="44" t="s">
        <v>278</v>
      </c>
      <c r="G70" s="91" t="s">
        <v>278</v>
      </c>
    </row>
    <row r="71" spans="1:31" x14ac:dyDescent="0.25">
      <c r="A71" s="44" t="s">
        <v>279</v>
      </c>
      <c r="G71" s="91" t="s">
        <v>280</v>
      </c>
    </row>
    <row r="72" spans="1:31" x14ac:dyDescent="0.25">
      <c r="A72" s="44" t="s">
        <v>281</v>
      </c>
      <c r="G72" s="91" t="s">
        <v>282</v>
      </c>
    </row>
    <row r="73" spans="1:31" x14ac:dyDescent="0.25">
      <c r="A73" s="44" t="s">
        <v>283</v>
      </c>
      <c r="G73" s="91" t="s">
        <v>284</v>
      </c>
    </row>
    <row r="74" spans="1:31" x14ac:dyDescent="0.25">
      <c r="A74" s="44" t="s">
        <v>285</v>
      </c>
      <c r="G74" s="91" t="s">
        <v>286</v>
      </c>
    </row>
    <row r="76" spans="1:31" x14ac:dyDescent="0.25">
      <c r="A76" s="44" t="s">
        <v>278</v>
      </c>
    </row>
    <row r="77" spans="1:31" x14ac:dyDescent="0.25">
      <c r="A77" s="44" t="s">
        <v>287</v>
      </c>
    </row>
    <row r="78" spans="1:31" x14ac:dyDescent="0.25">
      <c r="A78" s="44" t="s">
        <v>288</v>
      </c>
    </row>
    <row r="79" spans="1:31" x14ac:dyDescent="0.25">
      <c r="A79" s="44" t="s">
        <v>289</v>
      </c>
    </row>
    <row r="80" spans="1:31" x14ac:dyDescent="0.25">
      <c r="A80" s="44" t="s">
        <v>290</v>
      </c>
    </row>
    <row r="82" spans="1:10" x14ac:dyDescent="0.25">
      <c r="A82" s="90" t="s">
        <v>291</v>
      </c>
      <c r="D82" s="90" t="s">
        <v>292</v>
      </c>
      <c r="G82" s="91" t="s">
        <v>178</v>
      </c>
    </row>
    <row r="83" spans="1:10" x14ac:dyDescent="0.25">
      <c r="A83" s="90" t="s">
        <v>293</v>
      </c>
      <c r="G83" s="92" t="s">
        <v>294</v>
      </c>
    </row>
    <row r="84" spans="1:10" x14ac:dyDescent="0.25">
      <c r="A84" s="90" t="s">
        <v>295</v>
      </c>
      <c r="D84" s="90" t="s">
        <v>296</v>
      </c>
      <c r="G84" s="92" t="s">
        <v>297</v>
      </c>
    </row>
    <row r="85" spans="1:10" x14ac:dyDescent="0.25">
      <c r="A85" s="90" t="s">
        <v>298</v>
      </c>
      <c r="D85" s="90" t="s">
        <v>299</v>
      </c>
      <c r="G85" s="92" t="s">
        <v>300</v>
      </c>
      <c r="J85" s="92" t="s">
        <v>301</v>
      </c>
    </row>
    <row r="87" spans="1:10" x14ac:dyDescent="0.25">
      <c r="A87" s="90" t="s">
        <v>302</v>
      </c>
      <c r="B87" s="90" t="s">
        <v>303</v>
      </c>
    </row>
    <row r="88" spans="1:10" x14ac:dyDescent="0.25">
      <c r="B88" s="90" t="s">
        <v>304</v>
      </c>
    </row>
    <row r="89" spans="1:10" x14ac:dyDescent="0.25">
      <c r="B89" s="90" t="s">
        <v>305</v>
      </c>
    </row>
    <row r="90" spans="1:10" x14ac:dyDescent="0.25">
      <c r="B90" s="90" t="s">
        <v>306</v>
      </c>
    </row>
    <row r="91" spans="1:10" x14ac:dyDescent="0.25">
      <c r="B91" s="90" t="s">
        <v>307</v>
      </c>
    </row>
    <row r="93" spans="1:10" x14ac:dyDescent="0.25">
      <c r="A93" s="90" t="s">
        <v>308</v>
      </c>
      <c r="B93" s="90" t="s">
        <v>309</v>
      </c>
    </row>
    <row r="94" spans="1:10" x14ac:dyDescent="0.25">
      <c r="B94" s="90" t="s">
        <v>310</v>
      </c>
    </row>
  </sheetData>
  <mergeCells count="7">
    <mergeCell ref="A56:C56"/>
    <mergeCell ref="H14:M14"/>
    <mergeCell ref="P14:T14"/>
    <mergeCell ref="A52:A53"/>
    <mergeCell ref="B52:B53"/>
    <mergeCell ref="C52:C53"/>
    <mergeCell ref="D52:D53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202502</vt:lpstr>
      <vt:lpstr>对账单</vt:lpstr>
      <vt:lpstr>系统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蔡英杰</dc:creator>
  <cp:lastModifiedBy>罗紫丹</cp:lastModifiedBy>
  <dcterms:created xsi:type="dcterms:W3CDTF">2023-05-09T22:00:00Z</dcterms:created>
  <dcterms:modified xsi:type="dcterms:W3CDTF">2025-02-17T02:43:12Z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2052-6.0.2.8225</vt:lpwstr>
  </property>
  <property fmtid="{D5CDD505-2E9C-101B-9397-08002B2CF9AE}" pid="3" name="ICV">
    <vt:lpwstr>6B0A5D117CA41B9B20F4AB6798871D51_42</vt:lpwstr>
  </property>
</Properties>
</file>