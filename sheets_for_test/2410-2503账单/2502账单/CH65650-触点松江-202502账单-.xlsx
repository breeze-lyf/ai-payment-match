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idan.luo\Desktop\电信工作\202502电信\2502账单\"/>
    </mc:Choice>
  </mc:AlternateContent>
  <xr:revisionPtr revIDLastSave="0" documentId="13_ncr:1_{C2DFBB90-FFF9-48A8-92D1-3E66A72F9053}" xr6:coauthVersionLast="36" xr6:coauthVersionMax="36" xr10:uidLastSave="{00000000-0000-0000-0000-000000000000}"/>
  <bookViews>
    <workbookView minimized="1" xWindow="0" yWindow="0" windowWidth="23040" windowHeight="8700" xr2:uid="{749AFD7C-D758-4954-9089-754474E162FD}"/>
  </bookViews>
  <sheets>
    <sheet name="202502" sheetId="1" r:id="rId1"/>
    <sheet name="对账单" sheetId="3" r:id="rId2"/>
    <sheet name="系统" sheetId="2" r:id="rId3"/>
  </sheets>
  <definedNames>
    <definedName name="_xlnm._FilterDatabase" localSheetId="0" hidden="1">'202502'!$A$1:$BG$43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3" l="1"/>
  <c r="D9" i="3"/>
  <c r="D8" i="3"/>
  <c r="D7" i="3"/>
  <c r="I7" i="3" s="1"/>
  <c r="F9" i="3"/>
  <c r="C7" i="3"/>
  <c r="C5" i="3"/>
  <c r="J5" i="3" s="1"/>
  <c r="C4" i="3"/>
  <c r="C2" i="3"/>
  <c r="B10" i="3"/>
  <c r="B9" i="3"/>
  <c r="B8" i="3"/>
  <c r="B7" i="3"/>
  <c r="J7" i="3" s="1"/>
  <c r="B5" i="3"/>
  <c r="B4" i="3"/>
  <c r="B3" i="3"/>
  <c r="B2" i="3"/>
  <c r="H11" i="3"/>
  <c r="G11" i="3"/>
  <c r="I10" i="3"/>
  <c r="J10" i="3"/>
  <c r="J9" i="3"/>
  <c r="J8" i="3"/>
  <c r="I8" i="3"/>
  <c r="J6" i="3"/>
  <c r="I6" i="3"/>
  <c r="E11" i="3"/>
  <c r="E14" i="3" s="1"/>
  <c r="J4" i="3"/>
  <c r="I4" i="3"/>
  <c r="J3" i="3"/>
  <c r="I3" i="3"/>
  <c r="I2" i="3"/>
  <c r="J2" i="3"/>
  <c r="D11" i="3" l="1"/>
  <c r="D13" i="3" s="1"/>
  <c r="I5" i="3"/>
  <c r="C11" i="3"/>
  <c r="B11" i="3"/>
  <c r="B14" i="3" s="1"/>
  <c r="I15" i="3" s="1"/>
  <c r="I9" i="3"/>
  <c r="F11" i="3"/>
  <c r="C14" i="3"/>
  <c r="G13" i="3"/>
  <c r="G14" i="3" s="1"/>
  <c r="H13" i="3"/>
  <c r="H14" i="3" s="1"/>
  <c r="I11" i="3" l="1"/>
  <c r="F13" i="3"/>
  <c r="I13" i="3" s="1"/>
  <c r="D14" i="3"/>
  <c r="F14" i="3" l="1"/>
  <c r="I14" i="3" s="1"/>
  <c r="I16" i="3" s="1"/>
  <c r="I17" i="3" s="1"/>
  <c r="H64" i="2" l="1"/>
  <c r="F64" i="2"/>
  <c r="D64" i="2"/>
  <c r="AF57" i="2"/>
  <c r="AD57" i="2"/>
  <c r="X57" i="2"/>
  <c r="W57" i="2"/>
  <c r="V57" i="2"/>
  <c r="U57" i="2"/>
  <c r="T57" i="2"/>
  <c r="S57" i="2"/>
  <c r="R57" i="2"/>
  <c r="Q57" i="2"/>
  <c r="P57" i="2"/>
  <c r="O57" i="2"/>
  <c r="N57" i="2"/>
  <c r="M57" i="2"/>
  <c r="L57" i="2"/>
  <c r="K57" i="2"/>
  <c r="J57" i="2"/>
  <c r="I57" i="2"/>
  <c r="H57" i="2"/>
  <c r="E57" i="2"/>
  <c r="Y56" i="2"/>
  <c r="V56" i="2"/>
  <c r="O56" i="2"/>
  <c r="Y55" i="2"/>
  <c r="V55" i="2"/>
  <c r="O55" i="2"/>
  <c r="Y54" i="2"/>
  <c r="V54" i="2"/>
  <c r="O54" i="2"/>
  <c r="Y53" i="2"/>
  <c r="V53" i="2"/>
  <c r="O53" i="2"/>
  <c r="Y52" i="2"/>
  <c r="V52" i="2"/>
  <c r="O52" i="2"/>
  <c r="Y51" i="2"/>
  <c r="V51" i="2"/>
  <c r="O51" i="2"/>
  <c r="Y50" i="2"/>
  <c r="V50" i="2"/>
  <c r="O50" i="2"/>
  <c r="Y49" i="2"/>
  <c r="V49" i="2"/>
  <c r="O49" i="2"/>
  <c r="Y48" i="2"/>
  <c r="V48" i="2"/>
  <c r="O48" i="2"/>
  <c r="Y47" i="2"/>
  <c r="V47" i="2"/>
  <c r="O47" i="2"/>
  <c r="Y46" i="2"/>
  <c r="V46" i="2"/>
  <c r="O46" i="2"/>
  <c r="Y45" i="2"/>
  <c r="V45" i="2"/>
  <c r="O45" i="2"/>
  <c r="Y44" i="2"/>
  <c r="V44" i="2"/>
  <c r="O44" i="2"/>
  <c r="Y43" i="2"/>
  <c r="V43" i="2"/>
  <c r="O43" i="2"/>
  <c r="Y42" i="2"/>
  <c r="V42" i="2"/>
  <c r="O42" i="2"/>
  <c r="Y41" i="2"/>
  <c r="V41" i="2"/>
  <c r="O41" i="2"/>
  <c r="Y40" i="2"/>
  <c r="V40" i="2"/>
  <c r="O40" i="2"/>
  <c r="Y39" i="2"/>
  <c r="V39" i="2"/>
  <c r="O39" i="2"/>
  <c r="Y38" i="2"/>
  <c r="V38" i="2"/>
  <c r="O38" i="2"/>
  <c r="Y37" i="2"/>
  <c r="V37" i="2"/>
  <c r="O37" i="2"/>
  <c r="Y36" i="2"/>
  <c r="V36" i="2"/>
  <c r="O36" i="2"/>
  <c r="Y35" i="2"/>
  <c r="V35" i="2"/>
  <c r="O35" i="2"/>
  <c r="Y34" i="2"/>
  <c r="V34" i="2"/>
  <c r="O34" i="2"/>
  <c r="Y33" i="2"/>
  <c r="V33" i="2"/>
  <c r="O33" i="2"/>
  <c r="Y32" i="2"/>
  <c r="V32" i="2"/>
  <c r="O32" i="2"/>
  <c r="Y31" i="2"/>
  <c r="V31" i="2"/>
  <c r="O31" i="2"/>
  <c r="Y30" i="2"/>
  <c r="V30" i="2"/>
  <c r="O30" i="2"/>
  <c r="Y29" i="2"/>
  <c r="V29" i="2"/>
  <c r="O29" i="2"/>
  <c r="Y28" i="2"/>
  <c r="V28" i="2"/>
  <c r="O28" i="2"/>
  <c r="Y27" i="2"/>
  <c r="V27" i="2"/>
  <c r="O27" i="2"/>
  <c r="Y26" i="2"/>
  <c r="V26" i="2"/>
  <c r="O26" i="2"/>
  <c r="Y25" i="2"/>
  <c r="V25" i="2"/>
  <c r="O25" i="2"/>
  <c r="Y24" i="2"/>
  <c r="V24" i="2"/>
  <c r="O24" i="2"/>
  <c r="Y23" i="2"/>
  <c r="V23" i="2"/>
  <c r="O23" i="2"/>
  <c r="Y22" i="2"/>
  <c r="V22" i="2"/>
  <c r="O22" i="2"/>
  <c r="Y21" i="2"/>
  <c r="V21" i="2"/>
  <c r="O21" i="2"/>
  <c r="Y20" i="2"/>
  <c r="V20" i="2"/>
  <c r="O20" i="2"/>
  <c r="Y19" i="2"/>
  <c r="V19" i="2"/>
  <c r="O19" i="2"/>
  <c r="Y18" i="2"/>
  <c r="V18" i="2"/>
  <c r="O18" i="2"/>
  <c r="Y17" i="2"/>
  <c r="Y57" i="2" s="1"/>
  <c r="V17" i="2"/>
  <c r="O17" i="2"/>
  <c r="Y16" i="2"/>
  <c r="V16" i="2"/>
  <c r="O16" i="2"/>
  <c r="BF45" i="1" l="1"/>
  <c r="BF4" i="1"/>
  <c r="BF5" i="1"/>
  <c r="BF6" i="1"/>
  <c r="BF7" i="1"/>
  <c r="BF8" i="1"/>
  <c r="BF9" i="1"/>
  <c r="BF10" i="1"/>
  <c r="BF11" i="1"/>
  <c r="BF12" i="1"/>
  <c r="BF13" i="1"/>
  <c r="BF14" i="1"/>
  <c r="BF15" i="1"/>
  <c r="BF16" i="1"/>
  <c r="BF17" i="1"/>
  <c r="BF18" i="1"/>
  <c r="BF19" i="1"/>
  <c r="BF20" i="1"/>
  <c r="BF21" i="1"/>
  <c r="BF22" i="1"/>
  <c r="BF23" i="1"/>
  <c r="BF24" i="1"/>
  <c r="BF25" i="1"/>
  <c r="BF26" i="1"/>
  <c r="BF27" i="1"/>
  <c r="BF28" i="1"/>
  <c r="BF29" i="1"/>
  <c r="BF30" i="1"/>
  <c r="BF31" i="1"/>
  <c r="BF32" i="1"/>
  <c r="BF33" i="1"/>
  <c r="BF34" i="1"/>
  <c r="BF35" i="1"/>
  <c r="BF36" i="1"/>
  <c r="BF37" i="1"/>
  <c r="BF38" i="1"/>
  <c r="BF39" i="1"/>
  <c r="BF40" i="1"/>
  <c r="BF41" i="1"/>
  <c r="BF42" i="1"/>
  <c r="BF43" i="1"/>
  <c r="BF3" i="1"/>
  <c r="AZ45" i="1" l="1"/>
  <c r="AW45" i="1" l="1"/>
  <c r="AY43" i="1" l="1"/>
  <c r="AY32" i="1"/>
  <c r="AY25" i="1"/>
  <c r="AY24" i="1"/>
  <c r="AY21" i="1"/>
  <c r="AY18" i="1"/>
  <c r="AY5" i="1"/>
  <c r="AY4" i="1"/>
  <c r="AY45" i="1" s="1"/>
  <c r="BB45" i="1" l="1"/>
  <c r="AH12" i="1" l="1"/>
  <c r="AV43" i="1"/>
  <c r="AA43" i="1"/>
  <c r="AL43" i="1" s="1"/>
  <c r="A43" i="1"/>
  <c r="AX43" i="1" l="1"/>
  <c r="BC43" i="1" l="1"/>
  <c r="BD43" i="1" s="1"/>
  <c r="BE43" i="1" s="1"/>
  <c r="A5" i="1" l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U42" i="1" l="1"/>
  <c r="AT42" i="1"/>
  <c r="AQ42" i="1"/>
  <c r="AP42" i="1"/>
  <c r="AO42" i="1"/>
  <c r="AG42" i="1"/>
  <c r="AH42" i="1" s="1"/>
  <c r="AU41" i="1"/>
  <c r="AT41" i="1"/>
  <c r="AQ41" i="1"/>
  <c r="AP41" i="1"/>
  <c r="AO41" i="1"/>
  <c r="AG41" i="1"/>
  <c r="AH41" i="1" s="1"/>
  <c r="AU40" i="1"/>
  <c r="AT40" i="1"/>
  <c r="AQ40" i="1"/>
  <c r="AP40" i="1"/>
  <c r="AO40" i="1"/>
  <c r="AG40" i="1"/>
  <c r="AH40" i="1" s="1"/>
  <c r="AU39" i="1"/>
  <c r="AT39" i="1"/>
  <c r="AQ39" i="1"/>
  <c r="AP39" i="1"/>
  <c r="AO39" i="1"/>
  <c r="AG39" i="1"/>
  <c r="AH39" i="1" s="1"/>
  <c r="AU38" i="1"/>
  <c r="AT38" i="1"/>
  <c r="AQ38" i="1"/>
  <c r="AP38" i="1"/>
  <c r="AO38" i="1"/>
  <c r="AG38" i="1"/>
  <c r="AH38" i="1" s="1"/>
  <c r="AU37" i="1"/>
  <c r="AT37" i="1"/>
  <c r="AQ37" i="1"/>
  <c r="AP37" i="1"/>
  <c r="AO37" i="1"/>
  <c r="AG37" i="1"/>
  <c r="AH37" i="1" s="1"/>
  <c r="AU36" i="1"/>
  <c r="AT36" i="1"/>
  <c r="AQ36" i="1"/>
  <c r="AP36" i="1"/>
  <c r="AO36" i="1"/>
  <c r="AG36" i="1"/>
  <c r="AH36" i="1" s="1"/>
  <c r="AU35" i="1"/>
  <c r="AT35" i="1"/>
  <c r="AQ35" i="1"/>
  <c r="AO35" i="1"/>
  <c r="AG35" i="1"/>
  <c r="AH35" i="1" s="1"/>
  <c r="AU34" i="1"/>
  <c r="AT34" i="1"/>
  <c r="AQ34" i="1"/>
  <c r="AP34" i="1"/>
  <c r="AO34" i="1"/>
  <c r="AG34" i="1"/>
  <c r="AH34" i="1" s="1"/>
  <c r="AU33" i="1"/>
  <c r="AT33" i="1"/>
  <c r="AQ33" i="1"/>
  <c r="AP33" i="1"/>
  <c r="AO33" i="1"/>
  <c r="AG33" i="1"/>
  <c r="AH33" i="1" s="1"/>
  <c r="AU32" i="1"/>
  <c r="AT32" i="1"/>
  <c r="AQ32" i="1"/>
  <c r="AP32" i="1"/>
  <c r="AO32" i="1"/>
  <c r="AG32" i="1"/>
  <c r="AH32" i="1" s="1"/>
  <c r="AU31" i="1"/>
  <c r="AT31" i="1"/>
  <c r="AQ31" i="1"/>
  <c r="AP31" i="1"/>
  <c r="AO31" i="1"/>
  <c r="AG31" i="1"/>
  <c r="AH31" i="1" s="1"/>
  <c r="AU30" i="1"/>
  <c r="AT30" i="1"/>
  <c r="AQ30" i="1"/>
  <c r="AO30" i="1"/>
  <c r="AG30" i="1"/>
  <c r="AH30" i="1" s="1"/>
  <c r="AU29" i="1"/>
  <c r="AT29" i="1"/>
  <c r="AQ29" i="1"/>
  <c r="AP29" i="1"/>
  <c r="AO29" i="1"/>
  <c r="AG29" i="1"/>
  <c r="AH29" i="1" s="1"/>
  <c r="AU28" i="1"/>
  <c r="AT28" i="1"/>
  <c r="AQ28" i="1"/>
  <c r="AO28" i="1"/>
  <c r="AG28" i="1"/>
  <c r="AH28" i="1" s="1"/>
  <c r="AU27" i="1"/>
  <c r="AT27" i="1"/>
  <c r="AQ27" i="1"/>
  <c r="AP27" i="1"/>
  <c r="AO27" i="1"/>
  <c r="AG27" i="1"/>
  <c r="AH27" i="1" s="1"/>
  <c r="AU26" i="1"/>
  <c r="AT26" i="1"/>
  <c r="AQ26" i="1"/>
  <c r="AP26" i="1"/>
  <c r="AO26" i="1"/>
  <c r="AG26" i="1"/>
  <c r="AH26" i="1" s="1"/>
  <c r="AU25" i="1"/>
  <c r="AT25" i="1"/>
  <c r="AQ25" i="1"/>
  <c r="AP25" i="1"/>
  <c r="AO25" i="1"/>
  <c r="AG25" i="1"/>
  <c r="AH25" i="1" s="1"/>
  <c r="AU24" i="1"/>
  <c r="AT24" i="1"/>
  <c r="AQ24" i="1"/>
  <c r="AP24" i="1"/>
  <c r="AO24" i="1"/>
  <c r="AG24" i="1"/>
  <c r="AH24" i="1" s="1"/>
  <c r="AU23" i="1"/>
  <c r="AT23" i="1"/>
  <c r="AQ23" i="1"/>
  <c r="AP23" i="1"/>
  <c r="AO23" i="1"/>
  <c r="AG23" i="1"/>
  <c r="AH23" i="1" s="1"/>
  <c r="AU22" i="1"/>
  <c r="AT22" i="1"/>
  <c r="AQ22" i="1"/>
  <c r="AP22" i="1"/>
  <c r="AO22" i="1"/>
  <c r="AG22" i="1"/>
  <c r="AH22" i="1" s="1"/>
  <c r="AU21" i="1"/>
  <c r="AT21" i="1"/>
  <c r="AQ21" i="1"/>
  <c r="AP21" i="1"/>
  <c r="AO21" i="1"/>
  <c r="AG21" i="1"/>
  <c r="AH21" i="1" s="1"/>
  <c r="AU20" i="1"/>
  <c r="AT20" i="1"/>
  <c r="AQ20" i="1"/>
  <c r="AP20" i="1"/>
  <c r="AO20" i="1"/>
  <c r="AG20" i="1"/>
  <c r="AH20" i="1" s="1"/>
  <c r="AU19" i="1"/>
  <c r="AT19" i="1"/>
  <c r="AQ19" i="1"/>
  <c r="AP19" i="1"/>
  <c r="AO19" i="1"/>
  <c r="AG19" i="1"/>
  <c r="AH19" i="1" s="1"/>
  <c r="AU18" i="1"/>
  <c r="AT18" i="1"/>
  <c r="AQ18" i="1"/>
  <c r="AP18" i="1"/>
  <c r="AO18" i="1"/>
  <c r="AG18" i="1"/>
  <c r="AH18" i="1" s="1"/>
  <c r="AU17" i="1"/>
  <c r="AT17" i="1"/>
  <c r="AQ17" i="1"/>
  <c r="AP17" i="1"/>
  <c r="AO17" i="1"/>
  <c r="AG17" i="1"/>
  <c r="AH17" i="1" s="1"/>
  <c r="AU16" i="1"/>
  <c r="AT16" i="1"/>
  <c r="AQ16" i="1"/>
  <c r="AO16" i="1"/>
  <c r="AG16" i="1"/>
  <c r="AH16" i="1" s="1"/>
  <c r="AU15" i="1"/>
  <c r="AT15" i="1"/>
  <c r="AQ15" i="1"/>
  <c r="AP15" i="1"/>
  <c r="AO15" i="1"/>
  <c r="AG15" i="1"/>
  <c r="AH15" i="1" s="1"/>
  <c r="AU14" i="1"/>
  <c r="AT14" i="1"/>
  <c r="AQ14" i="1"/>
  <c r="AP14" i="1"/>
  <c r="AO14" i="1"/>
  <c r="AG14" i="1"/>
  <c r="AH14" i="1" s="1"/>
  <c r="AU13" i="1"/>
  <c r="AT13" i="1"/>
  <c r="AQ13" i="1"/>
  <c r="AP13" i="1"/>
  <c r="AO13" i="1"/>
  <c r="AG13" i="1"/>
  <c r="AH13" i="1" s="1"/>
  <c r="AU11" i="1"/>
  <c r="AT11" i="1"/>
  <c r="AQ11" i="1"/>
  <c r="AP11" i="1"/>
  <c r="AO11" i="1"/>
  <c r="AG11" i="1"/>
  <c r="AH11" i="1" s="1"/>
  <c r="AU10" i="1"/>
  <c r="AT10" i="1"/>
  <c r="AQ10" i="1"/>
  <c r="AP10" i="1"/>
  <c r="AO10" i="1"/>
  <c r="AG10" i="1"/>
  <c r="AH10" i="1" s="1"/>
  <c r="AU9" i="1"/>
  <c r="AT9" i="1"/>
  <c r="AQ9" i="1"/>
  <c r="AO9" i="1"/>
  <c r="AG9" i="1"/>
  <c r="AH9" i="1" s="1"/>
  <c r="AU8" i="1"/>
  <c r="AT8" i="1"/>
  <c r="AQ8" i="1"/>
  <c r="AP8" i="1"/>
  <c r="AO8" i="1"/>
  <c r="AG8" i="1"/>
  <c r="AH8" i="1" s="1"/>
  <c r="AU7" i="1"/>
  <c r="AT7" i="1"/>
  <c r="AQ7" i="1"/>
  <c r="AP7" i="1"/>
  <c r="AO7" i="1"/>
  <c r="AG7" i="1"/>
  <c r="AH7" i="1" s="1"/>
  <c r="AU6" i="1"/>
  <c r="AT6" i="1"/>
  <c r="AQ6" i="1"/>
  <c r="AP6" i="1"/>
  <c r="AO6" i="1"/>
  <c r="AG6" i="1"/>
  <c r="AH6" i="1" s="1"/>
  <c r="AU5" i="1"/>
  <c r="AT5" i="1"/>
  <c r="AQ5" i="1"/>
  <c r="AP5" i="1"/>
  <c r="AO5" i="1"/>
  <c r="AG5" i="1"/>
  <c r="AH5" i="1" s="1"/>
  <c r="AU4" i="1"/>
  <c r="AT4" i="1"/>
  <c r="AQ4" i="1"/>
  <c r="AP4" i="1"/>
  <c r="AO4" i="1"/>
  <c r="AG4" i="1"/>
  <c r="AH4" i="1" s="1"/>
  <c r="A4" i="1"/>
  <c r="AU3" i="1"/>
  <c r="AT3" i="1"/>
  <c r="AQ3" i="1"/>
  <c r="AP3" i="1"/>
  <c r="AO3" i="1"/>
  <c r="AG3" i="1"/>
  <c r="AH3" i="1" s="1"/>
  <c r="A3" i="1"/>
  <c r="AH45" i="1" l="1"/>
  <c r="AA7" i="1"/>
  <c r="AL7" i="1" s="1"/>
  <c r="AA17" i="1"/>
  <c r="AL17" i="1" s="1"/>
  <c r="AA35" i="1"/>
  <c r="AL35" i="1" s="1"/>
  <c r="AA38" i="1"/>
  <c r="AL38" i="1" s="1"/>
  <c r="AA42" i="1"/>
  <c r="AL42" i="1" s="1"/>
  <c r="AA6" i="1"/>
  <c r="AL6" i="1" s="1"/>
  <c r="AA13" i="1"/>
  <c r="AL13" i="1" s="1"/>
  <c r="AA20" i="1"/>
  <c r="AL20" i="1" s="1"/>
  <c r="AA28" i="1"/>
  <c r="AL28" i="1" s="1"/>
  <c r="AA34" i="1"/>
  <c r="AL34" i="1" s="1"/>
  <c r="AA37" i="1"/>
  <c r="AL37" i="1" s="1"/>
  <c r="AA41" i="1"/>
  <c r="AL41" i="1" s="1"/>
  <c r="AA10" i="1"/>
  <c r="AL10" i="1" s="1"/>
  <c r="AA14" i="1"/>
  <c r="AL14" i="1" s="1"/>
  <c r="AA31" i="1"/>
  <c r="AL31" i="1" s="1"/>
  <c r="AA16" i="1"/>
  <c r="AL16" i="1" s="1"/>
  <c r="AA19" i="1"/>
  <c r="AL19" i="1" s="1"/>
  <c r="AA23" i="1"/>
  <c r="AL23" i="1" s="1"/>
  <c r="AA27" i="1"/>
  <c r="AL27" i="1" s="1"/>
  <c r="AA30" i="1"/>
  <c r="AL30" i="1" s="1"/>
  <c r="AA33" i="1"/>
  <c r="AL33" i="1" s="1"/>
  <c r="AA36" i="1"/>
  <c r="AL36" i="1" s="1"/>
  <c r="AA40" i="1"/>
  <c r="AL40" i="1" s="1"/>
  <c r="AA9" i="1"/>
  <c r="AL9" i="1" s="1"/>
  <c r="AA3" i="1"/>
  <c r="AA8" i="1"/>
  <c r="AL8" i="1" s="1"/>
  <c r="AA11" i="1"/>
  <c r="AL11" i="1" s="1"/>
  <c r="AA15" i="1"/>
  <c r="AL15" i="1" s="1"/>
  <c r="AA22" i="1"/>
  <c r="AL22" i="1" s="1"/>
  <c r="AA26" i="1"/>
  <c r="AL26" i="1" s="1"/>
  <c r="AA29" i="1"/>
  <c r="AL29" i="1" s="1"/>
  <c r="AA39" i="1"/>
  <c r="AL39" i="1" s="1"/>
  <c r="AV18" i="1"/>
  <c r="AV26" i="1"/>
  <c r="AV8" i="1"/>
  <c r="AV9" i="1"/>
  <c r="AV31" i="1"/>
  <c r="AV33" i="1"/>
  <c r="AV6" i="1"/>
  <c r="AV20" i="1"/>
  <c r="AV24" i="1"/>
  <c r="AV28" i="1"/>
  <c r="AV29" i="1"/>
  <c r="AV22" i="1"/>
  <c r="AV4" i="1"/>
  <c r="AV3" i="1"/>
  <c r="AV5" i="1"/>
  <c r="AV7" i="1"/>
  <c r="AV34" i="1"/>
  <c r="AV36" i="1"/>
  <c r="AV38" i="1"/>
  <c r="AV40" i="1"/>
  <c r="AV42" i="1"/>
  <c r="AV13" i="1"/>
  <c r="AV17" i="1"/>
  <c r="AV19" i="1"/>
  <c r="AV21" i="1"/>
  <c r="AV23" i="1"/>
  <c r="AV25" i="1"/>
  <c r="AV27" i="1"/>
  <c r="AV30" i="1"/>
  <c r="AV32" i="1"/>
  <c r="AV35" i="1"/>
  <c r="AV37" i="1"/>
  <c r="AV39" i="1"/>
  <c r="AV41" i="1"/>
  <c r="AV12" i="1"/>
  <c r="AV11" i="1"/>
  <c r="AV15" i="1"/>
  <c r="AV16" i="1"/>
  <c r="AV10" i="1"/>
  <c r="AV14" i="1"/>
  <c r="AV45" i="1" l="1"/>
  <c r="AL3" i="1"/>
  <c r="AX38" i="1"/>
  <c r="BC38" i="1" s="1"/>
  <c r="BD38" i="1" s="1"/>
  <c r="BE38" i="1" s="1"/>
  <c r="AX10" i="1"/>
  <c r="AX17" i="1"/>
  <c r="AX15" i="1"/>
  <c r="BC15" i="1" s="1"/>
  <c r="AX31" i="1"/>
  <c r="BC31" i="1" s="1"/>
  <c r="AX14" i="1"/>
  <c r="BC14" i="1" s="1"/>
  <c r="AX39" i="1"/>
  <c r="BC39" i="1" s="1"/>
  <c r="AA25" i="1"/>
  <c r="AX20" i="1"/>
  <c r="BC20" i="1" s="1"/>
  <c r="AA32" i="1"/>
  <c r="AL32" i="1" s="1"/>
  <c r="AA18" i="1"/>
  <c r="AA4" i="1"/>
  <c r="AL4" i="1" s="1"/>
  <c r="AA5" i="1"/>
  <c r="AL5" i="1" s="1"/>
  <c r="AA24" i="1"/>
  <c r="AA21" i="1"/>
  <c r="AX37" i="1"/>
  <c r="BC37" i="1" s="1"/>
  <c r="AX27" i="1"/>
  <c r="BC27" i="1" s="1"/>
  <c r="AX19" i="1"/>
  <c r="BC19" i="1" s="1"/>
  <c r="AX40" i="1"/>
  <c r="BC40" i="1" s="1"/>
  <c r="AX29" i="1"/>
  <c r="BC29" i="1" s="1"/>
  <c r="AX6" i="1"/>
  <c r="BC6" i="1" s="1"/>
  <c r="AX8" i="1"/>
  <c r="BC8" i="1" s="1"/>
  <c r="AX28" i="1"/>
  <c r="BC28" i="1" s="1"/>
  <c r="AX33" i="1"/>
  <c r="BC33" i="1" s="1"/>
  <c r="AX11" i="1"/>
  <c r="AX23" i="1"/>
  <c r="BC23" i="1" s="1"/>
  <c r="AX30" i="1"/>
  <c r="BC30" i="1" s="1"/>
  <c r="AX34" i="1"/>
  <c r="BC34" i="1" s="1"/>
  <c r="AX7" i="1"/>
  <c r="BC7" i="1" s="1"/>
  <c r="AX13" i="1"/>
  <c r="BC13" i="1" s="1"/>
  <c r="AX36" i="1"/>
  <c r="BC36" i="1" s="1"/>
  <c r="AX26" i="1"/>
  <c r="BC26" i="1" s="1"/>
  <c r="AX35" i="1"/>
  <c r="BC35" i="1" s="1"/>
  <c r="AX42" i="1"/>
  <c r="BC42" i="1" s="1"/>
  <c r="AX16" i="1"/>
  <c r="BC16" i="1" s="1"/>
  <c r="AX41" i="1"/>
  <c r="BC41" i="1" s="1"/>
  <c r="AX22" i="1"/>
  <c r="BC22" i="1" s="1"/>
  <c r="AX9" i="1"/>
  <c r="BC9" i="1" s="1"/>
  <c r="AX3" i="1"/>
  <c r="BC3" i="1" l="1"/>
  <c r="BC11" i="1"/>
  <c r="BD11" i="1" s="1"/>
  <c r="BE11" i="1" s="1"/>
  <c r="BC10" i="1"/>
  <c r="BD10" i="1" s="1"/>
  <c r="BE10" i="1" s="1"/>
  <c r="BC17" i="1"/>
  <c r="BD17" i="1" s="1"/>
  <c r="BE17" i="1" s="1"/>
  <c r="BD42" i="1"/>
  <c r="BE42" i="1" s="1"/>
  <c r="BD19" i="1"/>
  <c r="BE19" i="1" s="1"/>
  <c r="BD6" i="1"/>
  <c r="BE6" i="1" s="1"/>
  <c r="BD27" i="1"/>
  <c r="BE27" i="1" s="1"/>
  <c r="BD14" i="1"/>
  <c r="BE14" i="1" s="1"/>
  <c r="BD9" i="1"/>
  <c r="BE9" i="1" s="1"/>
  <c r="BD23" i="1"/>
  <c r="BE23" i="1" s="1"/>
  <c r="BD26" i="1"/>
  <c r="BE26" i="1" s="1"/>
  <c r="BD34" i="1"/>
  <c r="BE34" i="1" s="1"/>
  <c r="BD33" i="1"/>
  <c r="BE33" i="1" s="1"/>
  <c r="BD29" i="1"/>
  <c r="BE29" i="1" s="1"/>
  <c r="BD37" i="1"/>
  <c r="BD20" i="1"/>
  <c r="BE20" i="1" s="1"/>
  <c r="BD31" i="1"/>
  <c r="BE31" i="1" s="1"/>
  <c r="BD13" i="1"/>
  <c r="BE13" i="1" s="1"/>
  <c r="BD8" i="1"/>
  <c r="BE8" i="1" s="1"/>
  <c r="BD39" i="1"/>
  <c r="BE39" i="1" s="1"/>
  <c r="BD22" i="1"/>
  <c r="BE22" i="1" s="1"/>
  <c r="BD35" i="1"/>
  <c r="BE35" i="1" s="1"/>
  <c r="BD7" i="1"/>
  <c r="BE7" i="1" s="1"/>
  <c r="BD41" i="1"/>
  <c r="BE41" i="1" s="1"/>
  <c r="BD16" i="1"/>
  <c r="BE16" i="1" s="1"/>
  <c r="BD36" i="1"/>
  <c r="BE36" i="1" s="1"/>
  <c r="BD30" i="1"/>
  <c r="BE30" i="1" s="1"/>
  <c r="BD28" i="1"/>
  <c r="BE28" i="1" s="1"/>
  <c r="BD40" i="1"/>
  <c r="BE40" i="1" s="1"/>
  <c r="BD15" i="1"/>
  <c r="BE15" i="1" s="1"/>
  <c r="AL21" i="1"/>
  <c r="AX21" i="1"/>
  <c r="BC21" i="1" s="1"/>
  <c r="AL24" i="1"/>
  <c r="AX24" i="1"/>
  <c r="BC24" i="1" s="1"/>
  <c r="AL18" i="1"/>
  <c r="AX18" i="1"/>
  <c r="BC18" i="1" s="1"/>
  <c r="AL25" i="1"/>
  <c r="AX25" i="1"/>
  <c r="BC25" i="1" s="1"/>
  <c r="AX5" i="1"/>
  <c r="BC5" i="1" s="1"/>
  <c r="AX4" i="1"/>
  <c r="AX32" i="1"/>
  <c r="BC32" i="1" s="1"/>
  <c r="BC4" i="1" l="1"/>
  <c r="BD32" i="1"/>
  <c r="BE32" i="1" s="1"/>
  <c r="BE37" i="1"/>
  <c r="BD25" i="1"/>
  <c r="BE25" i="1" s="1"/>
  <c r="BD21" i="1"/>
  <c r="BE21" i="1" s="1"/>
  <c r="BD18" i="1"/>
  <c r="BE18" i="1" s="1"/>
  <c r="BD24" i="1"/>
  <c r="BE24" i="1" s="1"/>
  <c r="BD5" i="1"/>
  <c r="BE5" i="1" s="1"/>
  <c r="BD3" i="1"/>
  <c r="BD4" i="1" l="1"/>
  <c r="BE3" i="1"/>
  <c r="BE4" i="1" l="1"/>
  <c r="AA12" i="1" l="1"/>
  <c r="AA45" i="1" s="1"/>
  <c r="AX12" i="1" l="1"/>
  <c r="AL12" i="1"/>
  <c r="AL45" i="1" s="1"/>
  <c r="AX45" i="1"/>
  <c r="BC12" i="1"/>
  <c r="BC45" i="1" l="1"/>
  <c r="BD12" i="1"/>
  <c r="BD45" i="1" s="1"/>
  <c r="BE12" i="1" l="1"/>
  <c r="BE45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  <author>yewei.du</author>
  </authors>
  <commentList>
    <comment ref="B2" authorId="0" shapeId="0" xr:uid="{78ED5F58-DED8-4410-A181-3502DAB4DDAC}">
      <text>
        <r>
          <rPr>
            <b/>
            <sz val="9"/>
            <rFont val="宋体"/>
            <family val="3"/>
            <charset val="134"/>
          </rPr>
          <t>含附加税、增值税、福利费</t>
        </r>
      </text>
    </comment>
    <comment ref="E5" authorId="1" shapeId="0" xr:uid="{B096E1A4-DDD3-4958-B970-94CD2F11E01A}">
      <text>
        <r>
          <rPr>
            <b/>
            <sz val="9"/>
            <color indexed="81"/>
            <rFont val="宋体"/>
            <family val="3"/>
            <charset val="134"/>
          </rPr>
          <t>yewei.du:</t>
        </r>
        <r>
          <rPr>
            <sz val="9"/>
            <color indexed="81"/>
            <rFont val="宋体"/>
            <family val="3"/>
            <charset val="134"/>
          </rPr>
          <t xml:space="preserve">
不用实际添加，上月已有金额</t>
        </r>
      </text>
    </comment>
  </commentList>
</comments>
</file>

<file path=xl/sharedStrings.xml><?xml version="1.0" encoding="utf-8"?>
<sst xmlns="http://schemas.openxmlformats.org/spreadsheetml/2006/main" count="794" uniqueCount="420">
  <si>
    <t>上海</t>
  </si>
  <si>
    <t>Subtotal</t>
  </si>
  <si>
    <t>VAT</t>
  </si>
  <si>
    <t>Service Fee</t>
  </si>
  <si>
    <t>Social Security remark</t>
  </si>
  <si>
    <t>Payment Total</t>
  </si>
  <si>
    <t>Union Fee</t>
  </si>
  <si>
    <t>Total Amount of Social Insurance(ER)</t>
  </si>
  <si>
    <t xml:space="preserve">
Disabled people&amp;Back pay Fund</t>
    <phoneticPr fontId="2" type="noConversion"/>
  </si>
  <si>
    <t>Housing Fund Employer</t>
  </si>
  <si>
    <t>Maternity Insurance Employer</t>
  </si>
  <si>
    <t>Injury Employer</t>
  </si>
  <si>
    <t>Umemployment Employer</t>
  </si>
  <si>
    <t>Medical Employer</t>
  </si>
  <si>
    <t>Pension Employer</t>
  </si>
  <si>
    <t>Housing Fund Base</t>
  </si>
  <si>
    <t>Social Insurance Base</t>
  </si>
  <si>
    <t xml:space="preserve">After-tax total Income </t>
  </si>
  <si>
    <t>Reduction After-tax payment</t>
    <phoneticPr fontId="2" type="noConversion"/>
  </si>
  <si>
    <t>Increase After-tax payment</t>
    <phoneticPr fontId="2" type="noConversion"/>
  </si>
  <si>
    <t>Personal Income Tax</t>
  </si>
  <si>
    <t>Total Amount of Social Insurance(EE)</t>
  </si>
  <si>
    <t>Housing Fund Employee</t>
  </si>
  <si>
    <t>Umemployment Employee</t>
  </si>
  <si>
    <t>Medical Employee</t>
  </si>
  <si>
    <t>Pension Employee</t>
  </si>
  <si>
    <t>Pre-tax Total</t>
  </si>
  <si>
    <t>其他扣款</t>
  </si>
  <si>
    <t>补发费用</t>
  </si>
  <si>
    <t>伙食补贴</t>
  </si>
  <si>
    <t>交通费</t>
  </si>
  <si>
    <t>1+1激励</t>
  </si>
  <si>
    <t>支局专项</t>
  </si>
  <si>
    <t>Quantifying costs</t>
    <phoneticPr fontId="2" type="noConversion"/>
  </si>
  <si>
    <t>Assessment fees</t>
    <phoneticPr fontId="2" type="noConversion"/>
  </si>
  <si>
    <t>Contract Salary</t>
  </si>
  <si>
    <t>Social Insurance City</t>
  </si>
  <si>
    <t>Exit Date</t>
  </si>
  <si>
    <t>Contract Expiry Date</t>
  </si>
  <si>
    <t>Contract Starting Date</t>
  </si>
  <si>
    <t>ID No.</t>
  </si>
  <si>
    <t>Name</t>
  </si>
  <si>
    <t>Salary Cycle</t>
  </si>
  <si>
    <t>NO.</t>
  </si>
  <si>
    <t>总计</t>
  </si>
  <si>
    <t>增值税</t>
    <phoneticPr fontId="2" type="noConversion"/>
  </si>
  <si>
    <t>外包服务费</t>
    <phoneticPr fontId="2" type="noConversion"/>
  </si>
  <si>
    <t>社保备注</t>
  </si>
  <si>
    <t>代收付合计</t>
  </si>
  <si>
    <t>工会费</t>
    <phoneticPr fontId="2" type="noConversion"/>
  </si>
  <si>
    <t>企业五险一金合计</t>
  </si>
  <si>
    <t>残保金</t>
    <phoneticPr fontId="2" type="noConversion"/>
  </si>
  <si>
    <t>公积金</t>
  </si>
  <si>
    <t>生育保险</t>
  </si>
  <si>
    <t>工伤保险</t>
  </si>
  <si>
    <t>失业保险</t>
  </si>
  <si>
    <t>医疗缴费</t>
  </si>
  <si>
    <t>养老缴费</t>
  </si>
  <si>
    <t>公积金基数</t>
  </si>
  <si>
    <t>社保基数</t>
  </si>
  <si>
    <t>员工实发合计</t>
  </si>
  <si>
    <t>税后扣减</t>
  </si>
  <si>
    <t>税后增加</t>
  </si>
  <si>
    <t>本月个人所得税-系统导出</t>
    <phoneticPr fontId="2" type="noConversion"/>
  </si>
  <si>
    <t>员工五险一金合计</t>
  </si>
  <si>
    <t>住房公积金(个人)</t>
  </si>
  <si>
    <t>公积金基数(个人)</t>
  </si>
  <si>
    <t>失业保险(个人)</t>
  </si>
  <si>
    <t>医疗保险(个人)</t>
  </si>
  <si>
    <t>养老保险(个人)</t>
  </si>
  <si>
    <t>社保基数(个人)</t>
  </si>
  <si>
    <t>当月税前工资合计</t>
  </si>
  <si>
    <t>专项费用</t>
    <phoneticPr fontId="2" type="noConversion"/>
  </si>
  <si>
    <t>量化费用</t>
    <phoneticPr fontId="2" type="noConversion"/>
  </si>
  <si>
    <t>考核费用</t>
    <phoneticPr fontId="2" type="noConversion"/>
  </si>
  <si>
    <t>星级费用</t>
    <phoneticPr fontId="2" type="noConversion"/>
  </si>
  <si>
    <t>社保缴纳地</t>
  </si>
  <si>
    <t>离职日期</t>
  </si>
  <si>
    <t>劳动合同结束日期</t>
  </si>
  <si>
    <t>劳动合同起始日期</t>
  </si>
  <si>
    <t>身份证号</t>
  </si>
  <si>
    <t>姓名</t>
  </si>
  <si>
    <t>计薪
周期</t>
  </si>
  <si>
    <t>序号</t>
  </si>
  <si>
    <t>工号</t>
  </si>
  <si>
    <t>Employee No.</t>
  </si>
  <si>
    <t>税前项合计</t>
    <phoneticPr fontId="2" type="noConversion"/>
  </si>
  <si>
    <t>Total</t>
    <phoneticPr fontId="2" type="noConversion"/>
  </si>
  <si>
    <t>高温费及清凉饮料费
（6-9月）</t>
  </si>
  <si>
    <t>劳防用品</t>
  </si>
  <si>
    <t>合计</t>
    <phoneticPr fontId="2" type="noConversion"/>
  </si>
  <si>
    <t>效能补贴</t>
    <phoneticPr fontId="4" type="noConversion"/>
  </si>
  <si>
    <t>赵梅</t>
  </si>
  <si>
    <t>310227198805293665</t>
  </si>
  <si>
    <t>赵燕敏</t>
  </si>
  <si>
    <t>310225198105111629</t>
  </si>
  <si>
    <t>谭晓刚</t>
  </si>
  <si>
    <t>310227197503241611</t>
  </si>
  <si>
    <t>310227198802293619</t>
  </si>
  <si>
    <t>施梅</t>
  </si>
  <si>
    <t>陆丽伟</t>
  </si>
  <si>
    <t>WB030755</t>
  </si>
  <si>
    <t>WB032993</t>
  </si>
  <si>
    <t>WB045273</t>
  </si>
  <si>
    <t>WB046623</t>
  </si>
  <si>
    <t>任清丽</t>
  </si>
  <si>
    <t>341223198806062763</t>
  </si>
  <si>
    <t>张晓薇</t>
  </si>
  <si>
    <t>310229199011210247</t>
  </si>
  <si>
    <t>戴连荣</t>
  </si>
  <si>
    <t>310227198411292010</t>
  </si>
  <si>
    <t>陶叶丽</t>
  </si>
  <si>
    <t>310227198510132629</t>
  </si>
  <si>
    <t>何军利</t>
  </si>
  <si>
    <t>常宇航</t>
  </si>
  <si>
    <t>340321199609230533</t>
  </si>
  <si>
    <t>陆晓岚</t>
  </si>
  <si>
    <t>310227199207211222</t>
  </si>
  <si>
    <t>曹克洋</t>
  </si>
  <si>
    <t>341226199712081318</t>
  </si>
  <si>
    <t>张春花</t>
  </si>
  <si>
    <t>32062619761225622X</t>
  </si>
  <si>
    <t>陆智俊</t>
  </si>
  <si>
    <t>310227199807124616</t>
  </si>
  <si>
    <t>王春燕</t>
  </si>
  <si>
    <t>310227198405021222</t>
  </si>
  <si>
    <t>孔祥杰</t>
  </si>
  <si>
    <t>310110198408153236</t>
  </si>
  <si>
    <t>谢桃丽</t>
  </si>
  <si>
    <t>530322199401231344</t>
  </si>
  <si>
    <t>顾诗瑶</t>
  </si>
  <si>
    <t>310227199812152021</t>
  </si>
  <si>
    <t>曾灿</t>
  </si>
  <si>
    <t>362322200010120626</t>
  </si>
  <si>
    <t>倪跃新</t>
  </si>
  <si>
    <t>310229197208182017</t>
  </si>
  <si>
    <t>李秋梅</t>
  </si>
  <si>
    <t>320321198010030887</t>
  </si>
  <si>
    <t>高国强</t>
  </si>
  <si>
    <t>65010319750517061X</t>
  </si>
  <si>
    <t>姜金玲</t>
  </si>
  <si>
    <t>310227198902274028</t>
  </si>
  <si>
    <t>牟金丽</t>
  </si>
  <si>
    <t>422802198502180068</t>
  </si>
  <si>
    <t>高峰</t>
  </si>
  <si>
    <t>342501197909046816</t>
  </si>
  <si>
    <t>李龙燕</t>
  </si>
  <si>
    <t>320681199310316032</t>
  </si>
  <si>
    <t>蒋萍萍</t>
  </si>
  <si>
    <t>310227199108114021</t>
  </si>
  <si>
    <t>封春燕</t>
  </si>
  <si>
    <t>310227198610224213</t>
  </si>
  <si>
    <t>姚臻敏</t>
  </si>
  <si>
    <t>310227198009300019</t>
  </si>
  <si>
    <t>王紫怡</t>
  </si>
  <si>
    <t>331082199904274040</t>
  </si>
  <si>
    <t>沈婕妤</t>
  </si>
  <si>
    <t>310230198011070660</t>
  </si>
  <si>
    <t>曹雪晨</t>
  </si>
  <si>
    <t>310227199101043419</t>
  </si>
  <si>
    <t>邹莉</t>
  </si>
  <si>
    <t>511126198605207327</t>
  </si>
  <si>
    <t>吴萍萍</t>
  </si>
  <si>
    <t>310227198801103668</t>
  </si>
  <si>
    <t>马一伟</t>
  </si>
  <si>
    <t>310110198101160036</t>
  </si>
  <si>
    <t>王乐意</t>
  </si>
  <si>
    <t>310227199806014028</t>
  </si>
  <si>
    <t>WB013255</t>
  </si>
  <si>
    <t>WB022825</t>
  </si>
  <si>
    <t>WB023998</t>
  </si>
  <si>
    <t>WB025814</t>
  </si>
  <si>
    <t>WB026291</t>
  </si>
  <si>
    <t>WB035661</t>
  </si>
  <si>
    <t>WB038776</t>
  </si>
  <si>
    <t>WB044812</t>
  </si>
  <si>
    <t>WB045176</t>
  </si>
  <si>
    <t>WB045370</t>
  </si>
  <si>
    <t>WB045583</t>
  </si>
  <si>
    <t>WB046624</t>
  </si>
  <si>
    <t>WB047109</t>
  </si>
  <si>
    <t>WB049118</t>
  </si>
  <si>
    <t>WB049498</t>
  </si>
  <si>
    <t>WB027831</t>
  </si>
  <si>
    <t>WB046625</t>
  </si>
  <si>
    <t>WB037444</t>
  </si>
  <si>
    <t>WB046626</t>
  </si>
  <si>
    <t>WB037461</t>
  </si>
  <si>
    <t>WB047234</t>
  </si>
  <si>
    <t>WB043358</t>
  </si>
  <si>
    <t>WB027701</t>
  </si>
  <si>
    <t>WB041723</t>
  </si>
  <si>
    <t>WB051748</t>
  </si>
  <si>
    <t>WB049347</t>
  </si>
  <si>
    <t>WB034583</t>
  </si>
  <si>
    <t>WB026293</t>
  </si>
  <si>
    <t>WB046608</t>
  </si>
  <si>
    <t>WB005376</t>
  </si>
  <si>
    <t>WB030495</t>
  </si>
  <si>
    <t>WB038316</t>
  </si>
  <si>
    <t>潘奇伟</t>
  </si>
  <si>
    <t>310227199011142819</t>
  </si>
  <si>
    <t>陈喆昕</t>
  </si>
  <si>
    <t xml:space="preserve">310227198312160012 </t>
  </si>
  <si>
    <t>杨小凤</t>
  </si>
  <si>
    <t>321324198910165461</t>
  </si>
  <si>
    <t>WB035781</t>
  </si>
  <si>
    <t>WB045097</t>
  </si>
  <si>
    <t>WB038780</t>
  </si>
  <si>
    <t>310227198801262829</t>
    <phoneticPr fontId="4" type="noConversion"/>
  </si>
  <si>
    <t>保险费</t>
    <phoneticPr fontId="4" type="noConversion"/>
  </si>
  <si>
    <t>WB026139</t>
    <phoneticPr fontId="4" type="noConversion"/>
  </si>
  <si>
    <t>独生子女奖励</t>
  </si>
  <si>
    <t>其他费用</t>
    <phoneticPr fontId="4" type="noConversion"/>
  </si>
  <si>
    <t>310227197512314245</t>
    <phoneticPr fontId="4" type="noConversion"/>
  </si>
  <si>
    <t>1月工伤利率下调多收4.13，2月退</t>
  </si>
  <si>
    <t>1月工伤利率下调多收4.59，2月退</t>
    <phoneticPr fontId="4" type="noConversion"/>
  </si>
  <si>
    <t>本月月垫付下月收</t>
    <phoneticPr fontId="4" type="noConversion"/>
  </si>
  <si>
    <t>本月月多收下月退</t>
    <phoneticPr fontId="4" type="noConversion"/>
  </si>
  <si>
    <t>工伤利率调整，1月多收2月退</t>
  </si>
  <si>
    <t>工伤利率调整，1月多收2月退</t>
    <phoneticPr fontId="4" type="noConversion"/>
  </si>
  <si>
    <t>本月低保补差5元，下月收，工伤利率调整，1月多收2月退</t>
    <phoneticPr fontId="4" type="noConversion"/>
  </si>
  <si>
    <t>工伤利率调整，1月多收2月退</t>
    <phoneticPr fontId="4" type="noConversion"/>
  </si>
  <si>
    <t>保障多收</t>
    <phoneticPr fontId="4" type="noConversion"/>
  </si>
  <si>
    <t>李琴</t>
  </si>
  <si>
    <t>310227198708184424</t>
    <phoneticPr fontId="4" type="noConversion"/>
  </si>
  <si>
    <t>工伤利率调整，1月多收2月退</t>
    <phoneticPr fontId="4" type="noConversion"/>
  </si>
  <si>
    <t>WB047263</t>
  </si>
  <si>
    <t/>
  </si>
  <si>
    <t>工会费返回</t>
    <phoneticPr fontId="4" type="noConversion"/>
  </si>
  <si>
    <t>200070</t>
  </si>
  <si>
    <t>寄：梅园路77号人才大厦</t>
  </si>
  <si>
    <t>中国电信股份有限公司上海分公司  王慧珏  收</t>
  </si>
  <si>
    <t>上海外服布列吉科技有限公司</t>
  </si>
  <si>
    <t>Shanghai Foreign Service Bridge Technology Co,Ltd.</t>
  </si>
  <si>
    <t>收款通知书</t>
  </si>
  <si>
    <t>ADVISE ON COLLECTION</t>
  </si>
  <si>
    <t>2025年02月</t>
  </si>
  <si>
    <t>公司名称：中国电信股份有限公司上海分公司</t>
  </si>
  <si>
    <t>帐单号：202502CH6565005</t>
  </si>
  <si>
    <t>发生年月</t>
  </si>
  <si>
    <t>入职日期</t>
  </si>
  <si>
    <t>管理费</t>
  </si>
  <si>
    <t>当月社保基数</t>
  </si>
  <si>
    <t>当月公积金基数</t>
  </si>
  <si>
    <t>社保类
公司支付
Social Insurance Premiums
Paid by Employer</t>
  </si>
  <si>
    <t>公积金类
公司支付
Provident Fund
Paid by Employer</t>
  </si>
  <si>
    <t>公司合计</t>
  </si>
  <si>
    <t>社保类
个人支付
Social Insurance Premiums
Paid by Employee</t>
  </si>
  <si>
    <t>公积金类
个人支付
Provident Fund
Paid by Employee</t>
  </si>
  <si>
    <t>个人合计</t>
  </si>
  <si>
    <t>代办薪酬</t>
  </si>
  <si>
    <t>其他</t>
  </si>
  <si>
    <t>备注</t>
  </si>
  <si>
    <t>外服工号</t>
  </si>
  <si>
    <t>证件号码</t>
  </si>
  <si>
    <t>内部工号</t>
  </si>
  <si>
    <t>应纳税金额</t>
  </si>
  <si>
    <t>税率</t>
  </si>
  <si>
    <t>增值税</t>
  </si>
  <si>
    <t>S/N</t>
  </si>
  <si>
    <t>YYYYMM</t>
  </si>
  <si>
    <t>Employment Start Date</t>
  </si>
  <si>
    <t>Adm Fee</t>
  </si>
  <si>
    <t>Social Insurance Base Amount of Current Month</t>
  </si>
  <si>
    <t>Provident Fund Base Amount of Current Month</t>
  </si>
  <si>
    <t>养老保险
Endowment</t>
  </si>
  <si>
    <t>医疗保险
Medical</t>
  </si>
  <si>
    <t>失业保险
Unemploy-ment</t>
  </si>
  <si>
    <t>工伤保险
Employment Injury</t>
  </si>
  <si>
    <t>医疗生育保险
Medical Maternity</t>
  </si>
  <si>
    <t>保障金
Disabled people&amp;Back pay Fund</t>
  </si>
  <si>
    <t>公积金
Provident Fund</t>
  </si>
  <si>
    <t>Subtotal of Employer Payment</t>
  </si>
  <si>
    <t>Subtotal of Personal Payment</t>
  </si>
  <si>
    <t>Agency of Wage Payment</t>
  </si>
  <si>
    <t>Others</t>
  </si>
  <si>
    <t>Total</t>
  </si>
  <si>
    <t>Remarks</t>
  </si>
  <si>
    <t>SFSC ID</t>
  </si>
  <si>
    <t>ID Card</t>
  </si>
  <si>
    <t>Internal ID</t>
  </si>
  <si>
    <t>Taxable Amount</t>
  </si>
  <si>
    <t>Tax Rate</t>
  </si>
  <si>
    <t>202502</t>
  </si>
  <si>
    <t>2024-06-01</t>
  </si>
  <si>
    <t>5545179</t>
  </si>
  <si>
    <t>6%</t>
  </si>
  <si>
    <t>5573404</t>
  </si>
  <si>
    <t>5545178</t>
  </si>
  <si>
    <t>2024-07-01</t>
  </si>
  <si>
    <t>6063573</t>
  </si>
  <si>
    <t>310227198312160012</t>
  </si>
  <si>
    <t>5517492</t>
  </si>
  <si>
    <t>5573397</t>
  </si>
  <si>
    <t>5573394</t>
  </si>
  <si>
    <t>5573388</t>
  </si>
  <si>
    <t>5517495</t>
  </si>
  <si>
    <t>5545181</t>
  </si>
  <si>
    <t>310227197512314245</t>
  </si>
  <si>
    <t>5573391</t>
  </si>
  <si>
    <t>5573396</t>
  </si>
  <si>
    <t>5545173</t>
  </si>
  <si>
    <t>5573395</t>
  </si>
  <si>
    <t>2025-02-01</t>
  </si>
  <si>
    <t>6283726</t>
  </si>
  <si>
    <t>310227198708184424</t>
  </si>
  <si>
    <t>5573387</t>
  </si>
  <si>
    <t>2024-05-01</t>
  </si>
  <si>
    <t>6010738</t>
  </si>
  <si>
    <t>1881345</t>
  </si>
  <si>
    <t>5545180</t>
  </si>
  <si>
    <t>5862530</t>
  </si>
  <si>
    <t>5573393</t>
  </si>
  <si>
    <t>5573386</t>
  </si>
  <si>
    <t>6063572</t>
  </si>
  <si>
    <t>5517493</t>
  </si>
  <si>
    <t>5573403</t>
  </si>
  <si>
    <t>3277855</t>
  </si>
  <si>
    <t>6010737</t>
  </si>
  <si>
    <t>5545172</t>
  </si>
  <si>
    <t>5545166</t>
  </si>
  <si>
    <t>5545169</t>
  </si>
  <si>
    <t>5573402</t>
  </si>
  <si>
    <t>5606549</t>
  </si>
  <si>
    <t>5545171</t>
  </si>
  <si>
    <t>6064922</t>
  </si>
  <si>
    <t>5573400</t>
  </si>
  <si>
    <t>5545175</t>
  </si>
  <si>
    <t>5545174</t>
  </si>
  <si>
    <t>5545183</t>
  </si>
  <si>
    <t>6010735</t>
  </si>
  <si>
    <t>310227198801262829</t>
  </si>
  <si>
    <t>6010736</t>
  </si>
  <si>
    <t>5573405</t>
  </si>
  <si>
    <t>合计（RMB）</t>
  </si>
  <si>
    <t>总计（RMB）已包含历月补收人民币肆拾壹万贰仟陆佰陆拾玖圆壹角柒分</t>
  </si>
  <si>
    <t>其他费用</t>
  </si>
  <si>
    <t>费用项目</t>
  </si>
  <si>
    <t>金额</t>
  </si>
  <si>
    <t>Item</t>
  </si>
  <si>
    <t>Amount</t>
  </si>
  <si>
    <t>税差调整6%</t>
  </si>
  <si>
    <t>总计（RMB）人民币零</t>
  </si>
  <si>
    <t>增值税：</t>
  </si>
  <si>
    <t>序号
S/N</t>
  </si>
  <si>
    <t>应纳税额</t>
  </si>
  <si>
    <t>税金</t>
  </si>
  <si>
    <t>小计（RMB）</t>
  </si>
  <si>
    <t>总计(RMB)</t>
  </si>
  <si>
    <t>本次价税合计(RMB):人民币肆拾壹万贰仟陆佰陆拾玖圆壹角柒分</t>
  </si>
  <si>
    <t>本月价税合计（RMB）：412669.17 其中已开票412669.17</t>
  </si>
  <si>
    <t>本月总计（RMB）人民币肆拾壹万贰仟陆佰陆拾玖圆壹角柒分                ￥412669.17</t>
  </si>
  <si>
    <t>减少人员</t>
  </si>
  <si>
    <t>马力</t>
  </si>
  <si>
    <t>2024-11-01</t>
  </si>
  <si>
    <t>韩杰</t>
  </si>
  <si>
    <t>陈秀丽</t>
  </si>
  <si>
    <t>2024-12-01</t>
  </si>
  <si>
    <t>范智超</t>
  </si>
  <si>
    <t>刘家志</t>
  </si>
  <si>
    <t>2024-08-01</t>
  </si>
  <si>
    <t>庄佳秋</t>
  </si>
  <si>
    <t>姚旭蒙</t>
  </si>
  <si>
    <t>制单人：</t>
  </si>
  <si>
    <t>制单日期：2025-02-20</t>
  </si>
  <si>
    <t>户名：上海外服（集团）有限公司</t>
  </si>
  <si>
    <t>美金收款账号：449459237031</t>
  </si>
  <si>
    <t>外币/人民币收款账号：083651120100303014006</t>
  </si>
  <si>
    <t>开户银行：中国银行上海市分行</t>
  </si>
  <si>
    <t>开户银行：中国光大银行上海分行营业部</t>
  </si>
  <si>
    <t>SWIFT CODE：BKCHCNBJ300</t>
  </si>
  <si>
    <t>SWIFT CODE：EVERCNBJSH1</t>
  </si>
  <si>
    <t>地址：中国上海市黄浦区中山东一路23号</t>
  </si>
  <si>
    <t>地址：中国上海市浦东新区世纪大道1118号</t>
  </si>
  <si>
    <t>外币/人民币收款账号：1001244329006580566</t>
  </si>
  <si>
    <t>开户银行：工商银行上海市分行营业部</t>
  </si>
  <si>
    <t>SWIFT CODE：ICBKCNBJSHI</t>
  </si>
  <si>
    <t>地址：中国上海市黄浦区中山东一路24号</t>
  </si>
  <si>
    <t>管理部：</t>
  </si>
  <si>
    <t>负责人：</t>
  </si>
  <si>
    <t>地  址：</t>
  </si>
  <si>
    <t>地  址：上海市黄浦区会馆街55号T3座</t>
  </si>
  <si>
    <t>邮  编：</t>
  </si>
  <si>
    <t>财  务：</t>
  </si>
  <si>
    <t>邮  编：200437</t>
  </si>
  <si>
    <t>电  话：</t>
  </si>
  <si>
    <t>传  真：</t>
  </si>
  <si>
    <t>电  话：63721888</t>
  </si>
  <si>
    <t>传  真：63856522</t>
  </si>
  <si>
    <t>注意：</t>
  </si>
  <si>
    <t>1、务必请将当月人员变动信息，在15日前通知所在业务部。</t>
  </si>
  <si>
    <t>2、若贵机构的地址变更，请及时通知。</t>
  </si>
  <si>
    <t>3、逾期按合同约定收取滞纳金。</t>
  </si>
  <si>
    <t>4、交款时请务必带此通知单或复印件，通过银行汇款请在汇款用途中写上右上角账单号。</t>
  </si>
  <si>
    <t>5、请贵机构在收到本账单的三个工作日内，对于账单内容进行确认并回复。逾期未回复的，视作贵机构已确认账单内容准确无误。</t>
  </si>
  <si>
    <t>友情提醒：</t>
  </si>
  <si>
    <t>1、根据国家政策，自2020年1月1日起，“生育”调整为“医疗生育”。</t>
  </si>
  <si>
    <t>2、如对以上账单内容有疑问请联系相关业务人员，发票开具及款项到账问题请联系财务，谢谢！</t>
  </si>
  <si>
    <t>科目</t>
  </si>
  <si>
    <t>手工账单</t>
  </si>
  <si>
    <t>速创账单</t>
    <phoneticPr fontId="4" type="noConversion"/>
  </si>
  <si>
    <t>预收一次性</t>
    <phoneticPr fontId="2" type="noConversion"/>
  </si>
  <si>
    <t>1月工会费</t>
    <phoneticPr fontId="2" type="noConversion"/>
  </si>
  <si>
    <t>本月垫付，下月收</t>
    <phoneticPr fontId="2" type="noConversion"/>
  </si>
  <si>
    <t>本月多收，下月退</t>
    <phoneticPr fontId="2" type="noConversion"/>
  </si>
  <si>
    <t>合计</t>
  </si>
  <si>
    <t>差异</t>
    <phoneticPr fontId="2" type="noConversion"/>
  </si>
  <si>
    <t>风险费</t>
  </si>
  <si>
    <t>个人四金</t>
  </si>
  <si>
    <t>公司四金</t>
  </si>
  <si>
    <t>工伤退费</t>
    <phoneticPr fontId="2" type="noConversion"/>
  </si>
  <si>
    <t>代发工资</t>
  </si>
  <si>
    <t>小计</t>
  </si>
  <si>
    <t>附加税</t>
  </si>
  <si>
    <t>给客户账单金额</t>
  </si>
  <si>
    <t>差异</t>
  </si>
  <si>
    <t>不含税差异</t>
  </si>
  <si>
    <t>上月多收</t>
    <phoneticPr fontId="2" type="noConversion"/>
  </si>
  <si>
    <t>上月垫付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</si>
</sst>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¥&quot;#,##0.00;&quot;¥&quot;\-#,##0.00"/>
    <numFmt numFmtId="43" formatCode="_ * #,##0.00_ ;_ * \-#,##0.00_ ;_ * &quot;-&quot;??_ ;_ @_ "/>
    <numFmt numFmtId="176" formatCode="0.00_);[Red]\(0.00\)"/>
    <numFmt numFmtId="177" formatCode="0_ "/>
    <numFmt numFmtId="178" formatCode="0.00_ "/>
    <numFmt numFmtId="179" formatCode="0_);[Red]\(0\)"/>
  </numFmts>
  <fonts count="33" x14ac:knownFonts="1"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2"/>
      <name val="宋体"/>
      <family val="3"/>
      <charset val="134"/>
    </font>
    <font>
      <sz val="9"/>
      <name val="等线"/>
      <family val="2"/>
      <charset val="134"/>
      <scheme val="minor"/>
    </font>
    <font>
      <sz val="11"/>
      <color indexed="8"/>
      <name val="宋体"/>
      <family val="3"/>
      <charset val="134"/>
    </font>
    <font>
      <sz val="11"/>
      <color theme="1"/>
      <name val="等线"/>
      <family val="2"/>
      <charset val="134"/>
      <scheme val="minor"/>
    </font>
    <font>
      <sz val="8"/>
      <name val="阿里巴巴普惠体 R"/>
      <family val="1"/>
      <charset val="134"/>
    </font>
    <font>
      <sz val="9"/>
      <name val="阿里巴巴普惠体 R"/>
      <family val="1"/>
      <charset val="134"/>
    </font>
    <font>
      <sz val="7"/>
      <name val="阿里巴巴普惠体 R"/>
      <family val="1"/>
      <charset val="134"/>
    </font>
    <font>
      <sz val="6"/>
      <name val="阿里巴巴普惠体 R"/>
      <family val="1"/>
      <charset val="134"/>
    </font>
    <font>
      <sz val="8"/>
      <color theme="1"/>
      <name val="阿里巴巴普惠体 R"/>
      <family val="1"/>
      <charset val="134"/>
    </font>
    <font>
      <sz val="11"/>
      <color theme="1"/>
      <name val="阿里巴巴普惠体 R"/>
      <family val="1"/>
      <charset val="134"/>
    </font>
    <font>
      <sz val="8"/>
      <color rgb="FFFF0000"/>
      <name val="阿里巴巴普惠体 R"/>
      <family val="1"/>
      <charset val="134"/>
    </font>
    <font>
      <sz val="18"/>
      <color theme="1"/>
      <name val="阿里巴巴普惠体 R"/>
      <family val="1"/>
      <charset val="134"/>
    </font>
    <font>
      <sz val="8"/>
      <color theme="4" tint="-0.249977111117893"/>
      <name val="阿里巴巴普惠体 R"/>
      <family val="1"/>
      <charset val="134"/>
    </font>
    <font>
      <b/>
      <sz val="11"/>
      <color theme="1"/>
      <name val="等线"/>
      <family val="3"/>
      <charset val="134"/>
      <scheme val="minor"/>
    </font>
    <font>
      <b/>
      <sz val="16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b/>
      <sz val="10"/>
      <color theme="1"/>
      <name val="等线"/>
      <family val="3"/>
      <charset val="134"/>
      <scheme val="minor"/>
    </font>
    <font>
      <sz val="10"/>
      <color theme="1"/>
      <name val="等线"/>
      <family val="2"/>
      <charset val="134"/>
      <scheme val="minor"/>
    </font>
    <font>
      <sz val="9"/>
      <color theme="1"/>
      <name val="宋体"/>
      <family val="3"/>
      <charset val="134"/>
    </font>
    <font>
      <b/>
      <sz val="9"/>
      <color theme="1"/>
      <name val="宋体"/>
      <family val="3"/>
      <charset val="134"/>
    </font>
    <font>
      <sz val="9"/>
      <color theme="1"/>
      <name val="等线"/>
      <family val="2"/>
      <charset val="134"/>
      <scheme val="minor"/>
    </font>
    <font>
      <b/>
      <sz val="9"/>
      <color theme="1"/>
      <name val="等线"/>
      <family val="2"/>
      <charset val="134"/>
      <scheme val="minor"/>
    </font>
    <font>
      <b/>
      <sz val="9"/>
      <color theme="1"/>
      <name val="等线"/>
      <family val="3"/>
      <charset val="134"/>
      <scheme val="minor"/>
    </font>
    <font>
      <b/>
      <sz val="10"/>
      <color theme="1"/>
      <name val="宋体"/>
      <family val="3"/>
      <charset val="134"/>
    </font>
    <font>
      <b/>
      <sz val="14"/>
      <color theme="1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b/>
      <sz val="11"/>
      <name val="等线"/>
      <family val="3"/>
      <charset val="134"/>
      <scheme val="minor"/>
    </font>
    <font>
      <b/>
      <sz val="9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</fonts>
  <fills count="1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>
      <alignment vertical="center"/>
    </xf>
    <xf numFmtId="0" fontId="1" fillId="0" borderId="0"/>
    <xf numFmtId="0" fontId="3" fillId="0" borderId="0">
      <alignment vertical="center"/>
    </xf>
    <xf numFmtId="0" fontId="5" fillId="0" borderId="0" applyNumberFormat="0" applyFill="0" applyBorder="0" applyProtection="0">
      <alignment vertical="center"/>
    </xf>
    <xf numFmtId="0" fontId="6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0" fontId="6" fillId="0" borderId="0">
      <alignment vertical="center"/>
    </xf>
  </cellStyleXfs>
  <cellXfs count="132">
    <xf numFmtId="0" fontId="0" fillId="0" borderId="0" xfId="0">
      <alignment vertical="center"/>
    </xf>
    <xf numFmtId="0" fontId="7" fillId="4" borderId="1" xfId="0" applyFont="1" applyFill="1" applyBorder="1" applyAlignment="1" applyProtection="1">
      <alignment horizontal="center" vertical="center" wrapText="1"/>
      <protection locked="0"/>
    </xf>
    <xf numFmtId="0" fontId="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7" fillId="3" borderId="1" xfId="0" applyFont="1" applyFill="1" applyBorder="1" applyAlignment="1" applyProtection="1">
      <alignment horizontal="center" vertical="center" wrapText="1"/>
      <protection locked="0"/>
    </xf>
    <xf numFmtId="0" fontId="7" fillId="2" borderId="1" xfId="0" applyFont="1" applyFill="1" applyBorder="1" applyAlignment="1" applyProtection="1">
      <alignment horizontal="center" vertical="center" wrapText="1"/>
      <protection locked="0"/>
    </xf>
    <xf numFmtId="0" fontId="8" fillId="2" borderId="1" xfId="0" applyFont="1" applyFill="1" applyBorder="1" applyAlignment="1" applyProtection="1">
      <alignment horizontal="center" vertical="center" wrapText="1"/>
      <protection locked="0"/>
    </xf>
    <xf numFmtId="0" fontId="8" fillId="6" borderId="1" xfId="0" applyFont="1" applyFill="1" applyBorder="1" applyAlignment="1" applyProtection="1">
      <alignment horizontal="center" vertical="center" wrapText="1"/>
      <protection locked="0"/>
    </xf>
    <xf numFmtId="0" fontId="7" fillId="3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 applyProtection="1">
      <alignment horizontal="center" vertical="center" wrapText="1"/>
      <protection locked="0"/>
    </xf>
    <xf numFmtId="0" fontId="7" fillId="0" borderId="0" xfId="0" applyFont="1" applyAlignment="1"/>
    <xf numFmtId="2" fontId="9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9" fillId="4" borderId="1" xfId="0" applyNumberFormat="1" applyFont="1" applyFill="1" applyBorder="1" applyAlignment="1" applyProtection="1">
      <alignment horizontal="center" vertical="center" wrapText="1"/>
      <protection locked="0"/>
    </xf>
    <xf numFmtId="2" fontId="9" fillId="3" borderId="1" xfId="0" applyNumberFormat="1" applyFont="1" applyFill="1" applyBorder="1" applyAlignment="1" applyProtection="1">
      <alignment horizontal="center" vertical="center" wrapText="1"/>
      <protection locked="0"/>
    </xf>
    <xf numFmtId="2" fontId="7" fillId="2" borderId="1" xfId="0" applyNumberFormat="1" applyFont="1" applyFill="1" applyBorder="1" applyAlignment="1" applyProtection="1">
      <alignment horizontal="center" vertical="center" wrapText="1"/>
      <protection locked="0"/>
    </xf>
    <xf numFmtId="2" fontId="7" fillId="6" borderId="1" xfId="0" applyNumberFormat="1" applyFont="1" applyFill="1" applyBorder="1" applyAlignment="1" applyProtection="1">
      <alignment horizontal="center" vertical="center" wrapText="1"/>
      <protection locked="0"/>
    </xf>
    <xf numFmtId="2" fontId="10" fillId="3" borderId="1" xfId="0" applyNumberFormat="1" applyFont="1" applyFill="1" applyBorder="1" applyAlignment="1" applyProtection="1">
      <alignment horizontal="center" vertical="center" wrapText="1"/>
      <protection locked="0"/>
    </xf>
    <xf numFmtId="0" fontId="7" fillId="0" borderId="0" xfId="0" applyFont="1" applyAlignment="1">
      <alignment vertical="center"/>
    </xf>
    <xf numFmtId="0" fontId="8" fillId="0" borderId="1" xfId="2" applyFont="1" applyBorder="1" applyAlignment="1">
      <alignment horizontal="center" vertical="center"/>
    </xf>
    <xf numFmtId="0" fontId="11" fillId="0" borderId="1" xfId="0" applyNumberFormat="1" applyFont="1" applyFill="1" applyBorder="1" applyAlignment="1">
      <alignment horizontal="center" vertical="center"/>
    </xf>
    <xf numFmtId="49" fontId="8" fillId="0" borderId="1" xfId="2" applyNumberFormat="1" applyFont="1" applyBorder="1" applyAlignment="1">
      <alignment horizontal="center" vertical="center"/>
    </xf>
    <xf numFmtId="14" fontId="11" fillId="0" borderId="1" xfId="0" applyNumberFormat="1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176" fontId="7" fillId="0" borderId="1" xfId="0" applyNumberFormat="1" applyFont="1" applyFill="1" applyBorder="1" applyAlignment="1" applyProtection="1">
      <alignment horizontal="center" vertical="center" wrapText="1"/>
      <protection locked="0"/>
    </xf>
    <xf numFmtId="176" fontId="7" fillId="2" borderId="1" xfId="0" applyNumberFormat="1" applyFont="1" applyFill="1" applyBorder="1" applyAlignment="1">
      <alignment horizontal="center" vertical="center"/>
    </xf>
    <xf numFmtId="178" fontId="7" fillId="0" borderId="1" xfId="0" applyNumberFormat="1" applyFont="1" applyFill="1" applyBorder="1" applyAlignment="1">
      <alignment horizontal="center" vertical="center"/>
    </xf>
    <xf numFmtId="176" fontId="7" fillId="0" borderId="1" xfId="0" applyNumberFormat="1" applyFont="1" applyBorder="1" applyAlignment="1">
      <alignment horizontal="center" vertical="center"/>
    </xf>
    <xf numFmtId="176" fontId="7" fillId="6" borderId="1" xfId="0" applyNumberFormat="1" applyFont="1" applyFill="1" applyBorder="1" applyAlignment="1">
      <alignment horizontal="center" vertical="center"/>
    </xf>
    <xf numFmtId="176" fontId="7" fillId="5" borderId="1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176" fontId="11" fillId="0" borderId="0" xfId="0" applyNumberFormat="1" applyFont="1" applyAlignment="1">
      <alignment horizontal="center" vertical="center"/>
    </xf>
    <xf numFmtId="0" fontId="12" fillId="0" borderId="0" xfId="0" applyFont="1">
      <alignment vertical="center"/>
    </xf>
    <xf numFmtId="43" fontId="12" fillId="0" borderId="0" xfId="5" applyFont="1">
      <alignment vertical="center"/>
    </xf>
    <xf numFmtId="43" fontId="12" fillId="0" borderId="0" xfId="0" applyNumberFormat="1" applyFont="1">
      <alignment vertical="center"/>
    </xf>
    <xf numFmtId="0" fontId="7" fillId="4" borderId="4" xfId="0" applyFont="1" applyFill="1" applyBorder="1" applyAlignment="1" applyProtection="1">
      <alignment horizontal="center" vertical="center" wrapText="1"/>
      <protection locked="0"/>
    </xf>
    <xf numFmtId="179" fontId="11" fillId="0" borderId="1" xfId="0" applyNumberFormat="1" applyFont="1" applyFill="1" applyBorder="1" applyAlignment="1">
      <alignment horizontal="center" vertical="center"/>
    </xf>
    <xf numFmtId="43" fontId="12" fillId="5" borderId="0" xfId="5" applyFont="1" applyFill="1">
      <alignment vertical="center"/>
    </xf>
    <xf numFmtId="0" fontId="11" fillId="0" borderId="0" xfId="0" applyNumberFormat="1" applyFont="1" applyFill="1" applyBorder="1" applyAlignment="1">
      <alignment horizontal="center" vertical="center"/>
    </xf>
    <xf numFmtId="14" fontId="11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 applyProtection="1">
      <alignment horizontal="center" vertical="center" wrapText="1"/>
      <protection locked="0"/>
    </xf>
    <xf numFmtId="179" fontId="11" fillId="0" borderId="0" xfId="0" applyNumberFormat="1" applyFont="1" applyFill="1" applyBorder="1" applyAlignment="1">
      <alignment horizontal="center" vertical="center"/>
    </xf>
    <xf numFmtId="178" fontId="7" fillId="0" borderId="0" xfId="0" applyNumberFormat="1" applyFont="1" applyFill="1" applyBorder="1" applyAlignment="1">
      <alignment horizontal="center" vertical="center"/>
    </xf>
    <xf numFmtId="0" fontId="8" fillId="0" borderId="0" xfId="2" applyFont="1" applyFill="1" applyBorder="1" applyAlignment="1">
      <alignment horizontal="center" vertical="center"/>
    </xf>
    <xf numFmtId="49" fontId="8" fillId="0" borderId="0" xfId="2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8" fillId="5" borderId="1" xfId="2" applyFont="1" applyFill="1" applyBorder="1" applyAlignment="1">
      <alignment horizontal="center" vertical="center"/>
    </xf>
    <xf numFmtId="177" fontId="13" fillId="0" borderId="0" xfId="0" applyNumberFormat="1" applyFont="1" applyFill="1" applyBorder="1" applyAlignment="1">
      <alignment horizontal="left" vertical="center"/>
    </xf>
    <xf numFmtId="0" fontId="8" fillId="0" borderId="0" xfId="2" applyFont="1" applyBorder="1" applyAlignment="1">
      <alignment horizontal="center" vertical="center"/>
    </xf>
    <xf numFmtId="49" fontId="8" fillId="0" borderId="0" xfId="2" applyNumberFormat="1" applyFont="1" applyBorder="1" applyAlignment="1">
      <alignment horizontal="center" vertical="center"/>
    </xf>
    <xf numFmtId="176" fontId="7" fillId="2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Border="1" applyAlignment="1">
      <alignment horizontal="center" vertical="center"/>
    </xf>
    <xf numFmtId="0" fontId="12" fillId="0" borderId="0" xfId="0" applyFont="1" applyFill="1" applyBorder="1">
      <alignment vertical="center"/>
    </xf>
    <xf numFmtId="0" fontId="14" fillId="0" borderId="0" xfId="0" applyFont="1" applyFill="1" applyBorder="1">
      <alignment vertical="center"/>
    </xf>
    <xf numFmtId="0" fontId="12" fillId="0" borderId="0" xfId="0" applyNumberFormat="1" applyFont="1" applyFill="1" applyBorder="1">
      <alignment vertical="center"/>
    </xf>
    <xf numFmtId="176" fontId="12" fillId="0" borderId="0" xfId="0" applyNumberFormat="1" applyFont="1" applyFill="1" applyBorder="1">
      <alignment vertical="center"/>
    </xf>
    <xf numFmtId="176" fontId="11" fillId="0" borderId="0" xfId="0" applyNumberFormat="1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 applyProtection="1">
      <alignment horizontal="center" vertical="center" wrapText="1"/>
      <protection locked="0"/>
    </xf>
    <xf numFmtId="0" fontId="7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8" fillId="0" borderId="0" xfId="0" applyFont="1" applyFill="1" applyBorder="1" applyAlignment="1" applyProtection="1">
      <alignment horizontal="center" vertical="center" wrapText="1"/>
      <protection locked="0"/>
    </xf>
    <xf numFmtId="0" fontId="7" fillId="0" borderId="0" xfId="0" applyFont="1" applyFill="1" applyBorder="1" applyAlignment="1">
      <alignment horizontal="center" vertical="center"/>
    </xf>
    <xf numFmtId="2" fontId="9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9" fillId="0" borderId="0" xfId="0" applyNumberFormat="1" applyFont="1" applyFill="1" applyBorder="1" applyAlignment="1" applyProtection="1">
      <alignment horizontal="center" vertical="center" wrapText="1"/>
      <protection locked="0"/>
    </xf>
    <xf numFmtId="2" fontId="10" fillId="0" borderId="0" xfId="0" applyNumberFormat="1" applyFont="1" applyFill="1" applyBorder="1" applyAlignment="1" applyProtection="1">
      <alignment horizontal="center" vertical="center" wrapText="1"/>
      <protection locked="0"/>
    </xf>
    <xf numFmtId="177" fontId="15" fillId="0" borderId="1" xfId="0" applyNumberFormat="1" applyFont="1" applyFill="1" applyBorder="1" applyAlignment="1">
      <alignment horizontal="left" vertical="center"/>
    </xf>
    <xf numFmtId="0" fontId="8" fillId="7" borderId="1" xfId="0" applyFont="1" applyFill="1" applyBorder="1" applyAlignment="1" applyProtection="1">
      <alignment horizontal="center" vertical="center" wrapText="1"/>
      <protection locked="0"/>
    </xf>
    <xf numFmtId="176" fontId="8" fillId="7" borderId="1" xfId="0" applyNumberFormat="1" applyFont="1" applyFill="1" applyBorder="1" applyAlignment="1" applyProtection="1">
      <alignment horizontal="center" vertical="center" wrapText="1"/>
      <protection locked="0"/>
    </xf>
    <xf numFmtId="49" fontId="16" fillId="0" borderId="0" xfId="0" applyNumberFormat="1" applyFont="1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49" fontId="17" fillId="0" borderId="0" xfId="0" applyNumberFormat="1" applyFont="1" applyAlignment="1">
      <alignment horizontal="left" vertical="center"/>
    </xf>
    <xf numFmtId="178" fontId="17" fillId="0" borderId="0" xfId="0" applyNumberFormat="1" applyFont="1" applyAlignment="1">
      <alignment horizontal="center" vertical="center"/>
    </xf>
    <xf numFmtId="178" fontId="18" fillId="0" borderId="0" xfId="0" applyNumberFormat="1" applyFont="1" applyAlignment="1">
      <alignment horizontal="center" vertical="center"/>
    </xf>
    <xf numFmtId="49" fontId="19" fillId="0" borderId="0" xfId="0" applyNumberFormat="1" applyFont="1" applyAlignment="1">
      <alignment horizontal="left" vertical="center"/>
    </xf>
    <xf numFmtId="49" fontId="20" fillId="0" borderId="0" xfId="0" applyNumberFormat="1" applyFont="1" applyAlignment="1">
      <alignment horizontal="center" vertical="center"/>
    </xf>
    <xf numFmtId="178" fontId="20" fillId="0" borderId="0" xfId="0" applyNumberFormat="1" applyFont="1" applyAlignment="1">
      <alignment horizontal="center" vertical="center"/>
    </xf>
    <xf numFmtId="178" fontId="19" fillId="0" borderId="0" xfId="0" applyNumberFormat="1" applyFont="1" applyAlignment="1">
      <alignment horizontal="left" vertical="center"/>
    </xf>
    <xf numFmtId="49" fontId="21" fillId="0" borderId="5" xfId="0" applyNumberFormat="1" applyFont="1" applyBorder="1" applyAlignment="1">
      <alignment horizontal="center" wrapText="1"/>
    </xf>
    <xf numFmtId="178" fontId="21" fillId="0" borderId="5" xfId="0" applyNumberFormat="1" applyFont="1" applyBorder="1" applyAlignment="1">
      <alignment horizontal="center" wrapText="1"/>
    </xf>
    <xf numFmtId="178" fontId="21" fillId="0" borderId="5" xfId="0" applyNumberFormat="1" applyFont="1" applyBorder="1" applyAlignment="1">
      <alignment horizontal="center" vertical="top" wrapText="1"/>
    </xf>
    <xf numFmtId="178" fontId="22" fillId="0" borderId="5" xfId="0" applyNumberFormat="1" applyFont="1" applyBorder="1" applyAlignment="1">
      <alignment horizontal="center" wrapText="1"/>
    </xf>
    <xf numFmtId="49" fontId="21" fillId="0" borderId="6" xfId="0" applyNumberFormat="1" applyFont="1" applyBorder="1" applyAlignment="1">
      <alignment horizontal="center" vertical="top" wrapText="1"/>
    </xf>
    <xf numFmtId="178" fontId="21" fillId="0" borderId="6" xfId="0" applyNumberFormat="1" applyFont="1" applyBorder="1" applyAlignment="1">
      <alignment horizontal="center" vertical="top" wrapText="1"/>
    </xf>
    <xf numFmtId="178" fontId="21" fillId="0" borderId="1" xfId="0" applyNumberFormat="1" applyFont="1" applyBorder="1" applyAlignment="1">
      <alignment horizontal="center" vertical="top" wrapText="1"/>
    </xf>
    <xf numFmtId="178" fontId="22" fillId="0" borderId="6" xfId="0" applyNumberFormat="1" applyFont="1" applyBorder="1" applyAlignment="1">
      <alignment horizontal="center" vertical="top" wrapText="1"/>
    </xf>
    <xf numFmtId="49" fontId="23" fillId="0" borderId="1" xfId="0" applyNumberFormat="1" applyFont="1" applyBorder="1" applyAlignment="1">
      <alignment horizontal="center" vertical="center"/>
    </xf>
    <xf numFmtId="178" fontId="23" fillId="0" borderId="1" xfId="0" applyNumberFormat="1" applyFont="1" applyBorder="1" applyAlignment="1">
      <alignment horizontal="right" vertical="center"/>
    </xf>
    <xf numFmtId="178" fontId="24" fillId="0" borderId="1" xfId="0" applyNumberFormat="1" applyFont="1" applyBorder="1" applyAlignment="1">
      <alignment horizontal="right" vertical="center"/>
    </xf>
    <xf numFmtId="178" fontId="23" fillId="0" borderId="1" xfId="0" applyNumberFormat="1" applyFont="1" applyBorder="1" applyAlignment="1">
      <alignment horizontal="center" vertical="center"/>
    </xf>
    <xf numFmtId="49" fontId="23" fillId="8" borderId="1" xfId="0" applyNumberFormat="1" applyFont="1" applyFill="1" applyBorder="1" applyAlignment="1">
      <alignment horizontal="center" vertical="center"/>
    </xf>
    <xf numFmtId="49" fontId="23" fillId="0" borderId="1" xfId="0" applyNumberFormat="1" applyFont="1" applyBorder="1" applyAlignment="1">
      <alignment horizontal="left" vertical="center"/>
    </xf>
    <xf numFmtId="7" fontId="24" fillId="0" borderId="1" xfId="0" applyNumberFormat="1" applyFont="1" applyBorder="1" applyAlignment="1">
      <alignment horizontal="right" vertical="center"/>
    </xf>
    <xf numFmtId="178" fontId="0" fillId="0" borderId="0" xfId="0" applyNumberFormat="1" applyAlignment="1">
      <alignment horizontal="right" vertical="center"/>
    </xf>
    <xf numFmtId="49" fontId="25" fillId="0" borderId="0" xfId="0" applyNumberFormat="1" applyFont="1" applyAlignment="1">
      <alignment horizontal="left" vertical="center"/>
    </xf>
    <xf numFmtId="49" fontId="23" fillId="0" borderId="0" xfId="0" applyNumberFormat="1" applyFont="1" applyAlignment="1">
      <alignment horizontal="center" vertical="center"/>
    </xf>
    <xf numFmtId="178" fontId="23" fillId="0" borderId="0" xfId="0" applyNumberFormat="1" applyFont="1" applyAlignment="1">
      <alignment horizontal="center" vertical="center"/>
    </xf>
    <xf numFmtId="178" fontId="21" fillId="0" borderId="0" xfId="0" applyNumberFormat="1" applyFont="1" applyAlignment="1">
      <alignment horizontal="center" wrapText="1"/>
    </xf>
    <xf numFmtId="49" fontId="21" fillId="0" borderId="0" xfId="0" applyNumberFormat="1" applyFont="1" applyAlignment="1">
      <alignment horizontal="center" wrapText="1"/>
    </xf>
    <xf numFmtId="178" fontId="21" fillId="0" borderId="0" xfId="0" applyNumberFormat="1" applyFont="1" applyAlignment="1">
      <alignment horizontal="center" vertical="top" wrapText="1"/>
    </xf>
    <xf numFmtId="49" fontId="21" fillId="0" borderId="0" xfId="0" applyNumberFormat="1" applyFont="1" applyAlignment="1">
      <alignment horizontal="center" vertical="top" wrapText="1"/>
    </xf>
    <xf numFmtId="7" fontId="23" fillId="0" borderId="1" xfId="0" applyNumberFormat="1" applyFont="1" applyBorder="1" applyAlignment="1">
      <alignment horizontal="right" vertical="center"/>
    </xf>
    <xf numFmtId="7" fontId="23" fillId="0" borderId="2" xfId="0" applyNumberFormat="1" applyFont="1" applyBorder="1" applyAlignment="1">
      <alignment horizontal="center" vertical="center"/>
    </xf>
    <xf numFmtId="49" fontId="23" fillId="0" borderId="0" xfId="0" applyNumberFormat="1" applyFont="1" applyAlignment="1">
      <alignment horizontal="left" vertical="center"/>
    </xf>
    <xf numFmtId="7" fontId="23" fillId="0" borderId="0" xfId="0" applyNumberFormat="1" applyFont="1" applyAlignment="1">
      <alignment horizontal="left" vertical="center"/>
    </xf>
    <xf numFmtId="49" fontId="27" fillId="0" borderId="0" xfId="0" applyNumberFormat="1" applyFont="1" applyAlignment="1">
      <alignment horizontal="left" vertical="center"/>
    </xf>
    <xf numFmtId="49" fontId="27" fillId="0" borderId="0" xfId="0" applyNumberFormat="1" applyFont="1" applyAlignment="1">
      <alignment horizontal="center" vertical="center"/>
    </xf>
    <xf numFmtId="178" fontId="27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178" fontId="16" fillId="0" borderId="0" xfId="0" applyNumberFormat="1" applyFont="1" applyAlignment="1">
      <alignment horizontal="left" vertical="center"/>
    </xf>
    <xf numFmtId="178" fontId="0" fillId="0" borderId="0" xfId="0" applyNumberFormat="1" applyAlignment="1">
      <alignment horizontal="left" vertical="center"/>
    </xf>
    <xf numFmtId="0" fontId="28" fillId="0" borderId="1" xfId="0" applyFont="1" applyFill="1" applyBorder="1" applyAlignment="1">
      <alignment horizontal="center" vertical="center"/>
    </xf>
    <xf numFmtId="43" fontId="28" fillId="0" borderId="1" xfId="0" applyNumberFormat="1" applyFont="1" applyFill="1" applyBorder="1" applyAlignment="1">
      <alignment horizontal="center" vertical="center"/>
    </xf>
    <xf numFmtId="43" fontId="28" fillId="0" borderId="7" xfId="0" applyNumberFormat="1" applyFont="1" applyFill="1" applyBorder="1" applyAlignment="1">
      <alignment horizontal="center" vertical="center"/>
    </xf>
    <xf numFmtId="43" fontId="0" fillId="0" borderId="0" xfId="0" applyNumberFormat="1">
      <alignment vertical="center"/>
    </xf>
    <xf numFmtId="43" fontId="28" fillId="5" borderId="1" xfId="0" applyNumberFormat="1" applyFont="1" applyFill="1" applyBorder="1" applyAlignment="1">
      <alignment horizontal="center" vertical="center"/>
    </xf>
    <xf numFmtId="43" fontId="28" fillId="0" borderId="1" xfId="5" applyFont="1" applyFill="1" applyBorder="1" applyAlignment="1">
      <alignment horizontal="center" vertical="center"/>
    </xf>
    <xf numFmtId="43" fontId="28" fillId="0" borderId="1" xfId="0" applyNumberFormat="1" applyFont="1" applyFill="1" applyBorder="1" applyAlignment="1">
      <alignment horizontal="right" vertical="center"/>
    </xf>
    <xf numFmtId="0" fontId="29" fillId="5" borderId="1" xfId="0" applyFont="1" applyFill="1" applyBorder="1" applyAlignment="1">
      <alignment horizontal="center" vertical="center"/>
    </xf>
    <xf numFmtId="43" fontId="29" fillId="5" borderId="1" xfId="0" applyNumberFormat="1" applyFont="1" applyFill="1" applyBorder="1" applyAlignment="1">
      <alignment horizontal="center" vertical="center"/>
    </xf>
    <xf numFmtId="0" fontId="29" fillId="9" borderId="1" xfId="0" applyFont="1" applyFill="1" applyBorder="1" applyAlignment="1">
      <alignment horizontal="center" vertical="center"/>
    </xf>
    <xf numFmtId="43" fontId="29" fillId="9" borderId="1" xfId="0" applyNumberFormat="1" applyFont="1" applyFill="1" applyBorder="1" applyAlignment="1">
      <alignment horizontal="center" vertical="center"/>
    </xf>
    <xf numFmtId="0" fontId="7" fillId="4" borderId="4" xfId="0" applyFont="1" applyFill="1" applyBorder="1" applyAlignment="1" applyProtection="1">
      <alignment horizontal="center" vertical="center" wrapText="1"/>
      <protection locked="0"/>
    </xf>
    <xf numFmtId="0" fontId="7" fillId="4" borderId="3" xfId="0" applyFont="1" applyFill="1" applyBorder="1" applyAlignment="1" applyProtection="1">
      <alignment horizontal="center" vertical="center" wrapText="1"/>
      <protection locked="0"/>
    </xf>
    <xf numFmtId="0" fontId="7" fillId="4" borderId="2" xfId="0" applyFont="1" applyFill="1" applyBorder="1" applyAlignment="1" applyProtection="1">
      <alignment horizontal="center" vertical="center" wrapText="1"/>
      <protection locked="0"/>
    </xf>
    <xf numFmtId="49" fontId="23" fillId="0" borderId="4" xfId="0" applyNumberFormat="1" applyFont="1" applyBorder="1" applyAlignment="1">
      <alignment horizontal="left" vertical="center"/>
    </xf>
    <xf numFmtId="0" fontId="23" fillId="0" borderId="3" xfId="0" applyFont="1" applyBorder="1" applyAlignment="1">
      <alignment horizontal="left" vertical="center"/>
    </xf>
    <xf numFmtId="178" fontId="21" fillId="0" borderId="4" xfId="0" applyNumberFormat="1" applyFont="1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49" fontId="26" fillId="0" borderId="5" xfId="0" applyNumberFormat="1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</cellXfs>
  <cellStyles count="7">
    <cellStyle name="常规" xfId="0" builtinId="0"/>
    <cellStyle name="常规 10" xfId="1" xr:uid="{58AA7651-3375-47CA-A55D-C8E9F875F546}"/>
    <cellStyle name="常规 2" xfId="2" xr:uid="{DEE04A1C-168B-4755-B2B5-A6F170D6369D}"/>
    <cellStyle name="常规 3" xfId="3" xr:uid="{00000000-0005-0000-0000-000031000000}"/>
    <cellStyle name="常规 3 3" xfId="6" xr:uid="{2FC27E43-F6FE-486F-9B04-84BCD12C57B0}"/>
    <cellStyle name="常规 4" xfId="4" xr:uid="{00000000-0005-0000-0000-000032000000}"/>
    <cellStyle name="千位分隔" xfId="5" builtinId="3"/>
  </cellStyles>
  <dxfs count="3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47F16-BD72-4413-B8A8-EC496348573D}">
  <dimension ref="A1:BG100"/>
  <sheetViews>
    <sheetView tabSelected="1" zoomScaleNormal="100" workbookViewId="0">
      <pane xSplit="5" ySplit="2" topLeftCell="X23" activePane="bottomRight" state="frozen"/>
      <selection pane="topRight" activeCell="E1" sqref="E1"/>
      <selection pane="bottomLeft" activeCell="A3" sqref="A3"/>
      <selection pane="bottomRight" activeCell="AA41" sqref="AA41"/>
    </sheetView>
  </sheetViews>
  <sheetFormatPr defaultColWidth="9.109375" defaultRowHeight="16.2" x14ac:dyDescent="0.25"/>
  <cols>
    <col min="1" max="1" width="5" style="30" bestFit="1" customWidth="1"/>
    <col min="2" max="2" width="7.6640625" style="30" bestFit="1" customWidth="1"/>
    <col min="3" max="3" width="8.77734375" style="30" bestFit="1" customWidth="1"/>
    <col min="4" max="4" width="7.44140625" style="30" customWidth="1"/>
    <col min="5" max="5" width="24.44140625" style="30" customWidth="1"/>
    <col min="6" max="6" width="8.44140625" style="30" bestFit="1" customWidth="1"/>
    <col min="7" max="7" width="9.21875" style="30" customWidth="1"/>
    <col min="8" max="8" width="11.21875" style="30" bestFit="1" customWidth="1"/>
    <col min="9" max="9" width="8.88671875" style="30" bestFit="1" customWidth="1"/>
    <col min="10" max="10" width="12.5546875" style="30" customWidth="1"/>
    <col min="11" max="11" width="26.109375" style="30" customWidth="1"/>
    <col min="12" max="12" width="18" style="30" customWidth="1"/>
    <col min="13" max="13" width="5.6640625" style="30" bestFit="1" customWidth="1"/>
    <col min="14" max="14" width="5.33203125" style="30" bestFit="1" customWidth="1"/>
    <col min="15" max="15" width="4.44140625" style="30" bestFit="1" customWidth="1"/>
    <col min="16" max="16" width="8.33203125" style="30" customWidth="1"/>
    <col min="17" max="17" width="8" style="30" bestFit="1" customWidth="1"/>
    <col min="18" max="18" width="6" style="30" bestFit="1" customWidth="1"/>
    <col min="19" max="19" width="8" style="30" bestFit="1" customWidth="1"/>
    <col min="20" max="20" width="5.6640625" style="30" customWidth="1"/>
    <col min="21" max="21" width="7.109375" style="30" customWidth="1"/>
    <col min="22" max="22" width="5.6640625" style="30" bestFit="1" customWidth="1"/>
    <col min="23" max="23" width="9.109375" style="30" customWidth="1"/>
    <col min="24" max="24" width="7.21875" style="30" bestFit="1" customWidth="1"/>
    <col min="25" max="25" width="7.21875" style="30" customWidth="1"/>
    <col min="26" max="26" width="9" style="30" customWidth="1"/>
    <col min="27" max="27" width="12.88671875" style="30" bestFit="1" customWidth="1"/>
    <col min="28" max="30" width="8.33203125" style="30" customWidth="1"/>
    <col min="31" max="31" width="8.77734375" style="30" customWidth="1"/>
    <col min="32" max="33" width="8.88671875" style="30" customWidth="1"/>
    <col min="34" max="34" width="12.88671875" style="30" customWidth="1"/>
    <col min="35" max="35" width="9.109375" style="30" customWidth="1"/>
    <col min="36" max="36" width="6.44140625" style="30" customWidth="1"/>
    <col min="37" max="37" width="8.6640625" style="30" customWidth="1"/>
    <col min="38" max="38" width="12.88671875" style="30" customWidth="1"/>
    <col min="39" max="39" width="10.77734375" style="30" customWidth="1"/>
    <col min="40" max="40" width="8.88671875" style="30" customWidth="1"/>
    <col min="41" max="41" width="13.109375" style="30" customWidth="1"/>
    <col min="42" max="42" width="11.44140625" style="30" customWidth="1"/>
    <col min="43" max="43" width="8.77734375" style="30" customWidth="1"/>
    <col min="44" max="44" width="6.44140625" style="30" customWidth="1"/>
    <col min="45" max="45" width="6.5546875" style="30" customWidth="1"/>
    <col min="46" max="46" width="12.88671875" style="30" customWidth="1"/>
    <col min="47" max="47" width="8.33203125" style="30" customWidth="1"/>
    <col min="48" max="48" width="12.88671875" style="30" customWidth="1"/>
    <col min="49" max="49" width="12.88671875" style="45" customWidth="1"/>
    <col min="50" max="50" width="12.88671875" style="30" customWidth="1"/>
    <col min="51" max="51" width="12.33203125" style="30" customWidth="1"/>
    <col min="52" max="52" width="24.6640625" style="30" customWidth="1"/>
    <col min="53" max="53" width="44.109375" style="30" customWidth="1"/>
    <col min="54" max="54" width="11.6640625" style="30" bestFit="1" customWidth="1"/>
    <col min="55" max="55" width="19.33203125" style="30" customWidth="1"/>
    <col min="56" max="56" width="11.6640625" style="30" bestFit="1" customWidth="1"/>
    <col min="57" max="57" width="12.88671875" style="30" bestFit="1" customWidth="1"/>
    <col min="58" max="58" width="11.109375" style="30" customWidth="1"/>
    <col min="59" max="59" width="11.6640625" style="30" bestFit="1" customWidth="1"/>
    <col min="60" max="16384" width="9.109375" style="30"/>
  </cols>
  <sheetData>
    <row r="1" spans="1:59" s="9" customFormat="1" ht="26.1" customHeight="1" x14ac:dyDescent="0.3">
      <c r="A1" s="1" t="s">
        <v>83</v>
      </c>
      <c r="B1" s="2" t="s">
        <v>82</v>
      </c>
      <c r="C1" s="33" t="s">
        <v>84</v>
      </c>
      <c r="D1" s="33" t="s">
        <v>81</v>
      </c>
      <c r="E1" s="33" t="s">
        <v>80</v>
      </c>
      <c r="F1" s="1" t="s">
        <v>79</v>
      </c>
      <c r="G1" s="1" t="s">
        <v>78</v>
      </c>
      <c r="H1" s="1" t="s">
        <v>77</v>
      </c>
      <c r="I1" s="1" t="s">
        <v>76</v>
      </c>
      <c r="J1" s="3" t="s">
        <v>75</v>
      </c>
      <c r="K1" s="1" t="s">
        <v>74</v>
      </c>
      <c r="L1" s="1" t="s">
        <v>73</v>
      </c>
      <c r="M1" s="122" t="s">
        <v>72</v>
      </c>
      <c r="N1" s="123"/>
      <c r="O1" s="123"/>
      <c r="P1" s="123"/>
      <c r="Q1" s="123"/>
      <c r="R1" s="123"/>
      <c r="S1" s="123"/>
      <c r="T1" s="123"/>
      <c r="U1" s="123"/>
      <c r="V1" s="123"/>
      <c r="W1" s="123"/>
      <c r="X1" s="123"/>
      <c r="Y1" s="123"/>
      <c r="Z1" s="124"/>
      <c r="AA1" s="4" t="s">
        <v>71</v>
      </c>
      <c r="AB1" s="3" t="s">
        <v>70</v>
      </c>
      <c r="AC1" s="3" t="s">
        <v>69</v>
      </c>
      <c r="AD1" s="3" t="s">
        <v>68</v>
      </c>
      <c r="AE1" s="3" t="s">
        <v>67</v>
      </c>
      <c r="AF1" s="3" t="s">
        <v>66</v>
      </c>
      <c r="AG1" s="3" t="s">
        <v>65</v>
      </c>
      <c r="AH1" s="4" t="s">
        <v>64</v>
      </c>
      <c r="AI1" s="3" t="s">
        <v>63</v>
      </c>
      <c r="AJ1" s="3" t="s">
        <v>62</v>
      </c>
      <c r="AK1" s="3" t="s">
        <v>61</v>
      </c>
      <c r="AL1" s="4" t="s">
        <v>60</v>
      </c>
      <c r="AM1" s="3" t="s">
        <v>59</v>
      </c>
      <c r="AN1" s="3" t="s">
        <v>58</v>
      </c>
      <c r="AO1" s="3" t="s">
        <v>57</v>
      </c>
      <c r="AP1" s="3" t="s">
        <v>56</v>
      </c>
      <c r="AQ1" s="3" t="s">
        <v>55</v>
      </c>
      <c r="AR1" s="3" t="s">
        <v>54</v>
      </c>
      <c r="AS1" s="3" t="s">
        <v>53</v>
      </c>
      <c r="AT1" s="3" t="s">
        <v>52</v>
      </c>
      <c r="AU1" s="3" t="s">
        <v>51</v>
      </c>
      <c r="AV1" s="4" t="s">
        <v>50</v>
      </c>
      <c r="AW1" s="4" t="s">
        <v>49</v>
      </c>
      <c r="AX1" s="5" t="s">
        <v>48</v>
      </c>
      <c r="AY1" s="6" t="s">
        <v>217</v>
      </c>
      <c r="AZ1" s="6" t="s">
        <v>218</v>
      </c>
      <c r="BA1" s="7" t="s">
        <v>47</v>
      </c>
      <c r="BB1" s="5" t="s">
        <v>46</v>
      </c>
      <c r="BC1" s="8" t="s">
        <v>86</v>
      </c>
      <c r="BD1" s="5" t="s">
        <v>45</v>
      </c>
      <c r="BE1" s="5" t="s">
        <v>44</v>
      </c>
      <c r="BF1" s="66" t="s">
        <v>229</v>
      </c>
    </row>
    <row r="2" spans="1:59" s="16" customFormat="1" ht="40.799999999999997" x14ac:dyDescent="0.25">
      <c r="A2" s="10" t="s">
        <v>43</v>
      </c>
      <c r="B2" s="11" t="s">
        <v>42</v>
      </c>
      <c r="C2" s="10" t="s">
        <v>85</v>
      </c>
      <c r="D2" s="10" t="s">
        <v>41</v>
      </c>
      <c r="E2" s="10" t="s">
        <v>40</v>
      </c>
      <c r="F2" s="10" t="s">
        <v>39</v>
      </c>
      <c r="G2" s="10" t="s">
        <v>38</v>
      </c>
      <c r="H2" s="10" t="s">
        <v>37</v>
      </c>
      <c r="I2" s="10" t="s">
        <v>36</v>
      </c>
      <c r="J2" s="12" t="s">
        <v>35</v>
      </c>
      <c r="K2" s="10" t="s">
        <v>34</v>
      </c>
      <c r="L2" s="10" t="s">
        <v>33</v>
      </c>
      <c r="M2" s="10" t="s">
        <v>32</v>
      </c>
      <c r="N2" s="10" t="s">
        <v>31</v>
      </c>
      <c r="O2" s="10" t="s">
        <v>30</v>
      </c>
      <c r="P2" s="10" t="s">
        <v>91</v>
      </c>
      <c r="Q2" s="10" t="s">
        <v>88</v>
      </c>
      <c r="R2" s="10" t="s">
        <v>29</v>
      </c>
      <c r="S2" s="10" t="s">
        <v>212</v>
      </c>
      <c r="T2" s="10" t="s">
        <v>210</v>
      </c>
      <c r="U2" s="10" t="s">
        <v>213</v>
      </c>
      <c r="V2" s="10" t="s">
        <v>28</v>
      </c>
      <c r="W2" s="10" t="s">
        <v>89</v>
      </c>
      <c r="X2" s="10" t="s">
        <v>223</v>
      </c>
      <c r="Y2" s="10"/>
      <c r="Z2" s="10" t="s">
        <v>27</v>
      </c>
      <c r="AA2" s="13" t="s">
        <v>26</v>
      </c>
      <c r="AB2" s="12" t="s">
        <v>16</v>
      </c>
      <c r="AC2" s="12" t="s">
        <v>25</v>
      </c>
      <c r="AD2" s="12" t="s">
        <v>24</v>
      </c>
      <c r="AE2" s="12" t="s">
        <v>23</v>
      </c>
      <c r="AF2" s="12" t="s">
        <v>15</v>
      </c>
      <c r="AG2" s="12" t="s">
        <v>22</v>
      </c>
      <c r="AH2" s="13" t="s">
        <v>21</v>
      </c>
      <c r="AI2" s="12" t="s">
        <v>20</v>
      </c>
      <c r="AJ2" s="12" t="s">
        <v>19</v>
      </c>
      <c r="AK2" s="12" t="s">
        <v>18</v>
      </c>
      <c r="AL2" s="13" t="s">
        <v>17</v>
      </c>
      <c r="AM2" s="12" t="s">
        <v>16</v>
      </c>
      <c r="AN2" s="12" t="s">
        <v>15</v>
      </c>
      <c r="AO2" s="12" t="s">
        <v>14</v>
      </c>
      <c r="AP2" s="12" t="s">
        <v>13</v>
      </c>
      <c r="AQ2" s="12" t="s">
        <v>12</v>
      </c>
      <c r="AR2" s="12" t="s">
        <v>11</v>
      </c>
      <c r="AS2" s="12" t="s">
        <v>10</v>
      </c>
      <c r="AT2" s="12" t="s">
        <v>9</v>
      </c>
      <c r="AU2" s="12" t="s">
        <v>8</v>
      </c>
      <c r="AV2" s="13" t="s">
        <v>7</v>
      </c>
      <c r="AW2" s="13" t="s">
        <v>6</v>
      </c>
      <c r="AX2" s="13" t="s">
        <v>5</v>
      </c>
      <c r="AY2" s="14"/>
      <c r="AZ2" s="14"/>
      <c r="BA2" s="15" t="s">
        <v>4</v>
      </c>
      <c r="BB2" s="5" t="s">
        <v>3</v>
      </c>
      <c r="BC2" s="8" t="s">
        <v>87</v>
      </c>
      <c r="BD2" s="5" t="s">
        <v>2</v>
      </c>
      <c r="BE2" s="5" t="s">
        <v>1</v>
      </c>
      <c r="BF2" s="66"/>
    </row>
    <row r="3" spans="1:59" s="28" customFormat="1" ht="15" customHeight="1" x14ac:dyDescent="0.25">
      <c r="A3" s="17">
        <f>ROW()-2</f>
        <v>1</v>
      </c>
      <c r="B3" s="18">
        <v>2502</v>
      </c>
      <c r="C3" s="17" t="s">
        <v>211</v>
      </c>
      <c r="D3" s="17" t="s">
        <v>92</v>
      </c>
      <c r="E3" s="19" t="s">
        <v>209</v>
      </c>
      <c r="F3" s="20">
        <v>45413</v>
      </c>
      <c r="G3" s="20">
        <v>45777</v>
      </c>
      <c r="H3" s="17"/>
      <c r="I3" s="21" t="s">
        <v>0</v>
      </c>
      <c r="J3" s="22">
        <v>1200</v>
      </c>
      <c r="K3" s="22">
        <v>4368.8</v>
      </c>
      <c r="L3" s="22">
        <v>1370.8</v>
      </c>
      <c r="M3" s="22"/>
      <c r="N3" s="22"/>
      <c r="O3" s="22"/>
      <c r="P3" s="22">
        <v>200</v>
      </c>
      <c r="Q3" s="22"/>
      <c r="R3" s="22">
        <v>630</v>
      </c>
      <c r="S3" s="34"/>
      <c r="T3" s="22"/>
      <c r="U3" s="34">
        <v>0</v>
      </c>
      <c r="V3" s="34"/>
      <c r="W3" s="22"/>
      <c r="X3" s="22" t="s">
        <v>228</v>
      </c>
      <c r="Y3" s="22"/>
      <c r="Z3" s="22">
        <v>0</v>
      </c>
      <c r="AA3" s="23">
        <f t="shared" ref="AA3:AA43" si="0">SUM(J3:Z3)</f>
        <v>7769.6</v>
      </c>
      <c r="AB3" s="24">
        <v>7384</v>
      </c>
      <c r="AC3" s="24">
        <v>590.72</v>
      </c>
      <c r="AD3" s="24">
        <v>147.68</v>
      </c>
      <c r="AE3" s="24">
        <v>36.92</v>
      </c>
      <c r="AF3" s="24">
        <v>2690</v>
      </c>
      <c r="AG3" s="24">
        <f>ROUND(AF3*7%,0)</f>
        <v>188</v>
      </c>
      <c r="AH3" s="23">
        <f t="shared" ref="AH3:AH42" si="1">AC3+AD3+AE3+AG3</f>
        <v>963.32</v>
      </c>
      <c r="AI3" s="25"/>
      <c r="AJ3" s="25"/>
      <c r="AK3" s="25"/>
      <c r="AL3" s="23">
        <f t="shared" ref="AL3:AL43" si="2">AA3-AH3-AI3</f>
        <v>6806.2800000000007</v>
      </c>
      <c r="AM3" s="24">
        <v>7384</v>
      </c>
      <c r="AN3" s="24">
        <v>2690</v>
      </c>
      <c r="AO3" s="24">
        <f>ROUND(AM3*16%,2)</f>
        <v>1181.44</v>
      </c>
      <c r="AP3" s="24">
        <f>ROUND(AM3*9%,2)</f>
        <v>664.56</v>
      </c>
      <c r="AQ3" s="24">
        <f t="shared" ref="AQ3:AQ42" si="3">ROUND(AM3*0.5%,2)</f>
        <v>36.92</v>
      </c>
      <c r="AR3" s="24">
        <v>14.77</v>
      </c>
      <c r="AS3" s="24"/>
      <c r="AT3" s="24">
        <f t="shared" ref="AT3:AT42" si="4">ROUND(AN3*7%,0)</f>
        <v>188</v>
      </c>
      <c r="AU3" s="24">
        <f t="shared" ref="AU3:AU42" si="5">ROUND(IF(AM3&lt;24366,AM3*1.5%,24366*1.5%),2)</f>
        <v>110.76</v>
      </c>
      <c r="AV3" s="23">
        <f t="shared" ref="AV3:AV42" si="6">SUM(AO3:AU3)</f>
        <v>2196.4500000000003</v>
      </c>
      <c r="AW3" s="23">
        <v>143</v>
      </c>
      <c r="AX3" s="23">
        <f t="shared" ref="AX3:AX43" si="7">AV3+AA3+AJ3-AK3+AW3</f>
        <v>10109.050000000001</v>
      </c>
      <c r="AY3" s="26"/>
      <c r="AZ3" s="26">
        <v>-4.13</v>
      </c>
      <c r="BA3" s="65" t="s">
        <v>220</v>
      </c>
      <c r="BB3" s="23">
        <v>255</v>
      </c>
      <c r="BC3" s="27">
        <f>ROUND(AX3+BB3+AZ3+AY3,2)</f>
        <v>10359.92</v>
      </c>
      <c r="BD3" s="23">
        <f t="shared" ref="BD3:BD42" si="8">ROUND(BC3*6%,2)</f>
        <v>621.6</v>
      </c>
      <c r="BE3" s="23">
        <f t="shared" ref="BE3:BE42" si="9">ROUND(SUM(BC3:BD3),2)</f>
        <v>10981.52</v>
      </c>
      <c r="BF3" s="67">
        <f>AW3-5</f>
        <v>138</v>
      </c>
      <c r="BG3" s="29"/>
    </row>
    <row r="4" spans="1:59" s="28" customFormat="1" ht="15" customHeight="1" x14ac:dyDescent="0.25">
      <c r="A4" s="17">
        <f t="shared" ref="A4:A43" si="10">ROW()-2</f>
        <v>2</v>
      </c>
      <c r="B4" s="18">
        <v>2502</v>
      </c>
      <c r="C4" s="17" t="s">
        <v>102</v>
      </c>
      <c r="D4" s="17" t="s">
        <v>99</v>
      </c>
      <c r="E4" s="19" t="s">
        <v>93</v>
      </c>
      <c r="F4" s="20">
        <v>45413</v>
      </c>
      <c r="G4" s="20">
        <v>45777</v>
      </c>
      <c r="H4" s="17"/>
      <c r="I4" s="21" t="s">
        <v>0</v>
      </c>
      <c r="J4" s="22">
        <v>950</v>
      </c>
      <c r="K4" s="22">
        <v>1121.2</v>
      </c>
      <c r="L4" s="22">
        <v>394.48</v>
      </c>
      <c r="M4" s="22"/>
      <c r="N4" s="22"/>
      <c r="O4" s="22"/>
      <c r="P4" s="22">
        <v>50</v>
      </c>
      <c r="Q4" s="22"/>
      <c r="R4" s="22">
        <v>630</v>
      </c>
      <c r="S4" s="34"/>
      <c r="T4" s="22"/>
      <c r="U4" s="34">
        <v>0</v>
      </c>
      <c r="V4" s="34"/>
      <c r="W4" s="22"/>
      <c r="X4" s="22">
        <v>1192.6400000000003</v>
      </c>
      <c r="Y4" s="22"/>
      <c r="Z4" s="22">
        <v>0</v>
      </c>
      <c r="AA4" s="23">
        <f t="shared" si="0"/>
        <v>4338.32</v>
      </c>
      <c r="AB4" s="24">
        <v>7384</v>
      </c>
      <c r="AC4" s="24">
        <v>590.72</v>
      </c>
      <c r="AD4" s="24">
        <v>147.68</v>
      </c>
      <c r="AE4" s="24">
        <v>36.92</v>
      </c>
      <c r="AF4" s="24">
        <v>2690</v>
      </c>
      <c r="AG4" s="24">
        <f t="shared" ref="AG4:AG42" si="11">ROUND(AF4*7%,0)</f>
        <v>188</v>
      </c>
      <c r="AH4" s="23">
        <f t="shared" si="1"/>
        <v>963.32</v>
      </c>
      <c r="AI4" s="25"/>
      <c r="AJ4" s="25"/>
      <c r="AK4" s="25"/>
      <c r="AL4" s="23">
        <f t="shared" si="2"/>
        <v>3374.9999999999995</v>
      </c>
      <c r="AM4" s="24">
        <v>7384</v>
      </c>
      <c r="AN4" s="24">
        <v>2690</v>
      </c>
      <c r="AO4" s="24">
        <f t="shared" ref="AO4:AO42" si="12">ROUND(AM4*16%,2)</f>
        <v>1181.44</v>
      </c>
      <c r="AP4" s="24">
        <f t="shared" ref="AP4:AP42" si="13">ROUND(AM4*9%,2)</f>
        <v>664.56</v>
      </c>
      <c r="AQ4" s="24">
        <f t="shared" si="3"/>
        <v>36.92</v>
      </c>
      <c r="AR4" s="24">
        <v>14.77</v>
      </c>
      <c r="AS4" s="24"/>
      <c r="AT4" s="24">
        <f t="shared" si="4"/>
        <v>188</v>
      </c>
      <c r="AU4" s="24">
        <f t="shared" si="5"/>
        <v>110.76</v>
      </c>
      <c r="AV4" s="23">
        <f t="shared" si="6"/>
        <v>2196.4500000000003</v>
      </c>
      <c r="AW4" s="23">
        <v>74</v>
      </c>
      <c r="AX4" s="23">
        <f t="shared" si="7"/>
        <v>6608.77</v>
      </c>
      <c r="AY4" s="26">
        <f>5</f>
        <v>5</v>
      </c>
      <c r="AZ4" s="26">
        <v>-4.129999999999999</v>
      </c>
      <c r="BA4" s="65" t="s">
        <v>221</v>
      </c>
      <c r="BB4" s="23">
        <v>255</v>
      </c>
      <c r="BC4" s="27">
        <f t="shared" ref="BC4:BC43" si="14">ROUND(AX4+BB4+AZ4+AY4,2)</f>
        <v>6864.64</v>
      </c>
      <c r="BD4" s="23">
        <f t="shared" si="8"/>
        <v>411.88</v>
      </c>
      <c r="BE4" s="23">
        <f t="shared" si="9"/>
        <v>7276.52</v>
      </c>
      <c r="BF4" s="67">
        <f t="shared" ref="BF4:BF43" si="15">AW4-5</f>
        <v>69</v>
      </c>
      <c r="BG4" s="29"/>
    </row>
    <row r="5" spans="1:59" s="28" customFormat="1" ht="15" customHeight="1" x14ac:dyDescent="0.25">
      <c r="A5" s="17">
        <f t="shared" si="10"/>
        <v>3</v>
      </c>
      <c r="B5" s="18">
        <v>2502</v>
      </c>
      <c r="C5" s="17" t="s">
        <v>103</v>
      </c>
      <c r="D5" s="17" t="s">
        <v>94</v>
      </c>
      <c r="E5" s="19" t="s">
        <v>95</v>
      </c>
      <c r="F5" s="20">
        <v>45413</v>
      </c>
      <c r="G5" s="20">
        <v>45777</v>
      </c>
      <c r="H5" s="17"/>
      <c r="I5" s="21" t="s">
        <v>0</v>
      </c>
      <c r="J5" s="22">
        <v>1030</v>
      </c>
      <c r="K5" s="22">
        <v>751.6</v>
      </c>
      <c r="L5" s="22">
        <v>102.96</v>
      </c>
      <c r="M5" s="22"/>
      <c r="N5" s="22"/>
      <c r="O5" s="22"/>
      <c r="P5" s="22">
        <v>50</v>
      </c>
      <c r="Q5" s="22"/>
      <c r="R5" s="22">
        <v>630</v>
      </c>
      <c r="S5" s="34"/>
      <c r="T5" s="22"/>
      <c r="U5" s="34">
        <v>0</v>
      </c>
      <c r="V5" s="34"/>
      <c r="W5" s="22"/>
      <c r="X5" s="22">
        <v>1773.7600000000002</v>
      </c>
      <c r="Y5" s="22"/>
      <c r="Z5" s="22">
        <v>0</v>
      </c>
      <c r="AA5" s="23">
        <f t="shared" si="0"/>
        <v>4338.32</v>
      </c>
      <c r="AB5" s="24">
        <v>7384</v>
      </c>
      <c r="AC5" s="24">
        <v>590.72</v>
      </c>
      <c r="AD5" s="24">
        <v>147.68</v>
      </c>
      <c r="AE5" s="24">
        <v>36.92</v>
      </c>
      <c r="AF5" s="24">
        <v>2690</v>
      </c>
      <c r="AG5" s="24">
        <f t="shared" si="11"/>
        <v>188</v>
      </c>
      <c r="AH5" s="23">
        <f t="shared" si="1"/>
        <v>963.32</v>
      </c>
      <c r="AI5" s="25"/>
      <c r="AJ5" s="25"/>
      <c r="AK5" s="25"/>
      <c r="AL5" s="23">
        <f t="shared" si="2"/>
        <v>3374.9999999999995</v>
      </c>
      <c r="AM5" s="24">
        <v>7384</v>
      </c>
      <c r="AN5" s="24">
        <v>2690</v>
      </c>
      <c r="AO5" s="24">
        <f t="shared" si="12"/>
        <v>1181.44</v>
      </c>
      <c r="AP5" s="24">
        <f t="shared" si="13"/>
        <v>664.56</v>
      </c>
      <c r="AQ5" s="24">
        <f t="shared" si="3"/>
        <v>36.92</v>
      </c>
      <c r="AR5" s="24">
        <v>14.77</v>
      </c>
      <c r="AS5" s="24"/>
      <c r="AT5" s="24">
        <f t="shared" si="4"/>
        <v>188</v>
      </c>
      <c r="AU5" s="24">
        <f t="shared" si="5"/>
        <v>110.76</v>
      </c>
      <c r="AV5" s="23">
        <f t="shared" si="6"/>
        <v>2196.4500000000003</v>
      </c>
      <c r="AW5" s="23">
        <v>74</v>
      </c>
      <c r="AX5" s="23">
        <f t="shared" si="7"/>
        <v>6608.77</v>
      </c>
      <c r="AY5" s="26">
        <f>5</f>
        <v>5</v>
      </c>
      <c r="AZ5" s="26">
        <v>-4.13</v>
      </c>
      <c r="BA5" s="65" t="s">
        <v>221</v>
      </c>
      <c r="BB5" s="23">
        <v>255</v>
      </c>
      <c r="BC5" s="27">
        <f t="shared" si="14"/>
        <v>6864.64</v>
      </c>
      <c r="BD5" s="23">
        <f t="shared" si="8"/>
        <v>411.88</v>
      </c>
      <c r="BE5" s="23">
        <f t="shared" si="9"/>
        <v>7276.52</v>
      </c>
      <c r="BF5" s="67">
        <f t="shared" si="15"/>
        <v>69</v>
      </c>
      <c r="BG5" s="29"/>
    </row>
    <row r="6" spans="1:59" s="28" customFormat="1" ht="15" customHeight="1" x14ac:dyDescent="0.25">
      <c r="A6" s="17">
        <f t="shared" si="10"/>
        <v>4</v>
      </c>
      <c r="B6" s="18">
        <v>2502</v>
      </c>
      <c r="C6" s="17" t="s">
        <v>101</v>
      </c>
      <c r="D6" s="17" t="s">
        <v>96</v>
      </c>
      <c r="E6" s="19" t="s">
        <v>97</v>
      </c>
      <c r="F6" s="20">
        <v>45413</v>
      </c>
      <c r="G6" s="20">
        <v>45777</v>
      </c>
      <c r="H6" s="17"/>
      <c r="I6" s="21" t="s">
        <v>0</v>
      </c>
      <c r="J6" s="22">
        <v>950</v>
      </c>
      <c r="K6" s="22">
        <v>2977.2</v>
      </c>
      <c r="L6" s="22">
        <v>843.04</v>
      </c>
      <c r="M6" s="22"/>
      <c r="N6" s="22"/>
      <c r="O6" s="22"/>
      <c r="P6" s="22">
        <v>200</v>
      </c>
      <c r="Q6" s="22"/>
      <c r="R6" s="22">
        <v>630</v>
      </c>
      <c r="S6" s="34"/>
      <c r="T6" s="22"/>
      <c r="U6" s="34">
        <v>0</v>
      </c>
      <c r="V6" s="34"/>
      <c r="W6" s="22"/>
      <c r="X6" s="22" t="s">
        <v>228</v>
      </c>
      <c r="Y6" s="22"/>
      <c r="Z6" s="22">
        <v>0</v>
      </c>
      <c r="AA6" s="23">
        <f t="shared" si="0"/>
        <v>5600.24</v>
      </c>
      <c r="AB6" s="24">
        <v>7384</v>
      </c>
      <c r="AC6" s="24">
        <v>590.72</v>
      </c>
      <c r="AD6" s="24">
        <v>147.68</v>
      </c>
      <c r="AE6" s="24">
        <v>36.92</v>
      </c>
      <c r="AF6" s="24">
        <v>2690</v>
      </c>
      <c r="AG6" s="24">
        <f t="shared" si="11"/>
        <v>188</v>
      </c>
      <c r="AH6" s="23">
        <f t="shared" si="1"/>
        <v>963.32</v>
      </c>
      <c r="AI6" s="25"/>
      <c r="AJ6" s="25"/>
      <c r="AK6" s="25"/>
      <c r="AL6" s="23">
        <f t="shared" si="2"/>
        <v>4636.92</v>
      </c>
      <c r="AM6" s="24">
        <v>7384</v>
      </c>
      <c r="AN6" s="24">
        <v>2690</v>
      </c>
      <c r="AO6" s="24">
        <f t="shared" si="12"/>
        <v>1181.44</v>
      </c>
      <c r="AP6" s="24">
        <f t="shared" si="13"/>
        <v>664.56</v>
      </c>
      <c r="AQ6" s="24">
        <f t="shared" si="3"/>
        <v>36.92</v>
      </c>
      <c r="AR6" s="24">
        <v>14.77</v>
      </c>
      <c r="AS6" s="24"/>
      <c r="AT6" s="24">
        <f t="shared" si="4"/>
        <v>188</v>
      </c>
      <c r="AU6" s="24">
        <f t="shared" si="5"/>
        <v>110.76</v>
      </c>
      <c r="AV6" s="23">
        <f t="shared" si="6"/>
        <v>2196.4500000000003</v>
      </c>
      <c r="AW6" s="23">
        <v>99</v>
      </c>
      <c r="AX6" s="23">
        <f t="shared" si="7"/>
        <v>7895.6900000000005</v>
      </c>
      <c r="AY6" s="26"/>
      <c r="AZ6" s="26">
        <v>-4.129999999999999</v>
      </c>
      <c r="BA6" s="65" t="s">
        <v>219</v>
      </c>
      <c r="BB6" s="23">
        <v>255</v>
      </c>
      <c r="BC6" s="27">
        <f t="shared" si="14"/>
        <v>8146.56</v>
      </c>
      <c r="BD6" s="23">
        <f t="shared" si="8"/>
        <v>488.79</v>
      </c>
      <c r="BE6" s="23">
        <f t="shared" si="9"/>
        <v>8635.35</v>
      </c>
      <c r="BF6" s="67">
        <f t="shared" si="15"/>
        <v>94</v>
      </c>
      <c r="BG6" s="29"/>
    </row>
    <row r="7" spans="1:59" s="28" customFormat="1" ht="15" customHeight="1" x14ac:dyDescent="0.25">
      <c r="A7" s="17">
        <f t="shared" si="10"/>
        <v>5</v>
      </c>
      <c r="B7" s="18">
        <v>2502</v>
      </c>
      <c r="C7" s="17" t="s">
        <v>104</v>
      </c>
      <c r="D7" s="17" t="s">
        <v>100</v>
      </c>
      <c r="E7" s="19" t="s">
        <v>98</v>
      </c>
      <c r="F7" s="20">
        <v>45413</v>
      </c>
      <c r="G7" s="20">
        <v>45777</v>
      </c>
      <c r="H7" s="17"/>
      <c r="I7" s="21" t="s">
        <v>0</v>
      </c>
      <c r="J7" s="22">
        <v>950</v>
      </c>
      <c r="K7" s="22">
        <v>1081.8</v>
      </c>
      <c r="L7" s="22">
        <v>1105.68</v>
      </c>
      <c r="M7" s="22"/>
      <c r="N7" s="22"/>
      <c r="O7" s="22"/>
      <c r="P7" s="22">
        <v>200</v>
      </c>
      <c r="Q7" s="22"/>
      <c r="R7" s="22">
        <v>630</v>
      </c>
      <c r="S7" s="34"/>
      <c r="T7" s="22"/>
      <c r="U7" s="34">
        <v>0</v>
      </c>
      <c r="V7" s="34"/>
      <c r="W7" s="22"/>
      <c r="X7" s="22">
        <v>720.84000000000015</v>
      </c>
      <c r="Y7" s="22"/>
      <c r="Z7" s="22">
        <v>-200</v>
      </c>
      <c r="AA7" s="23">
        <f t="shared" si="0"/>
        <v>4488.32</v>
      </c>
      <c r="AB7" s="24">
        <v>7384</v>
      </c>
      <c r="AC7" s="24">
        <v>590.72</v>
      </c>
      <c r="AD7" s="24">
        <v>147.68</v>
      </c>
      <c r="AE7" s="24">
        <v>36.92</v>
      </c>
      <c r="AF7" s="24">
        <v>2690</v>
      </c>
      <c r="AG7" s="24">
        <f t="shared" si="11"/>
        <v>188</v>
      </c>
      <c r="AH7" s="23">
        <f t="shared" si="1"/>
        <v>963.32</v>
      </c>
      <c r="AI7" s="25"/>
      <c r="AJ7" s="25"/>
      <c r="AK7" s="25"/>
      <c r="AL7" s="23">
        <f t="shared" si="2"/>
        <v>3524.9999999999995</v>
      </c>
      <c r="AM7" s="24">
        <v>7384</v>
      </c>
      <c r="AN7" s="24">
        <v>2690</v>
      </c>
      <c r="AO7" s="24">
        <f t="shared" si="12"/>
        <v>1181.44</v>
      </c>
      <c r="AP7" s="24">
        <f t="shared" si="13"/>
        <v>664.56</v>
      </c>
      <c r="AQ7" s="24">
        <f t="shared" si="3"/>
        <v>36.92</v>
      </c>
      <c r="AR7" s="24">
        <v>14.77</v>
      </c>
      <c r="AS7" s="24"/>
      <c r="AT7" s="24">
        <f t="shared" si="4"/>
        <v>188</v>
      </c>
      <c r="AU7" s="24">
        <f t="shared" si="5"/>
        <v>110.76</v>
      </c>
      <c r="AV7" s="23">
        <f t="shared" si="6"/>
        <v>2196.4500000000003</v>
      </c>
      <c r="AW7" s="23">
        <v>77</v>
      </c>
      <c r="AX7" s="23">
        <f t="shared" si="7"/>
        <v>6761.77</v>
      </c>
      <c r="AY7" s="26"/>
      <c r="AZ7" s="26">
        <v>-4.129999999999999</v>
      </c>
      <c r="BA7" s="65" t="s">
        <v>219</v>
      </c>
      <c r="BB7" s="23">
        <v>255</v>
      </c>
      <c r="BC7" s="27">
        <f t="shared" si="14"/>
        <v>7012.64</v>
      </c>
      <c r="BD7" s="23">
        <f t="shared" si="8"/>
        <v>420.76</v>
      </c>
      <c r="BE7" s="23">
        <f t="shared" si="9"/>
        <v>7433.4</v>
      </c>
      <c r="BF7" s="67">
        <f t="shared" si="15"/>
        <v>72</v>
      </c>
      <c r="BG7" s="29"/>
    </row>
    <row r="8" spans="1:59" s="28" customFormat="1" ht="15" customHeight="1" x14ac:dyDescent="0.25">
      <c r="A8" s="17">
        <f t="shared" si="10"/>
        <v>6</v>
      </c>
      <c r="B8" s="18">
        <v>2502</v>
      </c>
      <c r="C8" s="17" t="s">
        <v>168</v>
      </c>
      <c r="D8" s="17" t="s">
        <v>105</v>
      </c>
      <c r="E8" s="19" t="s">
        <v>106</v>
      </c>
      <c r="F8" s="20">
        <v>45444</v>
      </c>
      <c r="G8" s="20">
        <v>45808</v>
      </c>
      <c r="H8" s="17"/>
      <c r="I8" s="21" t="s">
        <v>0</v>
      </c>
      <c r="J8" s="22">
        <v>900</v>
      </c>
      <c r="K8" s="22">
        <v>6027.8</v>
      </c>
      <c r="L8" s="22">
        <v>3379.4</v>
      </c>
      <c r="M8" s="22"/>
      <c r="N8" s="22"/>
      <c r="O8" s="22"/>
      <c r="P8" s="22">
        <v>200</v>
      </c>
      <c r="Q8" s="22"/>
      <c r="R8" s="22">
        <v>630</v>
      </c>
      <c r="S8" s="34"/>
      <c r="T8" s="22"/>
      <c r="U8" s="34">
        <v>649</v>
      </c>
      <c r="V8" s="34"/>
      <c r="W8" s="22"/>
      <c r="X8" s="22" t="s">
        <v>228</v>
      </c>
      <c r="Y8" s="22"/>
      <c r="Z8" s="22">
        <v>0</v>
      </c>
      <c r="AA8" s="23">
        <f t="shared" si="0"/>
        <v>11786.2</v>
      </c>
      <c r="AB8" s="24">
        <v>7384</v>
      </c>
      <c r="AC8" s="24">
        <v>590.72</v>
      </c>
      <c r="AD8" s="24">
        <v>147.68</v>
      </c>
      <c r="AE8" s="24">
        <v>36.92</v>
      </c>
      <c r="AF8" s="24">
        <v>6878</v>
      </c>
      <c r="AG8" s="24">
        <f t="shared" si="11"/>
        <v>481</v>
      </c>
      <c r="AH8" s="23">
        <f t="shared" si="1"/>
        <v>1256.3200000000002</v>
      </c>
      <c r="AI8" s="25"/>
      <c r="AJ8" s="25"/>
      <c r="AK8" s="25"/>
      <c r="AL8" s="23">
        <f t="shared" si="2"/>
        <v>10529.880000000001</v>
      </c>
      <c r="AM8" s="24">
        <v>7384</v>
      </c>
      <c r="AN8" s="24">
        <v>6878</v>
      </c>
      <c r="AO8" s="24">
        <f t="shared" si="12"/>
        <v>1181.44</v>
      </c>
      <c r="AP8" s="24">
        <f t="shared" si="13"/>
        <v>664.56</v>
      </c>
      <c r="AQ8" s="24">
        <f t="shared" si="3"/>
        <v>36.92</v>
      </c>
      <c r="AR8" s="24">
        <v>14.77</v>
      </c>
      <c r="AS8" s="24"/>
      <c r="AT8" s="24">
        <f t="shared" si="4"/>
        <v>481</v>
      </c>
      <c r="AU8" s="24">
        <f t="shared" si="5"/>
        <v>110.76</v>
      </c>
      <c r="AV8" s="23">
        <f t="shared" si="6"/>
        <v>2489.4500000000003</v>
      </c>
      <c r="AW8" s="23">
        <v>223</v>
      </c>
      <c r="AX8" s="23">
        <f t="shared" si="7"/>
        <v>14498.650000000001</v>
      </c>
      <c r="AY8" s="26"/>
      <c r="AZ8" s="26">
        <v>-4.129999999999999</v>
      </c>
      <c r="BA8" s="65" t="s">
        <v>219</v>
      </c>
      <c r="BB8" s="23">
        <v>255</v>
      </c>
      <c r="BC8" s="27">
        <f t="shared" si="14"/>
        <v>14749.52</v>
      </c>
      <c r="BD8" s="23">
        <f t="shared" si="8"/>
        <v>884.97</v>
      </c>
      <c r="BE8" s="23">
        <f t="shared" si="9"/>
        <v>15634.49</v>
      </c>
      <c r="BF8" s="67">
        <f t="shared" si="15"/>
        <v>218</v>
      </c>
      <c r="BG8" s="29"/>
    </row>
    <row r="9" spans="1:59" s="28" customFormat="1" ht="15" customHeight="1" x14ac:dyDescent="0.25">
      <c r="A9" s="17">
        <f t="shared" si="10"/>
        <v>7</v>
      </c>
      <c r="B9" s="18">
        <v>2502</v>
      </c>
      <c r="C9" s="17" t="s">
        <v>169</v>
      </c>
      <c r="D9" s="17" t="s">
        <v>107</v>
      </c>
      <c r="E9" s="19" t="s">
        <v>108</v>
      </c>
      <c r="F9" s="20">
        <v>45444</v>
      </c>
      <c r="G9" s="20">
        <v>45808</v>
      </c>
      <c r="H9" s="17"/>
      <c r="I9" s="21" t="s">
        <v>0</v>
      </c>
      <c r="J9" s="22">
        <v>1200</v>
      </c>
      <c r="K9" s="22">
        <v>2952.04</v>
      </c>
      <c r="L9" s="22">
        <v>1006.6</v>
      </c>
      <c r="M9" s="22"/>
      <c r="N9" s="22"/>
      <c r="O9" s="22"/>
      <c r="P9" s="22">
        <v>200</v>
      </c>
      <c r="Q9" s="22"/>
      <c r="R9" s="22">
        <v>630</v>
      </c>
      <c r="S9" s="34"/>
      <c r="T9" s="22"/>
      <c r="U9" s="34">
        <v>371</v>
      </c>
      <c r="V9" s="34"/>
      <c r="W9" s="22"/>
      <c r="X9" s="22" t="s">
        <v>228</v>
      </c>
      <c r="Y9" s="22"/>
      <c r="Z9" s="22">
        <v>0</v>
      </c>
      <c r="AA9" s="23">
        <f t="shared" si="0"/>
        <v>6359.64</v>
      </c>
      <c r="AB9" s="24">
        <v>8131</v>
      </c>
      <c r="AC9" s="24">
        <v>650.48</v>
      </c>
      <c r="AD9" s="24">
        <v>162.62</v>
      </c>
      <c r="AE9" s="24">
        <v>40.659999999999997</v>
      </c>
      <c r="AF9" s="24">
        <v>8131</v>
      </c>
      <c r="AG9" s="24">
        <f t="shared" si="11"/>
        <v>569</v>
      </c>
      <c r="AH9" s="23">
        <f t="shared" si="1"/>
        <v>1422.76</v>
      </c>
      <c r="AI9" s="25"/>
      <c r="AJ9" s="25"/>
      <c r="AK9" s="25"/>
      <c r="AL9" s="23">
        <f t="shared" si="2"/>
        <v>4936.88</v>
      </c>
      <c r="AM9" s="24">
        <v>8131</v>
      </c>
      <c r="AN9" s="24">
        <v>8131</v>
      </c>
      <c r="AO9" s="24">
        <f t="shared" si="12"/>
        <v>1300.96</v>
      </c>
      <c r="AP9" s="24">
        <v>731.8</v>
      </c>
      <c r="AQ9" s="24">
        <f t="shared" si="3"/>
        <v>40.659999999999997</v>
      </c>
      <c r="AR9" s="24">
        <v>16.260000000000002</v>
      </c>
      <c r="AS9" s="24"/>
      <c r="AT9" s="24">
        <f t="shared" si="4"/>
        <v>569</v>
      </c>
      <c r="AU9" s="24">
        <f t="shared" si="5"/>
        <v>121.97</v>
      </c>
      <c r="AV9" s="23">
        <f t="shared" si="6"/>
        <v>2780.65</v>
      </c>
      <c r="AW9" s="23">
        <v>115</v>
      </c>
      <c r="AX9" s="23">
        <f t="shared" si="7"/>
        <v>9255.2900000000009</v>
      </c>
      <c r="AY9" s="26"/>
      <c r="AZ9" s="26">
        <v>-4.5599999999999987</v>
      </c>
      <c r="BA9" s="65" t="s">
        <v>219</v>
      </c>
      <c r="BB9" s="23">
        <v>255</v>
      </c>
      <c r="BC9" s="27">
        <f t="shared" si="14"/>
        <v>9505.73</v>
      </c>
      <c r="BD9" s="23">
        <f t="shared" si="8"/>
        <v>570.34</v>
      </c>
      <c r="BE9" s="23">
        <f t="shared" si="9"/>
        <v>10076.07</v>
      </c>
      <c r="BF9" s="67">
        <f t="shared" si="15"/>
        <v>110</v>
      </c>
      <c r="BG9" s="29"/>
    </row>
    <row r="10" spans="1:59" s="28" customFormat="1" ht="15" customHeight="1" x14ac:dyDescent="0.25">
      <c r="A10" s="17">
        <f t="shared" si="10"/>
        <v>8</v>
      </c>
      <c r="B10" s="18">
        <v>2502</v>
      </c>
      <c r="C10" s="17" t="s">
        <v>170</v>
      </c>
      <c r="D10" s="17" t="s">
        <v>109</v>
      </c>
      <c r="E10" s="19" t="s">
        <v>110</v>
      </c>
      <c r="F10" s="20">
        <v>45444</v>
      </c>
      <c r="G10" s="20">
        <v>45808</v>
      </c>
      <c r="H10" s="17"/>
      <c r="I10" s="21" t="s">
        <v>0</v>
      </c>
      <c r="J10" s="22">
        <v>1300</v>
      </c>
      <c r="K10" s="22">
        <v>5296</v>
      </c>
      <c r="L10" s="22">
        <v>3349.7</v>
      </c>
      <c r="M10" s="22"/>
      <c r="N10" s="22"/>
      <c r="O10" s="22"/>
      <c r="P10" s="22">
        <v>200</v>
      </c>
      <c r="Q10" s="22"/>
      <c r="R10" s="22">
        <v>630</v>
      </c>
      <c r="S10" s="34"/>
      <c r="T10" s="22"/>
      <c r="U10" s="34">
        <v>649</v>
      </c>
      <c r="V10" s="34"/>
      <c r="W10" s="22"/>
      <c r="X10" s="22" t="s">
        <v>228</v>
      </c>
      <c r="Y10" s="22"/>
      <c r="Z10" s="22">
        <v>0</v>
      </c>
      <c r="AA10" s="23">
        <f t="shared" si="0"/>
        <v>11424.7</v>
      </c>
      <c r="AB10" s="24">
        <v>12760</v>
      </c>
      <c r="AC10" s="24">
        <v>1020.8</v>
      </c>
      <c r="AD10" s="24">
        <v>255.2</v>
      </c>
      <c r="AE10" s="24">
        <v>63.8</v>
      </c>
      <c r="AF10" s="24">
        <v>12760</v>
      </c>
      <c r="AG10" s="24">
        <f t="shared" si="11"/>
        <v>893</v>
      </c>
      <c r="AH10" s="23">
        <f t="shared" si="1"/>
        <v>2232.8000000000002</v>
      </c>
      <c r="AI10" s="25"/>
      <c r="AJ10" s="25"/>
      <c r="AK10" s="25"/>
      <c r="AL10" s="23">
        <f t="shared" si="2"/>
        <v>9191.9000000000015</v>
      </c>
      <c r="AM10" s="24">
        <v>12760</v>
      </c>
      <c r="AN10" s="24">
        <v>12760</v>
      </c>
      <c r="AO10" s="24">
        <f t="shared" si="12"/>
        <v>2041.6</v>
      </c>
      <c r="AP10" s="24">
        <f t="shared" si="13"/>
        <v>1148.4000000000001</v>
      </c>
      <c r="AQ10" s="24">
        <f t="shared" si="3"/>
        <v>63.8</v>
      </c>
      <c r="AR10" s="24">
        <v>25.52</v>
      </c>
      <c r="AS10" s="24"/>
      <c r="AT10" s="24">
        <f t="shared" si="4"/>
        <v>893</v>
      </c>
      <c r="AU10" s="24">
        <f t="shared" si="5"/>
        <v>191.4</v>
      </c>
      <c r="AV10" s="23">
        <f t="shared" si="6"/>
        <v>4363.7199999999993</v>
      </c>
      <c r="AW10" s="23">
        <v>216</v>
      </c>
      <c r="AX10" s="23">
        <f t="shared" si="7"/>
        <v>16004.42</v>
      </c>
      <c r="AY10" s="26"/>
      <c r="AZ10" s="26">
        <v>-7.1500000000000021</v>
      </c>
      <c r="BA10" s="65" t="s">
        <v>219</v>
      </c>
      <c r="BB10" s="23">
        <v>255</v>
      </c>
      <c r="BC10" s="27">
        <f t="shared" si="14"/>
        <v>16252.27</v>
      </c>
      <c r="BD10" s="23">
        <f t="shared" si="8"/>
        <v>975.14</v>
      </c>
      <c r="BE10" s="23">
        <f t="shared" si="9"/>
        <v>17227.41</v>
      </c>
      <c r="BF10" s="67">
        <f t="shared" si="15"/>
        <v>211</v>
      </c>
      <c r="BG10" s="29"/>
    </row>
    <row r="11" spans="1:59" s="28" customFormat="1" ht="15" customHeight="1" x14ac:dyDescent="0.25">
      <c r="A11" s="17">
        <f t="shared" si="10"/>
        <v>9</v>
      </c>
      <c r="B11" s="18">
        <v>2502</v>
      </c>
      <c r="C11" s="17" t="s">
        <v>171</v>
      </c>
      <c r="D11" s="17" t="s">
        <v>111</v>
      </c>
      <c r="E11" s="19" t="s">
        <v>112</v>
      </c>
      <c r="F11" s="20">
        <v>45444</v>
      </c>
      <c r="G11" s="20">
        <v>45808</v>
      </c>
      <c r="H11" s="17"/>
      <c r="I11" s="21" t="s">
        <v>0</v>
      </c>
      <c r="J11" s="22">
        <v>1030</v>
      </c>
      <c r="K11" s="22">
        <v>1094.5999999999999</v>
      </c>
      <c r="L11" s="22">
        <v>547.4</v>
      </c>
      <c r="M11" s="22"/>
      <c r="N11" s="22"/>
      <c r="O11" s="22"/>
      <c r="P11" s="22">
        <v>200</v>
      </c>
      <c r="Q11" s="22"/>
      <c r="R11" s="22">
        <v>630</v>
      </c>
      <c r="S11" s="34"/>
      <c r="T11" s="22"/>
      <c r="U11" s="34">
        <v>0</v>
      </c>
      <c r="V11" s="34"/>
      <c r="W11" s="22"/>
      <c r="X11" s="22">
        <v>1125.3200000000002</v>
      </c>
      <c r="Y11" s="22"/>
      <c r="Z11" s="22">
        <v>0</v>
      </c>
      <c r="AA11" s="23">
        <f t="shared" si="0"/>
        <v>4627.32</v>
      </c>
      <c r="AB11" s="24">
        <v>7384</v>
      </c>
      <c r="AC11" s="24">
        <v>590.72</v>
      </c>
      <c r="AD11" s="24">
        <v>147.68</v>
      </c>
      <c r="AE11" s="24">
        <v>36.92</v>
      </c>
      <c r="AF11" s="24">
        <v>4668</v>
      </c>
      <c r="AG11" s="24">
        <f t="shared" si="11"/>
        <v>327</v>
      </c>
      <c r="AH11" s="23">
        <f t="shared" si="1"/>
        <v>1102.3200000000002</v>
      </c>
      <c r="AI11" s="25"/>
      <c r="AJ11" s="25"/>
      <c r="AK11" s="25"/>
      <c r="AL11" s="23">
        <f t="shared" si="2"/>
        <v>3524.9999999999995</v>
      </c>
      <c r="AM11" s="24">
        <v>7384</v>
      </c>
      <c r="AN11" s="24">
        <v>4668</v>
      </c>
      <c r="AO11" s="24">
        <f t="shared" si="12"/>
        <v>1181.44</v>
      </c>
      <c r="AP11" s="24">
        <f t="shared" si="13"/>
        <v>664.56</v>
      </c>
      <c r="AQ11" s="24">
        <f t="shared" si="3"/>
        <v>36.92</v>
      </c>
      <c r="AR11" s="24">
        <v>14.77</v>
      </c>
      <c r="AS11" s="24"/>
      <c r="AT11" s="24">
        <f t="shared" si="4"/>
        <v>327</v>
      </c>
      <c r="AU11" s="24">
        <f t="shared" si="5"/>
        <v>110.76</v>
      </c>
      <c r="AV11" s="23">
        <f t="shared" si="6"/>
        <v>2335.4500000000003</v>
      </c>
      <c r="AW11" s="23">
        <v>80</v>
      </c>
      <c r="AX11" s="23">
        <f t="shared" si="7"/>
        <v>7042.77</v>
      </c>
      <c r="AY11" s="26"/>
      <c r="AZ11" s="26">
        <v>-4.129999999999999</v>
      </c>
      <c r="BA11" s="65" t="s">
        <v>219</v>
      </c>
      <c r="BB11" s="23">
        <v>255</v>
      </c>
      <c r="BC11" s="27">
        <f t="shared" si="14"/>
        <v>7293.64</v>
      </c>
      <c r="BD11" s="23">
        <f t="shared" si="8"/>
        <v>437.62</v>
      </c>
      <c r="BE11" s="23">
        <f t="shared" si="9"/>
        <v>7731.26</v>
      </c>
      <c r="BF11" s="67">
        <f t="shared" si="15"/>
        <v>75</v>
      </c>
      <c r="BG11" s="29"/>
    </row>
    <row r="12" spans="1:59" s="28" customFormat="1" ht="15" customHeight="1" x14ac:dyDescent="0.25">
      <c r="A12" s="17">
        <f t="shared" si="10"/>
        <v>10</v>
      </c>
      <c r="B12" s="18">
        <v>2502</v>
      </c>
      <c r="C12" s="17" t="s">
        <v>227</v>
      </c>
      <c r="D12" s="46" t="s">
        <v>224</v>
      </c>
      <c r="E12" s="19" t="s">
        <v>225</v>
      </c>
      <c r="F12" s="20">
        <v>45689</v>
      </c>
      <c r="G12" s="20">
        <v>46053</v>
      </c>
      <c r="H12" s="20"/>
      <c r="I12" s="21" t="s">
        <v>0</v>
      </c>
      <c r="J12" s="22">
        <v>950</v>
      </c>
      <c r="K12" s="22">
        <v>1880</v>
      </c>
      <c r="L12" s="22">
        <v>530</v>
      </c>
      <c r="M12" s="22"/>
      <c r="N12" s="22"/>
      <c r="O12" s="22"/>
      <c r="P12" s="22">
        <v>200</v>
      </c>
      <c r="Q12" s="22"/>
      <c r="R12" s="22">
        <v>630</v>
      </c>
      <c r="S12" s="34"/>
      <c r="T12" s="22"/>
      <c r="U12" s="34">
        <v>0</v>
      </c>
      <c r="V12" s="34"/>
      <c r="W12" s="22"/>
      <c r="X12" s="22">
        <v>495.32000000000016</v>
      </c>
      <c r="Y12" s="22"/>
      <c r="Z12" s="22">
        <v>0</v>
      </c>
      <c r="AA12" s="23">
        <f t="shared" si="0"/>
        <v>4685.32</v>
      </c>
      <c r="AB12" s="24">
        <v>7384</v>
      </c>
      <c r="AC12" s="24">
        <v>590.72</v>
      </c>
      <c r="AD12" s="24">
        <v>147.68</v>
      </c>
      <c r="AE12" s="24">
        <v>36.92</v>
      </c>
      <c r="AF12" s="24">
        <v>5493</v>
      </c>
      <c r="AG12" s="24">
        <v>385</v>
      </c>
      <c r="AH12" s="23">
        <f t="shared" si="1"/>
        <v>1160.3200000000002</v>
      </c>
      <c r="AI12" s="25"/>
      <c r="AJ12" s="25"/>
      <c r="AK12" s="25"/>
      <c r="AL12" s="23">
        <f t="shared" si="2"/>
        <v>3524.9999999999995</v>
      </c>
      <c r="AM12" s="24">
        <v>7384</v>
      </c>
      <c r="AN12" s="24">
        <v>5493</v>
      </c>
      <c r="AO12" s="24">
        <v>1181.44</v>
      </c>
      <c r="AP12" s="24">
        <v>664.56</v>
      </c>
      <c r="AQ12" s="24">
        <v>36.92</v>
      </c>
      <c r="AR12" s="24">
        <v>14.77</v>
      </c>
      <c r="AS12" s="24"/>
      <c r="AT12" s="24">
        <v>385</v>
      </c>
      <c r="AU12" s="24">
        <v>110.76</v>
      </c>
      <c r="AV12" s="23">
        <f t="shared" si="6"/>
        <v>2393.4500000000003</v>
      </c>
      <c r="AW12" s="23">
        <v>81</v>
      </c>
      <c r="AX12" s="23">
        <f t="shared" si="7"/>
        <v>7159.77</v>
      </c>
      <c r="AY12" s="26"/>
      <c r="AZ12" s="26"/>
      <c r="BA12" s="65"/>
      <c r="BB12" s="23">
        <v>255</v>
      </c>
      <c r="BC12" s="27">
        <f t="shared" si="14"/>
        <v>7414.77</v>
      </c>
      <c r="BD12" s="23">
        <f t="shared" si="8"/>
        <v>444.89</v>
      </c>
      <c r="BE12" s="23">
        <f t="shared" si="9"/>
        <v>7859.66</v>
      </c>
      <c r="BF12" s="67">
        <f t="shared" si="15"/>
        <v>76</v>
      </c>
      <c r="BG12" s="29"/>
    </row>
    <row r="13" spans="1:59" s="28" customFormat="1" ht="15" customHeight="1" x14ac:dyDescent="0.25">
      <c r="A13" s="17">
        <f t="shared" si="10"/>
        <v>11</v>
      </c>
      <c r="B13" s="18">
        <v>2502</v>
      </c>
      <c r="C13" s="17" t="s">
        <v>173</v>
      </c>
      <c r="D13" s="17" t="s">
        <v>114</v>
      </c>
      <c r="E13" s="19" t="s">
        <v>115</v>
      </c>
      <c r="F13" s="20">
        <v>45444</v>
      </c>
      <c r="G13" s="20">
        <v>45808</v>
      </c>
      <c r="H13" s="17"/>
      <c r="I13" s="21" t="s">
        <v>0</v>
      </c>
      <c r="J13" s="22">
        <v>1030</v>
      </c>
      <c r="K13" s="22">
        <v>2993.8</v>
      </c>
      <c r="L13" s="22">
        <v>980.2</v>
      </c>
      <c r="M13" s="22"/>
      <c r="N13" s="22"/>
      <c r="O13" s="22"/>
      <c r="P13" s="22">
        <v>200</v>
      </c>
      <c r="Q13" s="22"/>
      <c r="R13" s="22">
        <v>630</v>
      </c>
      <c r="S13" s="34"/>
      <c r="T13" s="22"/>
      <c r="U13" s="34">
        <v>0</v>
      </c>
      <c r="V13" s="34"/>
      <c r="W13" s="22"/>
      <c r="X13" s="22" t="s">
        <v>228</v>
      </c>
      <c r="Y13" s="22"/>
      <c r="Z13" s="22">
        <v>0</v>
      </c>
      <c r="AA13" s="23">
        <f t="shared" si="0"/>
        <v>5834</v>
      </c>
      <c r="AB13" s="24">
        <v>7384</v>
      </c>
      <c r="AC13" s="24">
        <v>590.72</v>
      </c>
      <c r="AD13" s="24">
        <v>147.68</v>
      </c>
      <c r="AE13" s="24">
        <v>36.92</v>
      </c>
      <c r="AF13" s="24">
        <v>6644</v>
      </c>
      <c r="AG13" s="24">
        <f t="shared" si="11"/>
        <v>465</v>
      </c>
      <c r="AH13" s="23">
        <f t="shared" si="1"/>
        <v>1240.3200000000002</v>
      </c>
      <c r="AI13" s="25"/>
      <c r="AJ13" s="25"/>
      <c r="AK13" s="25"/>
      <c r="AL13" s="23">
        <f t="shared" si="2"/>
        <v>4593.68</v>
      </c>
      <c r="AM13" s="24">
        <v>7384</v>
      </c>
      <c r="AN13" s="24">
        <v>6644</v>
      </c>
      <c r="AO13" s="24">
        <f t="shared" si="12"/>
        <v>1181.44</v>
      </c>
      <c r="AP13" s="24">
        <f t="shared" si="13"/>
        <v>664.56</v>
      </c>
      <c r="AQ13" s="24">
        <f t="shared" si="3"/>
        <v>36.92</v>
      </c>
      <c r="AR13" s="24">
        <v>14.77</v>
      </c>
      <c r="AS13" s="24"/>
      <c r="AT13" s="24">
        <f t="shared" si="4"/>
        <v>465</v>
      </c>
      <c r="AU13" s="24">
        <f t="shared" si="5"/>
        <v>110.76</v>
      </c>
      <c r="AV13" s="23">
        <f t="shared" si="6"/>
        <v>2473.4500000000003</v>
      </c>
      <c r="AW13" s="23">
        <v>104</v>
      </c>
      <c r="AX13" s="23">
        <f t="shared" si="7"/>
        <v>8411.4500000000007</v>
      </c>
      <c r="AY13" s="26"/>
      <c r="AZ13" s="26">
        <v>-4.129999999999999</v>
      </c>
      <c r="BA13" s="65" t="s">
        <v>219</v>
      </c>
      <c r="BB13" s="23">
        <v>255</v>
      </c>
      <c r="BC13" s="27">
        <f t="shared" si="14"/>
        <v>8662.32</v>
      </c>
      <c r="BD13" s="23">
        <f t="shared" si="8"/>
        <v>519.74</v>
      </c>
      <c r="BE13" s="23">
        <f t="shared" si="9"/>
        <v>9182.06</v>
      </c>
      <c r="BF13" s="67">
        <f t="shared" si="15"/>
        <v>99</v>
      </c>
      <c r="BG13" s="29"/>
    </row>
    <row r="14" spans="1:59" s="28" customFormat="1" ht="15" customHeight="1" x14ac:dyDescent="0.25">
      <c r="A14" s="17">
        <f t="shared" si="10"/>
        <v>12</v>
      </c>
      <c r="B14" s="18">
        <v>2502</v>
      </c>
      <c r="C14" s="17" t="s">
        <v>174</v>
      </c>
      <c r="D14" s="17" t="s">
        <v>116</v>
      </c>
      <c r="E14" s="19" t="s">
        <v>117</v>
      </c>
      <c r="F14" s="20">
        <v>45444</v>
      </c>
      <c r="G14" s="20">
        <v>45808</v>
      </c>
      <c r="H14" s="17"/>
      <c r="I14" s="21" t="s">
        <v>0</v>
      </c>
      <c r="J14" s="22">
        <v>950</v>
      </c>
      <c r="K14" s="22">
        <v>4296.6000000000004</v>
      </c>
      <c r="L14" s="22">
        <v>903.4</v>
      </c>
      <c r="M14" s="22"/>
      <c r="N14" s="22"/>
      <c r="O14" s="22"/>
      <c r="P14" s="22">
        <v>250</v>
      </c>
      <c r="Q14" s="22"/>
      <c r="R14" s="22">
        <v>630</v>
      </c>
      <c r="S14" s="34"/>
      <c r="T14" s="22"/>
      <c r="U14" s="34">
        <v>0</v>
      </c>
      <c r="V14" s="34"/>
      <c r="W14" s="22"/>
      <c r="X14" s="22" t="s">
        <v>228</v>
      </c>
      <c r="Y14" s="22"/>
      <c r="Z14" s="22">
        <v>0</v>
      </c>
      <c r="AA14" s="23">
        <f t="shared" si="0"/>
        <v>7030</v>
      </c>
      <c r="AB14" s="24">
        <v>7384</v>
      </c>
      <c r="AC14" s="24">
        <v>590.72</v>
      </c>
      <c r="AD14" s="24">
        <v>147.68</v>
      </c>
      <c r="AE14" s="24">
        <v>36.92</v>
      </c>
      <c r="AF14" s="24">
        <v>5300</v>
      </c>
      <c r="AG14" s="24">
        <f t="shared" si="11"/>
        <v>371</v>
      </c>
      <c r="AH14" s="23">
        <f t="shared" si="1"/>
        <v>1146.3200000000002</v>
      </c>
      <c r="AI14" s="25"/>
      <c r="AJ14" s="25"/>
      <c r="AK14" s="25"/>
      <c r="AL14" s="23">
        <f t="shared" si="2"/>
        <v>5883.68</v>
      </c>
      <c r="AM14" s="24">
        <v>7384</v>
      </c>
      <c r="AN14" s="24">
        <v>5300</v>
      </c>
      <c r="AO14" s="24">
        <f t="shared" si="12"/>
        <v>1181.44</v>
      </c>
      <c r="AP14" s="24">
        <f t="shared" si="13"/>
        <v>664.56</v>
      </c>
      <c r="AQ14" s="24">
        <f t="shared" si="3"/>
        <v>36.92</v>
      </c>
      <c r="AR14" s="24">
        <v>14.77</v>
      </c>
      <c r="AS14" s="24"/>
      <c r="AT14" s="24">
        <f t="shared" si="4"/>
        <v>371</v>
      </c>
      <c r="AU14" s="24">
        <f t="shared" si="5"/>
        <v>110.76</v>
      </c>
      <c r="AV14" s="23">
        <f t="shared" si="6"/>
        <v>2379.4500000000003</v>
      </c>
      <c r="AW14" s="23">
        <v>128</v>
      </c>
      <c r="AX14" s="23">
        <f t="shared" si="7"/>
        <v>9537.4500000000007</v>
      </c>
      <c r="AY14" s="26"/>
      <c r="AZ14" s="26">
        <v>-4.129999999999999</v>
      </c>
      <c r="BA14" s="65" t="s">
        <v>219</v>
      </c>
      <c r="BB14" s="23">
        <v>255</v>
      </c>
      <c r="BC14" s="27">
        <f t="shared" si="14"/>
        <v>9788.32</v>
      </c>
      <c r="BD14" s="23">
        <f t="shared" si="8"/>
        <v>587.29999999999995</v>
      </c>
      <c r="BE14" s="23">
        <f t="shared" si="9"/>
        <v>10375.620000000001</v>
      </c>
      <c r="BF14" s="67">
        <f t="shared" si="15"/>
        <v>123</v>
      </c>
      <c r="BG14" s="29"/>
    </row>
    <row r="15" spans="1:59" s="28" customFormat="1" ht="15" customHeight="1" x14ac:dyDescent="0.25">
      <c r="A15" s="17">
        <f t="shared" si="10"/>
        <v>13</v>
      </c>
      <c r="B15" s="18">
        <v>2502</v>
      </c>
      <c r="C15" s="17" t="s">
        <v>175</v>
      </c>
      <c r="D15" s="17" t="s">
        <v>118</v>
      </c>
      <c r="E15" s="19" t="s">
        <v>119</v>
      </c>
      <c r="F15" s="20">
        <v>45444</v>
      </c>
      <c r="G15" s="20">
        <v>45808</v>
      </c>
      <c r="H15" s="17"/>
      <c r="I15" s="21" t="s">
        <v>0</v>
      </c>
      <c r="J15" s="22">
        <v>1200</v>
      </c>
      <c r="K15" s="22">
        <v>1718.2</v>
      </c>
      <c r="L15" s="22">
        <v>685</v>
      </c>
      <c r="M15" s="22"/>
      <c r="N15" s="22"/>
      <c r="O15" s="22"/>
      <c r="P15" s="22">
        <v>200</v>
      </c>
      <c r="Q15" s="22"/>
      <c r="R15" s="22">
        <v>630</v>
      </c>
      <c r="S15" s="34"/>
      <c r="T15" s="22"/>
      <c r="U15" s="34">
        <v>0</v>
      </c>
      <c r="V15" s="34"/>
      <c r="W15" s="22"/>
      <c r="X15" s="22">
        <v>242.12000000000035</v>
      </c>
      <c r="Y15" s="22"/>
      <c r="Z15" s="22">
        <v>0</v>
      </c>
      <c r="AA15" s="23">
        <f t="shared" si="0"/>
        <v>4675.32</v>
      </c>
      <c r="AB15" s="24">
        <v>7384</v>
      </c>
      <c r="AC15" s="24">
        <v>590.72</v>
      </c>
      <c r="AD15" s="24">
        <v>147.68</v>
      </c>
      <c r="AE15" s="24">
        <v>36.92</v>
      </c>
      <c r="AF15" s="24">
        <v>5351</v>
      </c>
      <c r="AG15" s="24">
        <f t="shared" si="11"/>
        <v>375</v>
      </c>
      <c r="AH15" s="23">
        <f t="shared" si="1"/>
        <v>1150.3200000000002</v>
      </c>
      <c r="AI15" s="25"/>
      <c r="AJ15" s="25"/>
      <c r="AK15" s="25"/>
      <c r="AL15" s="23">
        <f t="shared" si="2"/>
        <v>3524.9999999999995</v>
      </c>
      <c r="AM15" s="24">
        <v>7384</v>
      </c>
      <c r="AN15" s="24">
        <v>5351</v>
      </c>
      <c r="AO15" s="24">
        <f t="shared" si="12"/>
        <v>1181.44</v>
      </c>
      <c r="AP15" s="24">
        <f t="shared" si="13"/>
        <v>664.56</v>
      </c>
      <c r="AQ15" s="24">
        <f t="shared" si="3"/>
        <v>36.92</v>
      </c>
      <c r="AR15" s="24">
        <v>14.77</v>
      </c>
      <c r="AS15" s="24"/>
      <c r="AT15" s="24">
        <f t="shared" si="4"/>
        <v>375</v>
      </c>
      <c r="AU15" s="24">
        <f t="shared" si="5"/>
        <v>110.76</v>
      </c>
      <c r="AV15" s="23">
        <f t="shared" si="6"/>
        <v>2383.4500000000003</v>
      </c>
      <c r="AW15" s="23">
        <v>81</v>
      </c>
      <c r="AX15" s="23">
        <f t="shared" si="7"/>
        <v>7139.77</v>
      </c>
      <c r="AY15" s="26"/>
      <c r="AZ15" s="26">
        <v>-4.129999999999999</v>
      </c>
      <c r="BA15" s="65" t="s">
        <v>219</v>
      </c>
      <c r="BB15" s="23">
        <v>255</v>
      </c>
      <c r="BC15" s="27">
        <f t="shared" si="14"/>
        <v>7390.64</v>
      </c>
      <c r="BD15" s="23">
        <f t="shared" si="8"/>
        <v>443.44</v>
      </c>
      <c r="BE15" s="23">
        <f t="shared" si="9"/>
        <v>7834.08</v>
      </c>
      <c r="BF15" s="67">
        <f t="shared" si="15"/>
        <v>76</v>
      </c>
      <c r="BG15" s="29"/>
    </row>
    <row r="16" spans="1:59" s="28" customFormat="1" ht="15" customHeight="1" x14ac:dyDescent="0.25">
      <c r="A16" s="17">
        <f t="shared" si="10"/>
        <v>14</v>
      </c>
      <c r="B16" s="18">
        <v>2502</v>
      </c>
      <c r="C16" s="17" t="s">
        <v>176</v>
      </c>
      <c r="D16" s="17" t="s">
        <v>120</v>
      </c>
      <c r="E16" s="19" t="s">
        <v>121</v>
      </c>
      <c r="F16" s="20">
        <v>45444</v>
      </c>
      <c r="G16" s="20">
        <v>45808</v>
      </c>
      <c r="H16" s="17"/>
      <c r="I16" s="21" t="s">
        <v>0</v>
      </c>
      <c r="J16" s="22">
        <v>1030</v>
      </c>
      <c r="K16" s="22">
        <v>3909</v>
      </c>
      <c r="L16" s="22">
        <v>1175.8</v>
      </c>
      <c r="M16" s="22"/>
      <c r="N16" s="22"/>
      <c r="O16" s="22"/>
      <c r="P16" s="22">
        <v>200</v>
      </c>
      <c r="Q16" s="22"/>
      <c r="R16" s="22">
        <v>630</v>
      </c>
      <c r="S16" s="34"/>
      <c r="T16" s="22"/>
      <c r="U16" s="34">
        <v>0</v>
      </c>
      <c r="V16" s="34"/>
      <c r="W16" s="22"/>
      <c r="X16" s="22" t="s">
        <v>228</v>
      </c>
      <c r="Y16" s="22"/>
      <c r="Z16" s="22">
        <v>0</v>
      </c>
      <c r="AA16" s="23">
        <f t="shared" si="0"/>
        <v>6944.8</v>
      </c>
      <c r="AB16" s="24">
        <v>12769</v>
      </c>
      <c r="AC16" s="24">
        <v>1021.52</v>
      </c>
      <c r="AD16" s="24">
        <v>255.38</v>
      </c>
      <c r="AE16" s="24">
        <v>63.85</v>
      </c>
      <c r="AF16" s="24">
        <v>12769</v>
      </c>
      <c r="AG16" s="24">
        <f t="shared" si="11"/>
        <v>894</v>
      </c>
      <c r="AH16" s="23">
        <f t="shared" si="1"/>
        <v>2234.75</v>
      </c>
      <c r="AI16" s="25"/>
      <c r="AJ16" s="25"/>
      <c r="AK16" s="25"/>
      <c r="AL16" s="23">
        <f t="shared" si="2"/>
        <v>4710.05</v>
      </c>
      <c r="AM16" s="24">
        <v>12769</v>
      </c>
      <c r="AN16" s="24">
        <v>12769</v>
      </c>
      <c r="AO16" s="24">
        <f t="shared" si="12"/>
        <v>2043.04</v>
      </c>
      <c r="AP16" s="24">
        <v>1149.22</v>
      </c>
      <c r="AQ16" s="24">
        <f t="shared" si="3"/>
        <v>63.85</v>
      </c>
      <c r="AR16" s="24">
        <v>25.54</v>
      </c>
      <c r="AS16" s="24"/>
      <c r="AT16" s="24">
        <f t="shared" si="4"/>
        <v>894</v>
      </c>
      <c r="AU16" s="24">
        <f t="shared" si="5"/>
        <v>191.54</v>
      </c>
      <c r="AV16" s="23">
        <f t="shared" si="6"/>
        <v>4367.1899999999996</v>
      </c>
      <c r="AW16" s="23">
        <v>126</v>
      </c>
      <c r="AX16" s="23">
        <f t="shared" si="7"/>
        <v>11437.99</v>
      </c>
      <c r="AY16" s="26"/>
      <c r="AZ16" s="26">
        <v>-7.1499999999999986</v>
      </c>
      <c r="BA16" s="65" t="s">
        <v>219</v>
      </c>
      <c r="BB16" s="23">
        <v>255</v>
      </c>
      <c r="BC16" s="27">
        <f t="shared" si="14"/>
        <v>11685.84</v>
      </c>
      <c r="BD16" s="23">
        <f t="shared" si="8"/>
        <v>701.15</v>
      </c>
      <c r="BE16" s="23">
        <f t="shared" si="9"/>
        <v>12386.99</v>
      </c>
      <c r="BF16" s="67">
        <f t="shared" si="15"/>
        <v>121</v>
      </c>
      <c r="BG16" s="29"/>
    </row>
    <row r="17" spans="1:59" s="28" customFormat="1" ht="15" customHeight="1" x14ac:dyDescent="0.25">
      <c r="A17" s="17">
        <f t="shared" si="10"/>
        <v>15</v>
      </c>
      <c r="B17" s="18">
        <v>2502</v>
      </c>
      <c r="C17" s="17" t="s">
        <v>177</v>
      </c>
      <c r="D17" s="17" t="s">
        <v>122</v>
      </c>
      <c r="E17" s="19" t="s">
        <v>123</v>
      </c>
      <c r="F17" s="20">
        <v>45444</v>
      </c>
      <c r="G17" s="20">
        <v>45808</v>
      </c>
      <c r="H17" s="17"/>
      <c r="I17" s="21" t="s">
        <v>0</v>
      </c>
      <c r="J17" s="22">
        <v>1030</v>
      </c>
      <c r="K17" s="22">
        <v>2349.0500000000002</v>
      </c>
      <c r="L17" s="22">
        <v>1180.8399999999999</v>
      </c>
      <c r="M17" s="22"/>
      <c r="N17" s="22"/>
      <c r="O17" s="22"/>
      <c r="P17" s="22">
        <v>200</v>
      </c>
      <c r="Q17" s="22"/>
      <c r="R17" s="22">
        <v>630</v>
      </c>
      <c r="S17" s="34"/>
      <c r="T17" s="22"/>
      <c r="U17" s="34">
        <v>0</v>
      </c>
      <c r="V17" s="34"/>
      <c r="W17" s="22"/>
      <c r="X17" s="22" t="s">
        <v>228</v>
      </c>
      <c r="Y17" s="22"/>
      <c r="Z17" s="22">
        <v>0</v>
      </c>
      <c r="AA17" s="23">
        <f t="shared" si="0"/>
        <v>5389.89</v>
      </c>
      <c r="AB17" s="24">
        <v>7556</v>
      </c>
      <c r="AC17" s="24">
        <v>604.48</v>
      </c>
      <c r="AD17" s="24">
        <v>151.12</v>
      </c>
      <c r="AE17" s="24">
        <v>37.78</v>
      </c>
      <c r="AF17" s="24">
        <v>7556</v>
      </c>
      <c r="AG17" s="24">
        <f t="shared" si="11"/>
        <v>529</v>
      </c>
      <c r="AH17" s="23">
        <f t="shared" si="1"/>
        <v>1322.38</v>
      </c>
      <c r="AI17" s="25"/>
      <c r="AJ17" s="25"/>
      <c r="AK17" s="25"/>
      <c r="AL17" s="23">
        <f t="shared" si="2"/>
        <v>4067.51</v>
      </c>
      <c r="AM17" s="24">
        <v>7556</v>
      </c>
      <c r="AN17" s="24">
        <v>7556</v>
      </c>
      <c r="AO17" s="24">
        <f t="shared" si="12"/>
        <v>1208.96</v>
      </c>
      <c r="AP17" s="24">
        <f t="shared" si="13"/>
        <v>680.04</v>
      </c>
      <c r="AQ17" s="24">
        <f t="shared" si="3"/>
        <v>37.78</v>
      </c>
      <c r="AR17" s="24">
        <v>15.11</v>
      </c>
      <c r="AS17" s="24"/>
      <c r="AT17" s="24">
        <f t="shared" si="4"/>
        <v>529</v>
      </c>
      <c r="AU17" s="24">
        <f t="shared" si="5"/>
        <v>113.34</v>
      </c>
      <c r="AV17" s="23">
        <f t="shared" si="6"/>
        <v>2584.23</v>
      </c>
      <c r="AW17" s="23">
        <v>95</v>
      </c>
      <c r="AX17" s="23">
        <f t="shared" si="7"/>
        <v>8069.1200000000008</v>
      </c>
      <c r="AY17" s="26"/>
      <c r="AZ17" s="26">
        <v>-4.2300000000000004</v>
      </c>
      <c r="BA17" s="65" t="s">
        <v>222</v>
      </c>
      <c r="BB17" s="23">
        <v>255</v>
      </c>
      <c r="BC17" s="27">
        <f t="shared" si="14"/>
        <v>8319.89</v>
      </c>
      <c r="BD17" s="23">
        <f t="shared" si="8"/>
        <v>499.19</v>
      </c>
      <c r="BE17" s="23">
        <f t="shared" si="9"/>
        <v>8819.08</v>
      </c>
      <c r="BF17" s="67">
        <f t="shared" si="15"/>
        <v>90</v>
      </c>
      <c r="BG17" s="29"/>
    </row>
    <row r="18" spans="1:59" s="28" customFormat="1" ht="15" customHeight="1" x14ac:dyDescent="0.25">
      <c r="A18" s="17">
        <f t="shared" si="10"/>
        <v>16</v>
      </c>
      <c r="B18" s="18">
        <v>2502</v>
      </c>
      <c r="C18" s="17" t="s">
        <v>178</v>
      </c>
      <c r="D18" s="17" t="s">
        <v>124</v>
      </c>
      <c r="E18" s="19" t="s">
        <v>125</v>
      </c>
      <c r="F18" s="20">
        <v>45444</v>
      </c>
      <c r="G18" s="20">
        <v>45808</v>
      </c>
      <c r="H18" s="17"/>
      <c r="I18" s="21" t="s">
        <v>0</v>
      </c>
      <c r="J18" s="22">
        <v>1030</v>
      </c>
      <c r="K18" s="22">
        <v>1007.45</v>
      </c>
      <c r="L18" s="22">
        <v>542.79999999999995</v>
      </c>
      <c r="M18" s="22"/>
      <c r="N18" s="22"/>
      <c r="O18" s="22"/>
      <c r="P18" s="22">
        <v>200</v>
      </c>
      <c r="Q18" s="22"/>
      <c r="R18" s="22">
        <v>630</v>
      </c>
      <c r="S18" s="34"/>
      <c r="T18" s="22"/>
      <c r="U18" s="34">
        <v>0</v>
      </c>
      <c r="V18" s="34"/>
      <c r="W18" s="22"/>
      <c r="X18" s="22">
        <v>1252.0700000000002</v>
      </c>
      <c r="Y18" s="22"/>
      <c r="Z18" s="22">
        <v>0</v>
      </c>
      <c r="AA18" s="23">
        <f t="shared" si="0"/>
        <v>4662.32</v>
      </c>
      <c r="AB18" s="24">
        <v>7384</v>
      </c>
      <c r="AC18" s="24">
        <v>590.72</v>
      </c>
      <c r="AD18" s="24">
        <v>147.68</v>
      </c>
      <c r="AE18" s="24">
        <v>36.92</v>
      </c>
      <c r="AF18" s="24">
        <v>5176</v>
      </c>
      <c r="AG18" s="24">
        <f t="shared" si="11"/>
        <v>362</v>
      </c>
      <c r="AH18" s="23">
        <f t="shared" si="1"/>
        <v>1137.3200000000002</v>
      </c>
      <c r="AI18" s="25"/>
      <c r="AJ18" s="25"/>
      <c r="AK18" s="25"/>
      <c r="AL18" s="23">
        <f t="shared" si="2"/>
        <v>3524.9999999999995</v>
      </c>
      <c r="AM18" s="24">
        <v>7384</v>
      </c>
      <c r="AN18" s="24">
        <v>5176</v>
      </c>
      <c r="AO18" s="24">
        <f t="shared" si="12"/>
        <v>1181.44</v>
      </c>
      <c r="AP18" s="24">
        <f t="shared" si="13"/>
        <v>664.56</v>
      </c>
      <c r="AQ18" s="24">
        <f t="shared" si="3"/>
        <v>36.92</v>
      </c>
      <c r="AR18" s="24">
        <v>14.77</v>
      </c>
      <c r="AS18" s="24"/>
      <c r="AT18" s="24">
        <f t="shared" si="4"/>
        <v>362</v>
      </c>
      <c r="AU18" s="24">
        <f t="shared" si="5"/>
        <v>110.76</v>
      </c>
      <c r="AV18" s="23">
        <f t="shared" si="6"/>
        <v>2370.4500000000003</v>
      </c>
      <c r="AW18" s="23">
        <v>81</v>
      </c>
      <c r="AX18" s="23">
        <f t="shared" si="7"/>
        <v>7113.77</v>
      </c>
      <c r="AY18" s="26">
        <f>5</f>
        <v>5</v>
      </c>
      <c r="AZ18" s="26">
        <v>-4.129999999999999</v>
      </c>
      <c r="BA18" s="65" t="s">
        <v>221</v>
      </c>
      <c r="BB18" s="23">
        <v>255</v>
      </c>
      <c r="BC18" s="27">
        <f t="shared" si="14"/>
        <v>7369.64</v>
      </c>
      <c r="BD18" s="23">
        <f t="shared" si="8"/>
        <v>442.18</v>
      </c>
      <c r="BE18" s="23">
        <f t="shared" si="9"/>
        <v>7811.82</v>
      </c>
      <c r="BF18" s="67">
        <f t="shared" si="15"/>
        <v>76</v>
      </c>
      <c r="BG18" s="29"/>
    </row>
    <row r="19" spans="1:59" s="28" customFormat="1" ht="15" customHeight="1" x14ac:dyDescent="0.25">
      <c r="A19" s="17">
        <f t="shared" si="10"/>
        <v>17</v>
      </c>
      <c r="B19" s="18">
        <v>2502</v>
      </c>
      <c r="C19" s="17" t="s">
        <v>179</v>
      </c>
      <c r="D19" s="17" t="s">
        <v>126</v>
      </c>
      <c r="E19" s="19" t="s">
        <v>127</v>
      </c>
      <c r="F19" s="20">
        <v>45444</v>
      </c>
      <c r="G19" s="20">
        <v>45808</v>
      </c>
      <c r="H19" s="17"/>
      <c r="I19" s="21" t="s">
        <v>0</v>
      </c>
      <c r="J19" s="22">
        <v>950</v>
      </c>
      <c r="K19" s="22">
        <v>1385.6</v>
      </c>
      <c r="L19" s="22">
        <v>668.78</v>
      </c>
      <c r="M19" s="22"/>
      <c r="N19" s="22"/>
      <c r="O19" s="22"/>
      <c r="P19" s="22">
        <v>200</v>
      </c>
      <c r="Q19" s="22"/>
      <c r="R19" s="22">
        <v>630</v>
      </c>
      <c r="S19" s="34"/>
      <c r="T19" s="22"/>
      <c r="U19" s="34">
        <v>0</v>
      </c>
      <c r="V19" s="34"/>
      <c r="W19" s="22"/>
      <c r="X19" s="22">
        <v>968.94</v>
      </c>
      <c r="Y19" s="22"/>
      <c r="Z19" s="22">
        <v>0</v>
      </c>
      <c r="AA19" s="23">
        <f t="shared" si="0"/>
        <v>4803.32</v>
      </c>
      <c r="AB19" s="24">
        <v>7384</v>
      </c>
      <c r="AC19" s="24">
        <v>590.72</v>
      </c>
      <c r="AD19" s="24">
        <v>147.68</v>
      </c>
      <c r="AE19" s="24">
        <v>36.92</v>
      </c>
      <c r="AF19" s="24">
        <v>7189</v>
      </c>
      <c r="AG19" s="24">
        <f t="shared" si="11"/>
        <v>503</v>
      </c>
      <c r="AH19" s="23">
        <f t="shared" si="1"/>
        <v>1278.3200000000002</v>
      </c>
      <c r="AI19" s="25"/>
      <c r="AJ19" s="25"/>
      <c r="AK19" s="25"/>
      <c r="AL19" s="23">
        <f t="shared" si="2"/>
        <v>3524.9999999999995</v>
      </c>
      <c r="AM19" s="24">
        <v>7384</v>
      </c>
      <c r="AN19" s="24">
        <v>7189</v>
      </c>
      <c r="AO19" s="24">
        <f t="shared" si="12"/>
        <v>1181.44</v>
      </c>
      <c r="AP19" s="24">
        <f t="shared" si="13"/>
        <v>664.56</v>
      </c>
      <c r="AQ19" s="24">
        <f t="shared" si="3"/>
        <v>36.92</v>
      </c>
      <c r="AR19" s="24">
        <v>14.77</v>
      </c>
      <c r="AS19" s="24"/>
      <c r="AT19" s="24">
        <f t="shared" si="4"/>
        <v>503</v>
      </c>
      <c r="AU19" s="24">
        <f t="shared" si="5"/>
        <v>110.76</v>
      </c>
      <c r="AV19" s="23">
        <f t="shared" si="6"/>
        <v>2511.4500000000003</v>
      </c>
      <c r="AW19" s="23">
        <v>83</v>
      </c>
      <c r="AX19" s="23">
        <f t="shared" si="7"/>
        <v>7397.77</v>
      </c>
      <c r="AY19" s="26"/>
      <c r="AZ19" s="26">
        <v>-4.129999999999999</v>
      </c>
      <c r="BA19" s="65" t="s">
        <v>219</v>
      </c>
      <c r="BB19" s="23">
        <v>255</v>
      </c>
      <c r="BC19" s="27">
        <f t="shared" si="14"/>
        <v>7648.64</v>
      </c>
      <c r="BD19" s="23">
        <f t="shared" si="8"/>
        <v>458.92</v>
      </c>
      <c r="BE19" s="23">
        <f t="shared" si="9"/>
        <v>8107.56</v>
      </c>
      <c r="BF19" s="67">
        <f t="shared" si="15"/>
        <v>78</v>
      </c>
      <c r="BG19" s="29"/>
    </row>
    <row r="20" spans="1:59" s="28" customFormat="1" ht="15" customHeight="1" x14ac:dyDescent="0.25">
      <c r="A20" s="17">
        <f t="shared" si="10"/>
        <v>18</v>
      </c>
      <c r="B20" s="18">
        <v>2502</v>
      </c>
      <c r="C20" s="17" t="s">
        <v>180</v>
      </c>
      <c r="D20" s="17" t="s">
        <v>128</v>
      </c>
      <c r="E20" s="19" t="s">
        <v>129</v>
      </c>
      <c r="F20" s="20">
        <v>45444</v>
      </c>
      <c r="G20" s="20">
        <v>45808</v>
      </c>
      <c r="H20" s="17"/>
      <c r="I20" s="21" t="s">
        <v>0</v>
      </c>
      <c r="J20" s="22">
        <v>1030</v>
      </c>
      <c r="K20" s="22">
        <v>2065.1999999999998</v>
      </c>
      <c r="L20" s="22">
        <v>1004.72</v>
      </c>
      <c r="M20" s="22"/>
      <c r="N20" s="22"/>
      <c r="O20" s="22"/>
      <c r="P20" s="22">
        <v>200</v>
      </c>
      <c r="Q20" s="22"/>
      <c r="R20" s="22">
        <v>630</v>
      </c>
      <c r="S20" s="34"/>
      <c r="T20" s="22"/>
      <c r="U20" s="34">
        <v>0</v>
      </c>
      <c r="V20" s="34"/>
      <c r="W20" s="22"/>
      <c r="X20" s="22" t="s">
        <v>228</v>
      </c>
      <c r="Y20" s="22"/>
      <c r="Z20" s="22">
        <v>0</v>
      </c>
      <c r="AA20" s="23">
        <f t="shared" si="0"/>
        <v>4929.92</v>
      </c>
      <c r="AB20" s="24">
        <v>7384</v>
      </c>
      <c r="AC20" s="24">
        <v>590.72</v>
      </c>
      <c r="AD20" s="24">
        <v>147.68</v>
      </c>
      <c r="AE20" s="24">
        <v>36.92</v>
      </c>
      <c r="AF20" s="24">
        <v>5148</v>
      </c>
      <c r="AG20" s="24">
        <f t="shared" si="11"/>
        <v>360</v>
      </c>
      <c r="AH20" s="23">
        <f t="shared" si="1"/>
        <v>1135.3200000000002</v>
      </c>
      <c r="AI20" s="25"/>
      <c r="AJ20" s="25"/>
      <c r="AK20" s="25"/>
      <c r="AL20" s="23">
        <f t="shared" si="2"/>
        <v>3794.6</v>
      </c>
      <c r="AM20" s="24">
        <v>7384</v>
      </c>
      <c r="AN20" s="24">
        <v>5148</v>
      </c>
      <c r="AO20" s="24">
        <f t="shared" si="12"/>
        <v>1181.44</v>
      </c>
      <c r="AP20" s="24">
        <f t="shared" si="13"/>
        <v>664.56</v>
      </c>
      <c r="AQ20" s="24">
        <f t="shared" si="3"/>
        <v>36.92</v>
      </c>
      <c r="AR20" s="24">
        <v>14.77</v>
      </c>
      <c r="AS20" s="24"/>
      <c r="AT20" s="24">
        <f t="shared" si="4"/>
        <v>360</v>
      </c>
      <c r="AU20" s="24">
        <f t="shared" si="5"/>
        <v>110.76</v>
      </c>
      <c r="AV20" s="23">
        <f t="shared" si="6"/>
        <v>2368.4500000000003</v>
      </c>
      <c r="AW20" s="23">
        <v>86</v>
      </c>
      <c r="AX20" s="23">
        <f t="shared" si="7"/>
        <v>7384.3700000000008</v>
      </c>
      <c r="AY20" s="26"/>
      <c r="AZ20" s="26">
        <v>-4.129999999999999</v>
      </c>
      <c r="BA20" s="65" t="s">
        <v>219</v>
      </c>
      <c r="BB20" s="23">
        <v>255</v>
      </c>
      <c r="BC20" s="27">
        <f t="shared" si="14"/>
        <v>7635.24</v>
      </c>
      <c r="BD20" s="23">
        <f t="shared" si="8"/>
        <v>458.11</v>
      </c>
      <c r="BE20" s="23">
        <f t="shared" si="9"/>
        <v>8093.35</v>
      </c>
      <c r="BF20" s="67">
        <f t="shared" si="15"/>
        <v>81</v>
      </c>
      <c r="BG20" s="29"/>
    </row>
    <row r="21" spans="1:59" s="28" customFormat="1" ht="15" customHeight="1" x14ac:dyDescent="0.25">
      <c r="A21" s="17">
        <f t="shared" si="10"/>
        <v>19</v>
      </c>
      <c r="B21" s="18">
        <v>2502</v>
      </c>
      <c r="C21" s="17" t="s">
        <v>181</v>
      </c>
      <c r="D21" s="17" t="s">
        <v>130</v>
      </c>
      <c r="E21" s="19" t="s">
        <v>131</v>
      </c>
      <c r="F21" s="20">
        <v>45444</v>
      </c>
      <c r="G21" s="20">
        <v>45808</v>
      </c>
      <c r="H21" s="17"/>
      <c r="I21" s="21" t="s">
        <v>0</v>
      </c>
      <c r="J21" s="22">
        <v>900</v>
      </c>
      <c r="K21" s="22">
        <v>0</v>
      </c>
      <c r="L21" s="22">
        <v>0</v>
      </c>
      <c r="M21" s="22"/>
      <c r="N21" s="22"/>
      <c r="O21" s="22"/>
      <c r="P21" s="22">
        <v>200</v>
      </c>
      <c r="Q21" s="22"/>
      <c r="R21" s="22">
        <v>0</v>
      </c>
      <c r="S21" s="34"/>
      <c r="T21" s="22"/>
      <c r="U21" s="34">
        <v>0</v>
      </c>
      <c r="V21" s="34"/>
      <c r="W21" s="22"/>
      <c r="X21" s="22">
        <v>2352.3200000000002</v>
      </c>
      <c r="Y21" s="22"/>
      <c r="Z21" s="22">
        <v>0</v>
      </c>
      <c r="AA21" s="23">
        <f t="shared" si="0"/>
        <v>3452.32</v>
      </c>
      <c r="AB21" s="24">
        <v>7384</v>
      </c>
      <c r="AC21" s="24">
        <v>590.72</v>
      </c>
      <c r="AD21" s="24">
        <v>147.68</v>
      </c>
      <c r="AE21" s="24">
        <v>36.92</v>
      </c>
      <c r="AF21" s="24">
        <v>4570</v>
      </c>
      <c r="AG21" s="24">
        <f t="shared" si="11"/>
        <v>320</v>
      </c>
      <c r="AH21" s="23">
        <f t="shared" si="1"/>
        <v>1095.3200000000002</v>
      </c>
      <c r="AI21" s="25"/>
      <c r="AJ21" s="25"/>
      <c r="AK21" s="25"/>
      <c r="AL21" s="23">
        <f t="shared" si="2"/>
        <v>2357</v>
      </c>
      <c r="AM21" s="24">
        <v>7384</v>
      </c>
      <c r="AN21" s="24">
        <v>4570</v>
      </c>
      <c r="AO21" s="24">
        <f t="shared" si="12"/>
        <v>1181.44</v>
      </c>
      <c r="AP21" s="24">
        <f t="shared" si="13"/>
        <v>664.56</v>
      </c>
      <c r="AQ21" s="24">
        <f t="shared" si="3"/>
        <v>36.92</v>
      </c>
      <c r="AR21" s="24">
        <v>14.77</v>
      </c>
      <c r="AS21" s="24"/>
      <c r="AT21" s="24">
        <f t="shared" si="4"/>
        <v>320</v>
      </c>
      <c r="AU21" s="24">
        <f t="shared" si="5"/>
        <v>110.76</v>
      </c>
      <c r="AV21" s="23">
        <f t="shared" si="6"/>
        <v>2328.4500000000003</v>
      </c>
      <c r="AW21" s="23">
        <v>69</v>
      </c>
      <c r="AX21" s="23">
        <f t="shared" si="7"/>
        <v>5849.77</v>
      </c>
      <c r="AY21" s="26">
        <f>5</f>
        <v>5</v>
      </c>
      <c r="AZ21" s="26">
        <v>-4.129999999999999</v>
      </c>
      <c r="BA21" s="65" t="s">
        <v>221</v>
      </c>
      <c r="BB21" s="23">
        <v>255</v>
      </c>
      <c r="BC21" s="27">
        <f t="shared" si="14"/>
        <v>6105.64</v>
      </c>
      <c r="BD21" s="23">
        <f t="shared" si="8"/>
        <v>366.34</v>
      </c>
      <c r="BE21" s="23">
        <f t="shared" si="9"/>
        <v>6471.98</v>
      </c>
      <c r="BF21" s="67">
        <f t="shared" si="15"/>
        <v>64</v>
      </c>
      <c r="BG21" s="29"/>
    </row>
    <row r="22" spans="1:59" s="28" customFormat="1" ht="15" customHeight="1" x14ac:dyDescent="0.25">
      <c r="A22" s="17">
        <f t="shared" si="10"/>
        <v>20</v>
      </c>
      <c r="B22" s="18">
        <v>2502</v>
      </c>
      <c r="C22" s="17" t="s">
        <v>182</v>
      </c>
      <c r="D22" s="17" t="s">
        <v>132</v>
      </c>
      <c r="E22" s="19" t="s">
        <v>133</v>
      </c>
      <c r="F22" s="20">
        <v>45444</v>
      </c>
      <c r="G22" s="20">
        <v>45808</v>
      </c>
      <c r="H22" s="17"/>
      <c r="I22" s="21" t="s">
        <v>0</v>
      </c>
      <c r="J22" s="22">
        <v>900</v>
      </c>
      <c r="K22" s="22">
        <v>2397.3200000000002</v>
      </c>
      <c r="L22" s="22">
        <v>1203.44</v>
      </c>
      <c r="M22" s="22"/>
      <c r="N22" s="22"/>
      <c r="O22" s="22"/>
      <c r="P22" s="22">
        <v>200</v>
      </c>
      <c r="Q22" s="22"/>
      <c r="R22" s="22">
        <v>630</v>
      </c>
      <c r="S22" s="34"/>
      <c r="T22" s="22"/>
      <c r="U22" s="34">
        <v>0</v>
      </c>
      <c r="V22" s="34"/>
      <c r="W22" s="22"/>
      <c r="X22" s="22" t="s">
        <v>228</v>
      </c>
      <c r="Y22" s="22"/>
      <c r="Z22" s="22">
        <v>0</v>
      </c>
      <c r="AA22" s="23">
        <f t="shared" si="0"/>
        <v>5330.76</v>
      </c>
      <c r="AB22" s="24">
        <v>8182</v>
      </c>
      <c r="AC22" s="24">
        <v>654.55999999999995</v>
      </c>
      <c r="AD22" s="24">
        <v>163.63999999999999</v>
      </c>
      <c r="AE22" s="24">
        <v>40.909999999999997</v>
      </c>
      <c r="AF22" s="24">
        <v>8182</v>
      </c>
      <c r="AG22" s="24">
        <f t="shared" si="11"/>
        <v>573</v>
      </c>
      <c r="AH22" s="23">
        <f t="shared" si="1"/>
        <v>1432.11</v>
      </c>
      <c r="AI22" s="25"/>
      <c r="AJ22" s="25"/>
      <c r="AK22" s="25"/>
      <c r="AL22" s="23">
        <f t="shared" si="2"/>
        <v>3898.6500000000005</v>
      </c>
      <c r="AM22" s="24">
        <v>8182</v>
      </c>
      <c r="AN22" s="24">
        <v>8182</v>
      </c>
      <c r="AO22" s="24">
        <f t="shared" si="12"/>
        <v>1309.1199999999999</v>
      </c>
      <c r="AP22" s="24">
        <f t="shared" si="13"/>
        <v>736.38</v>
      </c>
      <c r="AQ22" s="24">
        <f t="shared" si="3"/>
        <v>40.909999999999997</v>
      </c>
      <c r="AR22" s="24">
        <v>16.36</v>
      </c>
      <c r="AS22" s="24"/>
      <c r="AT22" s="24">
        <f t="shared" si="4"/>
        <v>573</v>
      </c>
      <c r="AU22" s="24">
        <f t="shared" si="5"/>
        <v>122.73</v>
      </c>
      <c r="AV22" s="23">
        <f t="shared" si="6"/>
        <v>2798.5</v>
      </c>
      <c r="AW22" s="23">
        <v>94</v>
      </c>
      <c r="AX22" s="23">
        <f t="shared" si="7"/>
        <v>8223.26</v>
      </c>
      <c r="AY22" s="26"/>
      <c r="AZ22" s="26">
        <v>-4.59</v>
      </c>
      <c r="BA22" s="65" t="s">
        <v>216</v>
      </c>
      <c r="BB22" s="23">
        <v>255</v>
      </c>
      <c r="BC22" s="27">
        <f t="shared" si="14"/>
        <v>8473.67</v>
      </c>
      <c r="BD22" s="23">
        <f t="shared" si="8"/>
        <v>508.42</v>
      </c>
      <c r="BE22" s="23">
        <f t="shared" si="9"/>
        <v>8982.09</v>
      </c>
      <c r="BF22" s="67">
        <f t="shared" si="15"/>
        <v>89</v>
      </c>
      <c r="BG22" s="29"/>
    </row>
    <row r="23" spans="1:59" s="28" customFormat="1" ht="15" customHeight="1" x14ac:dyDescent="0.25">
      <c r="A23" s="17">
        <f t="shared" si="10"/>
        <v>21</v>
      </c>
      <c r="B23" s="18">
        <v>2502</v>
      </c>
      <c r="C23" s="17" t="s">
        <v>183</v>
      </c>
      <c r="D23" s="17" t="s">
        <v>134</v>
      </c>
      <c r="E23" s="19" t="s">
        <v>135</v>
      </c>
      <c r="F23" s="20">
        <v>45444</v>
      </c>
      <c r="G23" s="20">
        <v>45808</v>
      </c>
      <c r="H23" s="17"/>
      <c r="I23" s="21" t="s">
        <v>0</v>
      </c>
      <c r="J23" s="22">
        <v>950</v>
      </c>
      <c r="K23" s="22">
        <v>3580</v>
      </c>
      <c r="L23" s="22">
        <v>1344.48</v>
      </c>
      <c r="M23" s="22"/>
      <c r="N23" s="22"/>
      <c r="O23" s="22"/>
      <c r="P23" s="22">
        <v>200</v>
      </c>
      <c r="Q23" s="22"/>
      <c r="R23" s="22">
        <v>630</v>
      </c>
      <c r="S23" s="34"/>
      <c r="T23" s="22"/>
      <c r="U23" s="34">
        <v>371</v>
      </c>
      <c r="V23" s="34"/>
      <c r="W23" s="22"/>
      <c r="X23" s="22" t="s">
        <v>228</v>
      </c>
      <c r="Y23" s="22"/>
      <c r="Z23" s="22">
        <v>0</v>
      </c>
      <c r="AA23" s="23">
        <f t="shared" si="0"/>
        <v>7075.48</v>
      </c>
      <c r="AB23" s="24">
        <v>7384</v>
      </c>
      <c r="AC23" s="24">
        <v>590.72</v>
      </c>
      <c r="AD23" s="24">
        <v>147.68</v>
      </c>
      <c r="AE23" s="24">
        <v>36.92</v>
      </c>
      <c r="AF23" s="24">
        <v>6353</v>
      </c>
      <c r="AG23" s="24">
        <f t="shared" si="11"/>
        <v>445</v>
      </c>
      <c r="AH23" s="23">
        <f t="shared" si="1"/>
        <v>1220.3200000000002</v>
      </c>
      <c r="AI23" s="25"/>
      <c r="AJ23" s="25"/>
      <c r="AK23" s="25"/>
      <c r="AL23" s="23">
        <f t="shared" si="2"/>
        <v>5855.16</v>
      </c>
      <c r="AM23" s="24">
        <v>7384</v>
      </c>
      <c r="AN23" s="24">
        <v>6353</v>
      </c>
      <c r="AO23" s="24">
        <f t="shared" si="12"/>
        <v>1181.44</v>
      </c>
      <c r="AP23" s="24">
        <f t="shared" si="13"/>
        <v>664.56</v>
      </c>
      <c r="AQ23" s="24">
        <f t="shared" si="3"/>
        <v>36.92</v>
      </c>
      <c r="AR23" s="24">
        <v>14.77</v>
      </c>
      <c r="AS23" s="24"/>
      <c r="AT23" s="24">
        <f t="shared" si="4"/>
        <v>445</v>
      </c>
      <c r="AU23" s="24">
        <f t="shared" si="5"/>
        <v>110.76</v>
      </c>
      <c r="AV23" s="23">
        <f t="shared" si="6"/>
        <v>2453.4500000000003</v>
      </c>
      <c r="AW23" s="23">
        <v>129</v>
      </c>
      <c r="AX23" s="23">
        <f t="shared" si="7"/>
        <v>9657.93</v>
      </c>
      <c r="AY23" s="26"/>
      <c r="AZ23" s="26">
        <v>-4.129999999999999</v>
      </c>
      <c r="BA23" s="65" t="s">
        <v>215</v>
      </c>
      <c r="BB23" s="23">
        <v>255</v>
      </c>
      <c r="BC23" s="27">
        <f t="shared" si="14"/>
        <v>9908.7999999999993</v>
      </c>
      <c r="BD23" s="23">
        <f t="shared" si="8"/>
        <v>594.53</v>
      </c>
      <c r="BE23" s="23">
        <f t="shared" si="9"/>
        <v>10503.33</v>
      </c>
      <c r="BF23" s="67">
        <f t="shared" si="15"/>
        <v>124</v>
      </c>
      <c r="BG23" s="29"/>
    </row>
    <row r="24" spans="1:59" s="28" customFormat="1" ht="15" customHeight="1" x14ac:dyDescent="0.25">
      <c r="A24" s="17">
        <f t="shared" si="10"/>
        <v>22</v>
      </c>
      <c r="B24" s="18">
        <v>2502</v>
      </c>
      <c r="C24" s="17" t="s">
        <v>184</v>
      </c>
      <c r="D24" s="17" t="s">
        <v>136</v>
      </c>
      <c r="E24" s="19" t="s">
        <v>137</v>
      </c>
      <c r="F24" s="20">
        <v>45444</v>
      </c>
      <c r="G24" s="20">
        <v>45808</v>
      </c>
      <c r="H24" s="17"/>
      <c r="I24" s="21" t="s">
        <v>0</v>
      </c>
      <c r="J24" s="22">
        <v>1030</v>
      </c>
      <c r="K24" s="22">
        <v>3175.2</v>
      </c>
      <c r="L24" s="22">
        <v>959.36</v>
      </c>
      <c r="M24" s="22"/>
      <c r="N24" s="22"/>
      <c r="O24" s="22"/>
      <c r="P24" s="22">
        <v>200</v>
      </c>
      <c r="Q24" s="22"/>
      <c r="R24" s="22">
        <v>630</v>
      </c>
      <c r="S24" s="34"/>
      <c r="T24" s="22"/>
      <c r="U24" s="34">
        <v>0</v>
      </c>
      <c r="V24" s="34"/>
      <c r="W24" s="22"/>
      <c r="X24" s="22" t="s">
        <v>228</v>
      </c>
      <c r="Y24" s="22"/>
      <c r="Z24" s="22">
        <v>-200</v>
      </c>
      <c r="AA24" s="23">
        <f t="shared" si="0"/>
        <v>5794.5599999999995</v>
      </c>
      <c r="AB24" s="24">
        <v>7384</v>
      </c>
      <c r="AC24" s="24">
        <v>590.72</v>
      </c>
      <c r="AD24" s="24">
        <v>147.68</v>
      </c>
      <c r="AE24" s="24">
        <v>36.92</v>
      </c>
      <c r="AF24" s="24">
        <v>7034</v>
      </c>
      <c r="AG24" s="24">
        <f t="shared" si="11"/>
        <v>492</v>
      </c>
      <c r="AH24" s="23">
        <f t="shared" si="1"/>
        <v>1267.3200000000002</v>
      </c>
      <c r="AI24" s="25"/>
      <c r="AJ24" s="25"/>
      <c r="AK24" s="25"/>
      <c r="AL24" s="23">
        <f t="shared" si="2"/>
        <v>4527.24</v>
      </c>
      <c r="AM24" s="24">
        <v>7384</v>
      </c>
      <c r="AN24" s="24">
        <v>7034</v>
      </c>
      <c r="AO24" s="24">
        <f t="shared" si="12"/>
        <v>1181.44</v>
      </c>
      <c r="AP24" s="24">
        <f t="shared" si="13"/>
        <v>664.56</v>
      </c>
      <c r="AQ24" s="24">
        <f t="shared" si="3"/>
        <v>36.92</v>
      </c>
      <c r="AR24" s="24">
        <v>14.77</v>
      </c>
      <c r="AS24" s="24"/>
      <c r="AT24" s="24">
        <f t="shared" si="4"/>
        <v>492</v>
      </c>
      <c r="AU24" s="24">
        <f t="shared" si="5"/>
        <v>110.76</v>
      </c>
      <c r="AV24" s="23">
        <f t="shared" si="6"/>
        <v>2500.4500000000003</v>
      </c>
      <c r="AW24" s="23">
        <v>103</v>
      </c>
      <c r="AX24" s="23">
        <f t="shared" si="7"/>
        <v>8398.01</v>
      </c>
      <c r="AY24" s="26">
        <f>5</f>
        <v>5</v>
      </c>
      <c r="AZ24" s="26">
        <v>-4.129999999999999</v>
      </c>
      <c r="BA24" s="65" t="s">
        <v>221</v>
      </c>
      <c r="BB24" s="23">
        <v>255</v>
      </c>
      <c r="BC24" s="27">
        <f t="shared" si="14"/>
        <v>8653.8799999999992</v>
      </c>
      <c r="BD24" s="23">
        <f t="shared" si="8"/>
        <v>519.23</v>
      </c>
      <c r="BE24" s="23">
        <f t="shared" si="9"/>
        <v>9173.11</v>
      </c>
      <c r="BF24" s="67">
        <f t="shared" si="15"/>
        <v>98</v>
      </c>
      <c r="BG24" s="29"/>
    </row>
    <row r="25" spans="1:59" s="28" customFormat="1" ht="15" customHeight="1" x14ac:dyDescent="0.25">
      <c r="A25" s="17">
        <f t="shared" si="10"/>
        <v>23</v>
      </c>
      <c r="B25" s="18">
        <v>2502</v>
      </c>
      <c r="C25" s="17" t="s">
        <v>185</v>
      </c>
      <c r="D25" s="17" t="s">
        <v>138</v>
      </c>
      <c r="E25" s="19" t="s">
        <v>139</v>
      </c>
      <c r="F25" s="20">
        <v>45444</v>
      </c>
      <c r="G25" s="20">
        <v>45808</v>
      </c>
      <c r="H25" s="17"/>
      <c r="I25" s="21" t="s">
        <v>0</v>
      </c>
      <c r="J25" s="22">
        <v>950</v>
      </c>
      <c r="K25" s="22">
        <v>976</v>
      </c>
      <c r="L25" s="22">
        <v>257.68</v>
      </c>
      <c r="M25" s="22"/>
      <c r="N25" s="22"/>
      <c r="O25" s="22"/>
      <c r="P25" s="22">
        <v>50</v>
      </c>
      <c r="Q25" s="22"/>
      <c r="R25" s="22">
        <v>630</v>
      </c>
      <c r="S25" s="34"/>
      <c r="T25" s="22"/>
      <c r="U25" s="34">
        <v>371</v>
      </c>
      <c r="V25" s="34"/>
      <c r="W25" s="22"/>
      <c r="X25" s="22">
        <v>1628.6400000000003</v>
      </c>
      <c r="Y25" s="22"/>
      <c r="Z25" s="22">
        <v>0</v>
      </c>
      <c r="AA25" s="23">
        <f t="shared" si="0"/>
        <v>4863.32</v>
      </c>
      <c r="AB25" s="24">
        <v>7384</v>
      </c>
      <c r="AC25" s="24">
        <v>590.72</v>
      </c>
      <c r="AD25" s="24">
        <v>147.68</v>
      </c>
      <c r="AE25" s="24">
        <v>36.92</v>
      </c>
      <c r="AF25" s="24">
        <v>4880</v>
      </c>
      <c r="AG25" s="24">
        <f t="shared" si="11"/>
        <v>342</v>
      </c>
      <c r="AH25" s="23">
        <f t="shared" si="1"/>
        <v>1117.3200000000002</v>
      </c>
      <c r="AI25" s="25"/>
      <c r="AJ25" s="25"/>
      <c r="AK25" s="25"/>
      <c r="AL25" s="23">
        <f t="shared" si="2"/>
        <v>3745.9999999999995</v>
      </c>
      <c r="AM25" s="24">
        <v>7384</v>
      </c>
      <c r="AN25" s="24">
        <v>4880</v>
      </c>
      <c r="AO25" s="24">
        <f t="shared" si="12"/>
        <v>1181.44</v>
      </c>
      <c r="AP25" s="24">
        <f t="shared" si="13"/>
        <v>664.56</v>
      </c>
      <c r="AQ25" s="24">
        <f t="shared" si="3"/>
        <v>36.92</v>
      </c>
      <c r="AR25" s="24">
        <v>14.77</v>
      </c>
      <c r="AS25" s="24"/>
      <c r="AT25" s="24">
        <f t="shared" si="4"/>
        <v>342</v>
      </c>
      <c r="AU25" s="24">
        <f t="shared" si="5"/>
        <v>110.76</v>
      </c>
      <c r="AV25" s="23">
        <f t="shared" si="6"/>
        <v>2350.4500000000003</v>
      </c>
      <c r="AW25" s="23">
        <v>85</v>
      </c>
      <c r="AX25" s="23">
        <f t="shared" si="7"/>
        <v>7298.77</v>
      </c>
      <c r="AY25" s="26">
        <f>5</f>
        <v>5</v>
      </c>
      <c r="AZ25" s="26">
        <v>-4.129999999999999</v>
      </c>
      <c r="BA25" s="65" t="s">
        <v>221</v>
      </c>
      <c r="BB25" s="23">
        <v>255</v>
      </c>
      <c r="BC25" s="27">
        <f t="shared" si="14"/>
        <v>7554.64</v>
      </c>
      <c r="BD25" s="23">
        <f t="shared" si="8"/>
        <v>453.28</v>
      </c>
      <c r="BE25" s="23">
        <f t="shared" si="9"/>
        <v>8007.92</v>
      </c>
      <c r="BF25" s="67">
        <f t="shared" si="15"/>
        <v>80</v>
      </c>
      <c r="BG25" s="29"/>
    </row>
    <row r="26" spans="1:59" s="28" customFormat="1" ht="15" customHeight="1" x14ac:dyDescent="0.25">
      <c r="A26" s="17">
        <f t="shared" si="10"/>
        <v>24</v>
      </c>
      <c r="B26" s="18">
        <v>2502</v>
      </c>
      <c r="C26" s="17" t="s">
        <v>186</v>
      </c>
      <c r="D26" s="17" t="s">
        <v>140</v>
      </c>
      <c r="E26" s="19" t="s">
        <v>141</v>
      </c>
      <c r="F26" s="20">
        <v>45444</v>
      </c>
      <c r="G26" s="20">
        <v>45808</v>
      </c>
      <c r="H26" s="17"/>
      <c r="I26" s="21" t="s">
        <v>0</v>
      </c>
      <c r="J26" s="22">
        <v>950</v>
      </c>
      <c r="K26" s="22">
        <v>897.2</v>
      </c>
      <c r="L26" s="22">
        <v>845.12</v>
      </c>
      <c r="M26" s="22"/>
      <c r="N26" s="22"/>
      <c r="O26" s="22"/>
      <c r="P26" s="22">
        <v>200</v>
      </c>
      <c r="Q26" s="22"/>
      <c r="R26" s="22">
        <v>630</v>
      </c>
      <c r="S26" s="34"/>
      <c r="T26" s="22"/>
      <c r="U26" s="34">
        <v>0</v>
      </c>
      <c r="V26" s="34"/>
      <c r="W26" s="22"/>
      <c r="X26" s="22">
        <v>1091</v>
      </c>
      <c r="Y26" s="22"/>
      <c r="Z26" s="22">
        <v>0</v>
      </c>
      <c r="AA26" s="23">
        <f t="shared" si="0"/>
        <v>4613.32</v>
      </c>
      <c r="AB26" s="24">
        <v>7384</v>
      </c>
      <c r="AC26" s="24">
        <v>590.72</v>
      </c>
      <c r="AD26" s="24">
        <v>147.68</v>
      </c>
      <c r="AE26" s="24">
        <v>36.92</v>
      </c>
      <c r="AF26" s="24">
        <v>4467</v>
      </c>
      <c r="AG26" s="24">
        <f t="shared" si="11"/>
        <v>313</v>
      </c>
      <c r="AH26" s="23">
        <f t="shared" si="1"/>
        <v>1088.3200000000002</v>
      </c>
      <c r="AI26" s="25"/>
      <c r="AJ26" s="25"/>
      <c r="AK26" s="25"/>
      <c r="AL26" s="23">
        <f t="shared" si="2"/>
        <v>3524.9999999999995</v>
      </c>
      <c r="AM26" s="24">
        <v>7384</v>
      </c>
      <c r="AN26" s="24">
        <v>4467</v>
      </c>
      <c r="AO26" s="24">
        <f t="shared" si="12"/>
        <v>1181.44</v>
      </c>
      <c r="AP26" s="24">
        <f t="shared" si="13"/>
        <v>664.56</v>
      </c>
      <c r="AQ26" s="24">
        <f t="shared" si="3"/>
        <v>36.92</v>
      </c>
      <c r="AR26" s="24">
        <v>14.77</v>
      </c>
      <c r="AS26" s="24"/>
      <c r="AT26" s="24">
        <f t="shared" si="4"/>
        <v>313</v>
      </c>
      <c r="AU26" s="24">
        <f t="shared" si="5"/>
        <v>110.76</v>
      </c>
      <c r="AV26" s="23">
        <f t="shared" si="6"/>
        <v>2321.4500000000003</v>
      </c>
      <c r="AW26" s="23">
        <v>80</v>
      </c>
      <c r="AX26" s="23">
        <f t="shared" si="7"/>
        <v>7014.77</v>
      </c>
      <c r="AY26" s="26"/>
      <c r="AZ26" s="26">
        <v>-4.129999999999999</v>
      </c>
      <c r="BA26" s="65" t="s">
        <v>219</v>
      </c>
      <c r="BB26" s="23">
        <v>255</v>
      </c>
      <c r="BC26" s="27">
        <f t="shared" si="14"/>
        <v>7265.64</v>
      </c>
      <c r="BD26" s="23">
        <f t="shared" si="8"/>
        <v>435.94</v>
      </c>
      <c r="BE26" s="23">
        <f t="shared" si="9"/>
        <v>7701.58</v>
      </c>
      <c r="BF26" s="67">
        <f t="shared" si="15"/>
        <v>75</v>
      </c>
      <c r="BG26" s="29"/>
    </row>
    <row r="27" spans="1:59" s="28" customFormat="1" ht="15" customHeight="1" x14ac:dyDescent="0.25">
      <c r="A27" s="17">
        <f t="shared" si="10"/>
        <v>25</v>
      </c>
      <c r="B27" s="18">
        <v>2502</v>
      </c>
      <c r="C27" s="17" t="s">
        <v>187</v>
      </c>
      <c r="D27" s="17" t="s">
        <v>142</v>
      </c>
      <c r="E27" s="19" t="s">
        <v>143</v>
      </c>
      <c r="F27" s="20">
        <v>45444</v>
      </c>
      <c r="G27" s="20">
        <v>45808</v>
      </c>
      <c r="H27" s="17"/>
      <c r="I27" s="21" t="s">
        <v>0</v>
      </c>
      <c r="J27" s="22">
        <v>950</v>
      </c>
      <c r="K27" s="22">
        <v>1569.26</v>
      </c>
      <c r="L27" s="22">
        <v>718.6</v>
      </c>
      <c r="M27" s="22"/>
      <c r="N27" s="22"/>
      <c r="O27" s="22"/>
      <c r="P27" s="22">
        <v>200</v>
      </c>
      <c r="Q27" s="22"/>
      <c r="R27" s="22">
        <v>630</v>
      </c>
      <c r="S27" s="34"/>
      <c r="T27" s="22"/>
      <c r="U27" s="34">
        <v>0</v>
      </c>
      <c r="V27" s="34"/>
      <c r="W27" s="22"/>
      <c r="X27" s="22">
        <v>546.46</v>
      </c>
      <c r="Y27" s="22"/>
      <c r="Z27" s="22">
        <v>0</v>
      </c>
      <c r="AA27" s="23">
        <f t="shared" si="0"/>
        <v>4614.32</v>
      </c>
      <c r="AB27" s="24">
        <v>7384</v>
      </c>
      <c r="AC27" s="24">
        <v>590.72</v>
      </c>
      <c r="AD27" s="24">
        <v>147.68</v>
      </c>
      <c r="AE27" s="24">
        <v>36.92</v>
      </c>
      <c r="AF27" s="24">
        <v>4492</v>
      </c>
      <c r="AG27" s="24">
        <f t="shared" si="11"/>
        <v>314</v>
      </c>
      <c r="AH27" s="23">
        <f t="shared" si="1"/>
        <v>1089.3200000000002</v>
      </c>
      <c r="AI27" s="25"/>
      <c r="AJ27" s="25"/>
      <c r="AK27" s="25"/>
      <c r="AL27" s="23">
        <f t="shared" si="2"/>
        <v>3524.9999999999995</v>
      </c>
      <c r="AM27" s="24">
        <v>7384</v>
      </c>
      <c r="AN27" s="24">
        <v>4492</v>
      </c>
      <c r="AO27" s="24">
        <f t="shared" si="12"/>
        <v>1181.44</v>
      </c>
      <c r="AP27" s="24">
        <f t="shared" si="13"/>
        <v>664.56</v>
      </c>
      <c r="AQ27" s="24">
        <f t="shared" si="3"/>
        <v>36.92</v>
      </c>
      <c r="AR27" s="24">
        <v>14.77</v>
      </c>
      <c r="AS27" s="24"/>
      <c r="AT27" s="24">
        <f t="shared" si="4"/>
        <v>314</v>
      </c>
      <c r="AU27" s="24">
        <f t="shared" si="5"/>
        <v>110.76</v>
      </c>
      <c r="AV27" s="23">
        <f t="shared" si="6"/>
        <v>2322.4500000000003</v>
      </c>
      <c r="AW27" s="23">
        <v>80</v>
      </c>
      <c r="AX27" s="23">
        <f t="shared" si="7"/>
        <v>7016.77</v>
      </c>
      <c r="AY27" s="26"/>
      <c r="AZ27" s="26">
        <v>-4.129999999999999</v>
      </c>
      <c r="BA27" s="65" t="s">
        <v>219</v>
      </c>
      <c r="BB27" s="23">
        <v>255</v>
      </c>
      <c r="BC27" s="27">
        <f t="shared" si="14"/>
        <v>7267.64</v>
      </c>
      <c r="BD27" s="23">
        <f t="shared" si="8"/>
        <v>436.06</v>
      </c>
      <c r="BE27" s="23">
        <f t="shared" si="9"/>
        <v>7703.7</v>
      </c>
      <c r="BF27" s="67">
        <f t="shared" si="15"/>
        <v>75</v>
      </c>
      <c r="BG27" s="29"/>
    </row>
    <row r="28" spans="1:59" s="28" customFormat="1" ht="15" customHeight="1" x14ac:dyDescent="0.25">
      <c r="A28" s="17">
        <f t="shared" si="10"/>
        <v>26</v>
      </c>
      <c r="B28" s="18">
        <v>2502</v>
      </c>
      <c r="C28" s="17" t="s">
        <v>188</v>
      </c>
      <c r="D28" s="17" t="s">
        <v>144</v>
      </c>
      <c r="E28" s="19" t="s">
        <v>145</v>
      </c>
      <c r="F28" s="20">
        <v>45444</v>
      </c>
      <c r="G28" s="20">
        <v>45808</v>
      </c>
      <c r="H28" s="17"/>
      <c r="I28" s="21" t="s">
        <v>0</v>
      </c>
      <c r="J28" s="22">
        <v>1030</v>
      </c>
      <c r="K28" s="22">
        <v>11536</v>
      </c>
      <c r="L28" s="22">
        <v>1544.24</v>
      </c>
      <c r="M28" s="22"/>
      <c r="N28" s="22"/>
      <c r="O28" s="22"/>
      <c r="P28" s="22">
        <v>200</v>
      </c>
      <c r="Q28" s="22"/>
      <c r="R28" s="22">
        <v>630</v>
      </c>
      <c r="S28" s="34"/>
      <c r="T28" s="22"/>
      <c r="U28" s="34">
        <v>1484</v>
      </c>
      <c r="V28" s="34"/>
      <c r="W28" s="22"/>
      <c r="X28" s="22" t="s">
        <v>228</v>
      </c>
      <c r="Y28" s="22"/>
      <c r="Z28" s="22">
        <v>-150</v>
      </c>
      <c r="AA28" s="23">
        <f t="shared" si="0"/>
        <v>16274.239999999998</v>
      </c>
      <c r="AB28" s="24">
        <v>13877</v>
      </c>
      <c r="AC28" s="24">
        <v>1110.1600000000001</v>
      </c>
      <c r="AD28" s="24">
        <v>277.54000000000002</v>
      </c>
      <c r="AE28" s="24">
        <v>69.39</v>
      </c>
      <c r="AF28" s="24">
        <v>13877</v>
      </c>
      <c r="AG28" s="24">
        <f t="shared" si="11"/>
        <v>971</v>
      </c>
      <c r="AH28" s="23">
        <f t="shared" si="1"/>
        <v>2428.09</v>
      </c>
      <c r="AI28" s="25"/>
      <c r="AJ28" s="25"/>
      <c r="AK28" s="25"/>
      <c r="AL28" s="23">
        <f t="shared" si="2"/>
        <v>13846.149999999998</v>
      </c>
      <c r="AM28" s="24">
        <v>13877</v>
      </c>
      <c r="AN28" s="24">
        <v>13877</v>
      </c>
      <c r="AO28" s="24">
        <f t="shared" si="12"/>
        <v>2220.3200000000002</v>
      </c>
      <c r="AP28" s="24">
        <v>1248.94</v>
      </c>
      <c r="AQ28" s="24">
        <f t="shared" si="3"/>
        <v>69.39</v>
      </c>
      <c r="AR28" s="24">
        <v>27.75</v>
      </c>
      <c r="AS28" s="24"/>
      <c r="AT28" s="24">
        <f t="shared" si="4"/>
        <v>971</v>
      </c>
      <c r="AU28" s="24">
        <f t="shared" si="5"/>
        <v>208.16</v>
      </c>
      <c r="AV28" s="23">
        <f t="shared" si="6"/>
        <v>4745.5599999999995</v>
      </c>
      <c r="AW28" s="23">
        <v>313</v>
      </c>
      <c r="AX28" s="23">
        <f t="shared" si="7"/>
        <v>21332.799999999996</v>
      </c>
      <c r="AY28" s="26"/>
      <c r="AZ28" s="26">
        <v>-7.7800000000000011</v>
      </c>
      <c r="BA28" s="65" t="s">
        <v>219</v>
      </c>
      <c r="BB28" s="23">
        <v>255</v>
      </c>
      <c r="BC28" s="27">
        <f t="shared" si="14"/>
        <v>21580.02</v>
      </c>
      <c r="BD28" s="23">
        <f t="shared" si="8"/>
        <v>1294.8</v>
      </c>
      <c r="BE28" s="23">
        <f t="shared" si="9"/>
        <v>22874.82</v>
      </c>
      <c r="BF28" s="67">
        <f t="shared" si="15"/>
        <v>308</v>
      </c>
      <c r="BG28" s="29"/>
    </row>
    <row r="29" spans="1:59" s="28" customFormat="1" ht="15" customHeight="1" x14ac:dyDescent="0.25">
      <c r="A29" s="17">
        <f t="shared" si="10"/>
        <v>27</v>
      </c>
      <c r="B29" s="18">
        <v>2502</v>
      </c>
      <c r="C29" s="17" t="s">
        <v>189</v>
      </c>
      <c r="D29" s="17" t="s">
        <v>146</v>
      </c>
      <c r="E29" s="19" t="s">
        <v>147</v>
      </c>
      <c r="F29" s="20">
        <v>45444</v>
      </c>
      <c r="G29" s="20">
        <v>45808</v>
      </c>
      <c r="H29" s="17"/>
      <c r="I29" s="21" t="s">
        <v>0</v>
      </c>
      <c r="J29" s="22">
        <v>950</v>
      </c>
      <c r="K29" s="22">
        <v>5176</v>
      </c>
      <c r="L29" s="22">
        <v>1572.56</v>
      </c>
      <c r="M29" s="22"/>
      <c r="N29" s="22"/>
      <c r="O29" s="22"/>
      <c r="P29" s="22">
        <v>200</v>
      </c>
      <c r="Q29" s="22"/>
      <c r="R29" s="22">
        <v>630</v>
      </c>
      <c r="S29" s="34"/>
      <c r="T29" s="22"/>
      <c r="U29" s="34">
        <v>371</v>
      </c>
      <c r="V29" s="34"/>
      <c r="W29" s="22"/>
      <c r="X29" s="22" t="s">
        <v>228</v>
      </c>
      <c r="Y29" s="22"/>
      <c r="Z29" s="22">
        <v>0</v>
      </c>
      <c r="AA29" s="23">
        <f t="shared" si="0"/>
        <v>8899.56</v>
      </c>
      <c r="AB29" s="24">
        <v>8878</v>
      </c>
      <c r="AC29" s="24">
        <v>710.24</v>
      </c>
      <c r="AD29" s="24">
        <v>177.56</v>
      </c>
      <c r="AE29" s="24">
        <v>44.39</v>
      </c>
      <c r="AF29" s="24">
        <v>8878</v>
      </c>
      <c r="AG29" s="24">
        <f t="shared" si="11"/>
        <v>621</v>
      </c>
      <c r="AH29" s="23">
        <f t="shared" si="1"/>
        <v>1553.19</v>
      </c>
      <c r="AI29" s="25"/>
      <c r="AJ29" s="25"/>
      <c r="AK29" s="25"/>
      <c r="AL29" s="23">
        <f t="shared" si="2"/>
        <v>7346.369999999999</v>
      </c>
      <c r="AM29" s="24">
        <v>8878</v>
      </c>
      <c r="AN29" s="24">
        <v>8878</v>
      </c>
      <c r="AO29" s="24">
        <f t="shared" si="12"/>
        <v>1420.48</v>
      </c>
      <c r="AP29" s="24">
        <f t="shared" si="13"/>
        <v>799.02</v>
      </c>
      <c r="AQ29" s="24">
        <f t="shared" si="3"/>
        <v>44.39</v>
      </c>
      <c r="AR29" s="24">
        <v>17.760000000000002</v>
      </c>
      <c r="AS29" s="24"/>
      <c r="AT29" s="24">
        <f t="shared" si="4"/>
        <v>621</v>
      </c>
      <c r="AU29" s="24">
        <f t="shared" si="5"/>
        <v>133.16999999999999</v>
      </c>
      <c r="AV29" s="23">
        <f t="shared" si="6"/>
        <v>3035.82</v>
      </c>
      <c r="AW29" s="23">
        <v>165</v>
      </c>
      <c r="AX29" s="23">
        <f t="shared" si="7"/>
        <v>12100.38</v>
      </c>
      <c r="AY29" s="26"/>
      <c r="AZ29" s="26">
        <v>-4.9699999999999989</v>
      </c>
      <c r="BA29" s="65" t="s">
        <v>219</v>
      </c>
      <c r="BB29" s="23">
        <v>255</v>
      </c>
      <c r="BC29" s="27">
        <f t="shared" si="14"/>
        <v>12350.41</v>
      </c>
      <c r="BD29" s="23">
        <f t="shared" si="8"/>
        <v>741.02</v>
      </c>
      <c r="BE29" s="23">
        <f t="shared" si="9"/>
        <v>13091.43</v>
      </c>
      <c r="BF29" s="67">
        <f t="shared" si="15"/>
        <v>160</v>
      </c>
      <c r="BG29" s="29"/>
    </row>
    <row r="30" spans="1:59" s="28" customFormat="1" ht="15" customHeight="1" x14ac:dyDescent="0.25">
      <c r="A30" s="17">
        <f t="shared" si="10"/>
        <v>28</v>
      </c>
      <c r="B30" s="18">
        <v>2502</v>
      </c>
      <c r="C30" s="17" t="s">
        <v>190</v>
      </c>
      <c r="D30" s="17" t="s">
        <v>148</v>
      </c>
      <c r="E30" s="19" t="s">
        <v>149</v>
      </c>
      <c r="F30" s="20">
        <v>45444</v>
      </c>
      <c r="G30" s="20">
        <v>45808</v>
      </c>
      <c r="H30" s="17"/>
      <c r="I30" s="21" t="s">
        <v>0</v>
      </c>
      <c r="J30" s="22">
        <v>950</v>
      </c>
      <c r="K30" s="22">
        <v>5220</v>
      </c>
      <c r="L30" s="22">
        <v>1065.44</v>
      </c>
      <c r="M30" s="22"/>
      <c r="N30" s="22"/>
      <c r="O30" s="22"/>
      <c r="P30" s="22">
        <v>200</v>
      </c>
      <c r="Q30" s="22"/>
      <c r="R30" s="22">
        <v>630</v>
      </c>
      <c r="S30" s="34"/>
      <c r="T30" s="22"/>
      <c r="U30" s="34">
        <v>371</v>
      </c>
      <c r="V30" s="34"/>
      <c r="W30" s="22"/>
      <c r="X30" s="22" t="s">
        <v>228</v>
      </c>
      <c r="Y30" s="22"/>
      <c r="Z30" s="22">
        <v>-30</v>
      </c>
      <c r="AA30" s="23">
        <f t="shared" si="0"/>
        <v>8406.44</v>
      </c>
      <c r="AB30" s="24">
        <v>8677</v>
      </c>
      <c r="AC30" s="24">
        <v>694.16</v>
      </c>
      <c r="AD30" s="24">
        <v>173.54</v>
      </c>
      <c r="AE30" s="24">
        <v>43.39</v>
      </c>
      <c r="AF30" s="24">
        <v>8677</v>
      </c>
      <c r="AG30" s="24">
        <f t="shared" si="11"/>
        <v>607</v>
      </c>
      <c r="AH30" s="23">
        <f t="shared" si="1"/>
        <v>1518.09</v>
      </c>
      <c r="AI30" s="25"/>
      <c r="AJ30" s="25"/>
      <c r="AK30" s="25"/>
      <c r="AL30" s="23">
        <f t="shared" si="2"/>
        <v>6888.35</v>
      </c>
      <c r="AM30" s="24">
        <v>8677</v>
      </c>
      <c r="AN30" s="24">
        <v>8677</v>
      </c>
      <c r="AO30" s="24">
        <f t="shared" si="12"/>
        <v>1388.32</v>
      </c>
      <c r="AP30" s="24">
        <v>780.94</v>
      </c>
      <c r="AQ30" s="24">
        <f t="shared" si="3"/>
        <v>43.39</v>
      </c>
      <c r="AR30" s="24">
        <v>17.350000000000001</v>
      </c>
      <c r="AS30" s="24"/>
      <c r="AT30" s="24">
        <f t="shared" si="4"/>
        <v>607</v>
      </c>
      <c r="AU30" s="24">
        <f t="shared" si="5"/>
        <v>130.16</v>
      </c>
      <c r="AV30" s="23">
        <f t="shared" si="6"/>
        <v>2967.16</v>
      </c>
      <c r="AW30" s="23">
        <v>156</v>
      </c>
      <c r="AX30" s="23">
        <f t="shared" si="7"/>
        <v>11529.6</v>
      </c>
      <c r="AY30" s="26"/>
      <c r="AZ30" s="26">
        <v>-4.8599999999999994</v>
      </c>
      <c r="BA30" s="65" t="s">
        <v>219</v>
      </c>
      <c r="BB30" s="23">
        <v>255</v>
      </c>
      <c r="BC30" s="27">
        <f t="shared" si="14"/>
        <v>11779.74</v>
      </c>
      <c r="BD30" s="23">
        <f t="shared" si="8"/>
        <v>706.78</v>
      </c>
      <c r="BE30" s="23">
        <f t="shared" si="9"/>
        <v>12486.52</v>
      </c>
      <c r="BF30" s="67">
        <f t="shared" si="15"/>
        <v>151</v>
      </c>
      <c r="BG30" s="29"/>
    </row>
    <row r="31" spans="1:59" s="28" customFormat="1" ht="15" customHeight="1" x14ac:dyDescent="0.25">
      <c r="A31" s="17">
        <f t="shared" si="10"/>
        <v>29</v>
      </c>
      <c r="B31" s="18">
        <v>2502</v>
      </c>
      <c r="C31" s="17" t="s">
        <v>191</v>
      </c>
      <c r="D31" s="17" t="s">
        <v>150</v>
      </c>
      <c r="E31" s="19" t="s">
        <v>151</v>
      </c>
      <c r="F31" s="20">
        <v>45444</v>
      </c>
      <c r="G31" s="20">
        <v>45808</v>
      </c>
      <c r="H31" s="17"/>
      <c r="I31" s="21" t="s">
        <v>0</v>
      </c>
      <c r="J31" s="22">
        <v>950</v>
      </c>
      <c r="K31" s="22">
        <v>15222</v>
      </c>
      <c r="L31" s="22">
        <v>1700.48</v>
      </c>
      <c r="M31" s="22"/>
      <c r="N31" s="22"/>
      <c r="O31" s="22"/>
      <c r="P31" s="22">
        <v>200</v>
      </c>
      <c r="Q31" s="22"/>
      <c r="R31" s="22">
        <v>630</v>
      </c>
      <c r="S31" s="34"/>
      <c r="T31" s="22"/>
      <c r="U31" s="34">
        <v>371</v>
      </c>
      <c r="V31" s="34"/>
      <c r="W31" s="22"/>
      <c r="X31" s="22" t="s">
        <v>228</v>
      </c>
      <c r="Y31" s="22"/>
      <c r="Z31" s="22">
        <v>0</v>
      </c>
      <c r="AA31" s="23">
        <f t="shared" si="0"/>
        <v>19073.48</v>
      </c>
      <c r="AB31" s="24">
        <v>7384</v>
      </c>
      <c r="AC31" s="24">
        <v>590.72</v>
      </c>
      <c r="AD31" s="24">
        <v>147.68</v>
      </c>
      <c r="AE31" s="24">
        <v>36.92</v>
      </c>
      <c r="AF31" s="24">
        <v>5109</v>
      </c>
      <c r="AG31" s="24">
        <f t="shared" si="11"/>
        <v>358</v>
      </c>
      <c r="AH31" s="23">
        <f t="shared" si="1"/>
        <v>1133.3200000000002</v>
      </c>
      <c r="AI31" s="25"/>
      <c r="AJ31" s="25"/>
      <c r="AK31" s="25"/>
      <c r="AL31" s="23">
        <f t="shared" si="2"/>
        <v>17940.16</v>
      </c>
      <c r="AM31" s="24">
        <v>7384</v>
      </c>
      <c r="AN31" s="24">
        <v>5109</v>
      </c>
      <c r="AO31" s="24">
        <f t="shared" si="12"/>
        <v>1181.44</v>
      </c>
      <c r="AP31" s="24">
        <f t="shared" si="13"/>
        <v>664.56</v>
      </c>
      <c r="AQ31" s="24">
        <f t="shared" si="3"/>
        <v>36.92</v>
      </c>
      <c r="AR31" s="24">
        <v>14.77</v>
      </c>
      <c r="AS31" s="24"/>
      <c r="AT31" s="24">
        <f t="shared" si="4"/>
        <v>358</v>
      </c>
      <c r="AU31" s="24">
        <f t="shared" si="5"/>
        <v>110.76</v>
      </c>
      <c r="AV31" s="23">
        <f t="shared" si="6"/>
        <v>2366.4500000000003</v>
      </c>
      <c r="AW31" s="23">
        <v>369</v>
      </c>
      <c r="AX31" s="23">
        <f t="shared" si="7"/>
        <v>21808.93</v>
      </c>
      <c r="AY31" s="26"/>
      <c r="AZ31" s="26">
        <v>-4.129999999999999</v>
      </c>
      <c r="BA31" s="65" t="s">
        <v>219</v>
      </c>
      <c r="BB31" s="23">
        <v>255</v>
      </c>
      <c r="BC31" s="27">
        <f t="shared" si="14"/>
        <v>22059.8</v>
      </c>
      <c r="BD31" s="23">
        <f t="shared" si="8"/>
        <v>1323.59</v>
      </c>
      <c r="BE31" s="23">
        <f t="shared" si="9"/>
        <v>23383.39</v>
      </c>
      <c r="BF31" s="67">
        <f t="shared" si="15"/>
        <v>364</v>
      </c>
      <c r="BG31" s="29"/>
    </row>
    <row r="32" spans="1:59" s="28" customFormat="1" ht="15" customHeight="1" x14ac:dyDescent="0.25">
      <c r="A32" s="17">
        <f t="shared" si="10"/>
        <v>30</v>
      </c>
      <c r="B32" s="18">
        <v>2502</v>
      </c>
      <c r="C32" s="17" t="s">
        <v>192</v>
      </c>
      <c r="D32" s="17" t="s">
        <v>152</v>
      </c>
      <c r="E32" s="19" t="s">
        <v>153</v>
      </c>
      <c r="F32" s="20">
        <v>45444</v>
      </c>
      <c r="G32" s="20">
        <v>45808</v>
      </c>
      <c r="H32" s="17"/>
      <c r="I32" s="21" t="s">
        <v>0</v>
      </c>
      <c r="J32" s="22">
        <v>800</v>
      </c>
      <c r="K32" s="22">
        <v>1462</v>
      </c>
      <c r="L32" s="22">
        <v>855.84</v>
      </c>
      <c r="M32" s="22"/>
      <c r="N32" s="22"/>
      <c r="O32" s="22"/>
      <c r="P32" s="22">
        <v>200</v>
      </c>
      <c r="Q32" s="22"/>
      <c r="R32" s="22">
        <v>630</v>
      </c>
      <c r="S32" s="34"/>
      <c r="T32" s="22"/>
      <c r="U32" s="34">
        <v>0</v>
      </c>
      <c r="V32" s="34"/>
      <c r="W32" s="22"/>
      <c r="X32" s="22">
        <v>732.48</v>
      </c>
      <c r="Y32" s="22"/>
      <c r="Z32" s="22">
        <v>0</v>
      </c>
      <c r="AA32" s="23">
        <f t="shared" si="0"/>
        <v>4680.32</v>
      </c>
      <c r="AB32" s="24">
        <v>7384</v>
      </c>
      <c r="AC32" s="24">
        <v>590.72</v>
      </c>
      <c r="AD32" s="24">
        <v>147.68</v>
      </c>
      <c r="AE32" s="24">
        <v>36.92</v>
      </c>
      <c r="AF32" s="24">
        <v>5432</v>
      </c>
      <c r="AG32" s="24">
        <f t="shared" si="11"/>
        <v>380</v>
      </c>
      <c r="AH32" s="23">
        <f t="shared" si="1"/>
        <v>1155.3200000000002</v>
      </c>
      <c r="AI32" s="25"/>
      <c r="AJ32" s="25"/>
      <c r="AK32" s="25"/>
      <c r="AL32" s="23">
        <f t="shared" si="2"/>
        <v>3524.9999999999995</v>
      </c>
      <c r="AM32" s="24">
        <v>7384</v>
      </c>
      <c r="AN32" s="24">
        <v>5432</v>
      </c>
      <c r="AO32" s="24">
        <f t="shared" si="12"/>
        <v>1181.44</v>
      </c>
      <c r="AP32" s="24">
        <f t="shared" si="13"/>
        <v>664.56</v>
      </c>
      <c r="AQ32" s="24">
        <f t="shared" si="3"/>
        <v>36.92</v>
      </c>
      <c r="AR32" s="24">
        <v>14.77</v>
      </c>
      <c r="AS32" s="24"/>
      <c r="AT32" s="24">
        <f t="shared" si="4"/>
        <v>380</v>
      </c>
      <c r="AU32" s="24">
        <f t="shared" si="5"/>
        <v>110.76</v>
      </c>
      <c r="AV32" s="23">
        <f t="shared" si="6"/>
        <v>2388.4500000000003</v>
      </c>
      <c r="AW32" s="23">
        <v>81</v>
      </c>
      <c r="AX32" s="23">
        <f t="shared" si="7"/>
        <v>7149.77</v>
      </c>
      <c r="AY32" s="26">
        <f>5</f>
        <v>5</v>
      </c>
      <c r="AZ32" s="26">
        <v>-4.129999999999999</v>
      </c>
      <c r="BA32" s="65" t="s">
        <v>221</v>
      </c>
      <c r="BB32" s="23">
        <v>255</v>
      </c>
      <c r="BC32" s="27">
        <f t="shared" si="14"/>
        <v>7405.64</v>
      </c>
      <c r="BD32" s="23">
        <f t="shared" si="8"/>
        <v>444.34</v>
      </c>
      <c r="BE32" s="23">
        <f t="shared" si="9"/>
        <v>7849.98</v>
      </c>
      <c r="BF32" s="67">
        <f t="shared" si="15"/>
        <v>76</v>
      </c>
      <c r="BG32" s="29"/>
    </row>
    <row r="33" spans="1:59" s="28" customFormat="1" ht="15" customHeight="1" x14ac:dyDescent="0.25">
      <c r="A33" s="17">
        <f t="shared" si="10"/>
        <v>31</v>
      </c>
      <c r="B33" s="18">
        <v>2502</v>
      </c>
      <c r="C33" s="17" t="s">
        <v>193</v>
      </c>
      <c r="D33" s="17" t="s">
        <v>154</v>
      </c>
      <c r="E33" s="19" t="s">
        <v>155</v>
      </c>
      <c r="F33" s="20">
        <v>45444</v>
      </c>
      <c r="G33" s="20">
        <v>45808</v>
      </c>
      <c r="H33" s="17"/>
      <c r="I33" s="21" t="s">
        <v>0</v>
      </c>
      <c r="J33" s="22">
        <v>900</v>
      </c>
      <c r="K33" s="22">
        <v>2084.25</v>
      </c>
      <c r="L33" s="22">
        <v>1180.4000000000001</v>
      </c>
      <c r="M33" s="22"/>
      <c r="N33" s="22"/>
      <c r="O33" s="22"/>
      <c r="P33" s="22">
        <v>200</v>
      </c>
      <c r="Q33" s="22"/>
      <c r="R33" s="22">
        <v>630</v>
      </c>
      <c r="S33" s="34"/>
      <c r="T33" s="22"/>
      <c r="U33" s="34">
        <v>0</v>
      </c>
      <c r="V33" s="34"/>
      <c r="W33" s="22"/>
      <c r="X33" s="22" t="s">
        <v>228</v>
      </c>
      <c r="Y33" s="22"/>
      <c r="Z33" s="22">
        <v>0</v>
      </c>
      <c r="AA33" s="23">
        <f t="shared" si="0"/>
        <v>4994.6499999999996</v>
      </c>
      <c r="AB33" s="24">
        <v>7606</v>
      </c>
      <c r="AC33" s="24">
        <v>608.48</v>
      </c>
      <c r="AD33" s="24">
        <v>152.12</v>
      </c>
      <c r="AE33" s="24">
        <v>38.03</v>
      </c>
      <c r="AF33" s="24">
        <v>7606</v>
      </c>
      <c r="AG33" s="24">
        <f t="shared" si="11"/>
        <v>532</v>
      </c>
      <c r="AH33" s="23">
        <f t="shared" si="1"/>
        <v>1330.63</v>
      </c>
      <c r="AI33" s="25"/>
      <c r="AJ33" s="25"/>
      <c r="AK33" s="25"/>
      <c r="AL33" s="23">
        <f t="shared" si="2"/>
        <v>3664.0199999999995</v>
      </c>
      <c r="AM33" s="24">
        <v>7606</v>
      </c>
      <c r="AN33" s="24">
        <v>7606</v>
      </c>
      <c r="AO33" s="24">
        <f t="shared" si="12"/>
        <v>1216.96</v>
      </c>
      <c r="AP33" s="24">
        <f t="shared" si="13"/>
        <v>684.54</v>
      </c>
      <c r="AQ33" s="24">
        <f t="shared" si="3"/>
        <v>38.03</v>
      </c>
      <c r="AR33" s="24">
        <v>15.21</v>
      </c>
      <c r="AS33" s="24"/>
      <c r="AT33" s="24">
        <f t="shared" si="4"/>
        <v>532</v>
      </c>
      <c r="AU33" s="24">
        <f t="shared" si="5"/>
        <v>114.09</v>
      </c>
      <c r="AV33" s="23">
        <f t="shared" si="6"/>
        <v>2600.83</v>
      </c>
      <c r="AW33" s="23">
        <v>87</v>
      </c>
      <c r="AX33" s="23">
        <f t="shared" si="7"/>
        <v>7682.48</v>
      </c>
      <c r="AY33" s="26"/>
      <c r="AZ33" s="26">
        <v>-4.259999999999998</v>
      </c>
      <c r="BA33" s="65" t="s">
        <v>219</v>
      </c>
      <c r="BB33" s="23">
        <v>255</v>
      </c>
      <c r="BC33" s="27">
        <f t="shared" si="14"/>
        <v>7933.22</v>
      </c>
      <c r="BD33" s="23">
        <f t="shared" si="8"/>
        <v>475.99</v>
      </c>
      <c r="BE33" s="23">
        <f t="shared" si="9"/>
        <v>8409.2099999999991</v>
      </c>
      <c r="BF33" s="67">
        <f t="shared" si="15"/>
        <v>82</v>
      </c>
      <c r="BG33" s="29"/>
    </row>
    <row r="34" spans="1:59" s="28" customFormat="1" ht="15" customHeight="1" x14ac:dyDescent="0.25">
      <c r="A34" s="17">
        <f t="shared" si="10"/>
        <v>32</v>
      </c>
      <c r="B34" s="18">
        <v>2502</v>
      </c>
      <c r="C34" s="17" t="s">
        <v>194</v>
      </c>
      <c r="D34" s="17" t="s">
        <v>156</v>
      </c>
      <c r="E34" s="19" t="s">
        <v>157</v>
      </c>
      <c r="F34" s="20">
        <v>45444</v>
      </c>
      <c r="G34" s="20">
        <v>45808</v>
      </c>
      <c r="H34" s="17"/>
      <c r="I34" s="21" t="s">
        <v>0</v>
      </c>
      <c r="J34" s="22">
        <v>1030</v>
      </c>
      <c r="K34" s="22">
        <v>1216</v>
      </c>
      <c r="L34" s="22">
        <v>1407.52</v>
      </c>
      <c r="M34" s="22"/>
      <c r="N34" s="22"/>
      <c r="O34" s="22"/>
      <c r="P34" s="22">
        <v>200</v>
      </c>
      <c r="Q34" s="22"/>
      <c r="R34" s="22">
        <v>630</v>
      </c>
      <c r="S34" s="34"/>
      <c r="T34" s="22"/>
      <c r="U34" s="34">
        <v>0</v>
      </c>
      <c r="V34" s="34"/>
      <c r="W34" s="22"/>
      <c r="X34" s="22">
        <v>394.80000000000018</v>
      </c>
      <c r="Y34" s="22"/>
      <c r="Z34" s="22">
        <v>-200</v>
      </c>
      <c r="AA34" s="23">
        <f t="shared" si="0"/>
        <v>4678.3200000000006</v>
      </c>
      <c r="AB34" s="24">
        <v>7384</v>
      </c>
      <c r="AC34" s="24">
        <v>590.72</v>
      </c>
      <c r="AD34" s="24">
        <v>147.68</v>
      </c>
      <c r="AE34" s="24">
        <v>36.92</v>
      </c>
      <c r="AF34" s="24">
        <v>5402</v>
      </c>
      <c r="AG34" s="24">
        <f t="shared" si="11"/>
        <v>378</v>
      </c>
      <c r="AH34" s="23">
        <f t="shared" si="1"/>
        <v>1153.3200000000002</v>
      </c>
      <c r="AI34" s="25"/>
      <c r="AJ34" s="25"/>
      <c r="AK34" s="25"/>
      <c r="AL34" s="23">
        <f t="shared" si="2"/>
        <v>3525.0000000000005</v>
      </c>
      <c r="AM34" s="24">
        <v>7384</v>
      </c>
      <c r="AN34" s="24">
        <v>5402</v>
      </c>
      <c r="AO34" s="24">
        <f t="shared" si="12"/>
        <v>1181.44</v>
      </c>
      <c r="AP34" s="24">
        <f t="shared" si="13"/>
        <v>664.56</v>
      </c>
      <c r="AQ34" s="24">
        <f t="shared" si="3"/>
        <v>36.92</v>
      </c>
      <c r="AR34" s="24">
        <v>14.77</v>
      </c>
      <c r="AS34" s="24"/>
      <c r="AT34" s="24">
        <f t="shared" si="4"/>
        <v>378</v>
      </c>
      <c r="AU34" s="24">
        <f t="shared" si="5"/>
        <v>110.76</v>
      </c>
      <c r="AV34" s="23">
        <f t="shared" si="6"/>
        <v>2386.4500000000003</v>
      </c>
      <c r="AW34" s="23">
        <v>81</v>
      </c>
      <c r="AX34" s="23">
        <f t="shared" si="7"/>
        <v>7145.77</v>
      </c>
      <c r="AY34" s="26"/>
      <c r="AZ34" s="26">
        <v>-4.129999999999999</v>
      </c>
      <c r="BA34" s="65" t="s">
        <v>219</v>
      </c>
      <c r="BB34" s="23">
        <v>255</v>
      </c>
      <c r="BC34" s="27">
        <f t="shared" si="14"/>
        <v>7396.64</v>
      </c>
      <c r="BD34" s="23">
        <f t="shared" si="8"/>
        <v>443.8</v>
      </c>
      <c r="BE34" s="23">
        <f t="shared" si="9"/>
        <v>7840.44</v>
      </c>
      <c r="BF34" s="67">
        <f t="shared" si="15"/>
        <v>76</v>
      </c>
      <c r="BG34" s="29"/>
    </row>
    <row r="35" spans="1:59" s="28" customFormat="1" ht="15" customHeight="1" x14ac:dyDescent="0.25">
      <c r="A35" s="17">
        <f t="shared" si="10"/>
        <v>33</v>
      </c>
      <c r="B35" s="18">
        <v>2502</v>
      </c>
      <c r="C35" s="17" t="s">
        <v>195</v>
      </c>
      <c r="D35" s="17" t="s">
        <v>158</v>
      </c>
      <c r="E35" s="19" t="s">
        <v>159</v>
      </c>
      <c r="F35" s="20">
        <v>45444</v>
      </c>
      <c r="G35" s="20">
        <v>45808</v>
      </c>
      <c r="H35" s="17"/>
      <c r="I35" s="21" t="s">
        <v>0</v>
      </c>
      <c r="J35" s="22">
        <v>1030</v>
      </c>
      <c r="K35" s="22">
        <v>10020</v>
      </c>
      <c r="L35" s="22">
        <v>1245.04</v>
      </c>
      <c r="M35" s="22"/>
      <c r="N35" s="22"/>
      <c r="O35" s="22"/>
      <c r="P35" s="22">
        <v>200</v>
      </c>
      <c r="Q35" s="22"/>
      <c r="R35" s="22">
        <v>630</v>
      </c>
      <c r="S35" s="34"/>
      <c r="T35" s="22"/>
      <c r="U35" s="34">
        <v>742</v>
      </c>
      <c r="V35" s="34"/>
      <c r="W35" s="22"/>
      <c r="X35" s="22" t="s">
        <v>228</v>
      </c>
      <c r="Y35" s="22"/>
      <c r="Z35" s="22">
        <v>-500</v>
      </c>
      <c r="AA35" s="23">
        <f t="shared" si="0"/>
        <v>13367.04</v>
      </c>
      <c r="AB35" s="24">
        <v>10751</v>
      </c>
      <c r="AC35" s="24">
        <v>860.08</v>
      </c>
      <c r="AD35" s="24">
        <v>215.02</v>
      </c>
      <c r="AE35" s="24">
        <v>53.76</v>
      </c>
      <c r="AF35" s="24">
        <v>10751</v>
      </c>
      <c r="AG35" s="24">
        <f t="shared" si="11"/>
        <v>753</v>
      </c>
      <c r="AH35" s="23">
        <f t="shared" si="1"/>
        <v>1881.8600000000001</v>
      </c>
      <c r="AI35" s="25"/>
      <c r="AJ35" s="25"/>
      <c r="AK35" s="25"/>
      <c r="AL35" s="23">
        <f t="shared" si="2"/>
        <v>11485.18</v>
      </c>
      <c r="AM35" s="24">
        <v>10751</v>
      </c>
      <c r="AN35" s="24">
        <v>10751</v>
      </c>
      <c r="AO35" s="24">
        <f t="shared" si="12"/>
        <v>1720.16</v>
      </c>
      <c r="AP35" s="24">
        <v>967.6</v>
      </c>
      <c r="AQ35" s="24">
        <f t="shared" si="3"/>
        <v>53.76</v>
      </c>
      <c r="AR35" s="24">
        <v>21.5</v>
      </c>
      <c r="AS35" s="24"/>
      <c r="AT35" s="24">
        <f t="shared" si="4"/>
        <v>753</v>
      </c>
      <c r="AU35" s="24">
        <f t="shared" si="5"/>
        <v>161.27000000000001</v>
      </c>
      <c r="AV35" s="23">
        <f t="shared" si="6"/>
        <v>3677.2900000000004</v>
      </c>
      <c r="AW35" s="23">
        <v>255</v>
      </c>
      <c r="AX35" s="23">
        <f t="shared" si="7"/>
        <v>17299.330000000002</v>
      </c>
      <c r="AY35" s="26"/>
      <c r="AZ35" s="26">
        <v>-6.02</v>
      </c>
      <c r="BA35" s="65" t="s">
        <v>219</v>
      </c>
      <c r="BB35" s="23">
        <v>255</v>
      </c>
      <c r="BC35" s="27">
        <f t="shared" si="14"/>
        <v>17548.310000000001</v>
      </c>
      <c r="BD35" s="23">
        <f t="shared" si="8"/>
        <v>1052.9000000000001</v>
      </c>
      <c r="BE35" s="23">
        <f t="shared" si="9"/>
        <v>18601.21</v>
      </c>
      <c r="BF35" s="67">
        <f t="shared" si="15"/>
        <v>250</v>
      </c>
      <c r="BG35" s="29"/>
    </row>
    <row r="36" spans="1:59" s="28" customFormat="1" ht="15" customHeight="1" x14ac:dyDescent="0.25">
      <c r="A36" s="17">
        <f t="shared" si="10"/>
        <v>34</v>
      </c>
      <c r="B36" s="18">
        <v>2502</v>
      </c>
      <c r="C36" s="17" t="s">
        <v>196</v>
      </c>
      <c r="D36" s="17" t="s">
        <v>160</v>
      </c>
      <c r="E36" s="19" t="s">
        <v>161</v>
      </c>
      <c r="F36" s="20">
        <v>45444</v>
      </c>
      <c r="G36" s="20">
        <v>45808</v>
      </c>
      <c r="H36" s="17"/>
      <c r="I36" s="21" t="s">
        <v>0</v>
      </c>
      <c r="J36" s="22">
        <v>1030</v>
      </c>
      <c r="K36" s="22">
        <v>1216</v>
      </c>
      <c r="L36" s="22">
        <v>688</v>
      </c>
      <c r="M36" s="22"/>
      <c r="N36" s="22"/>
      <c r="O36" s="22"/>
      <c r="P36" s="22">
        <v>200</v>
      </c>
      <c r="Q36" s="22"/>
      <c r="R36" s="22">
        <v>630</v>
      </c>
      <c r="S36" s="34"/>
      <c r="T36" s="22"/>
      <c r="U36" s="34">
        <v>371</v>
      </c>
      <c r="V36" s="34"/>
      <c r="W36" s="22"/>
      <c r="X36" s="22">
        <v>905.32000000000016</v>
      </c>
      <c r="Y36" s="22"/>
      <c r="Z36" s="22">
        <v>-30</v>
      </c>
      <c r="AA36" s="23">
        <f t="shared" si="0"/>
        <v>5010.32</v>
      </c>
      <c r="AB36" s="24">
        <v>7384</v>
      </c>
      <c r="AC36" s="24">
        <v>590.72</v>
      </c>
      <c r="AD36" s="24">
        <v>147.68</v>
      </c>
      <c r="AE36" s="24">
        <v>36.92</v>
      </c>
      <c r="AF36" s="24">
        <v>4849</v>
      </c>
      <c r="AG36" s="24">
        <f t="shared" si="11"/>
        <v>339</v>
      </c>
      <c r="AH36" s="23">
        <f t="shared" si="1"/>
        <v>1114.3200000000002</v>
      </c>
      <c r="AI36" s="25"/>
      <c r="AJ36" s="25"/>
      <c r="AK36" s="25"/>
      <c r="AL36" s="23">
        <f t="shared" si="2"/>
        <v>3895.9999999999995</v>
      </c>
      <c r="AM36" s="24">
        <v>7384</v>
      </c>
      <c r="AN36" s="24">
        <v>4849</v>
      </c>
      <c r="AO36" s="24">
        <f t="shared" si="12"/>
        <v>1181.44</v>
      </c>
      <c r="AP36" s="24">
        <f t="shared" si="13"/>
        <v>664.56</v>
      </c>
      <c r="AQ36" s="24">
        <f t="shared" si="3"/>
        <v>36.92</v>
      </c>
      <c r="AR36" s="24">
        <v>14.77</v>
      </c>
      <c r="AS36" s="24"/>
      <c r="AT36" s="24">
        <f t="shared" si="4"/>
        <v>339</v>
      </c>
      <c r="AU36" s="24">
        <f t="shared" si="5"/>
        <v>110.76</v>
      </c>
      <c r="AV36" s="23">
        <f t="shared" si="6"/>
        <v>2347.4500000000003</v>
      </c>
      <c r="AW36" s="23">
        <v>88</v>
      </c>
      <c r="AX36" s="23">
        <f t="shared" si="7"/>
        <v>7445.77</v>
      </c>
      <c r="AY36" s="26"/>
      <c r="AZ36" s="26">
        <v>-4.129999999999999</v>
      </c>
      <c r="BA36" s="65" t="s">
        <v>219</v>
      </c>
      <c r="BB36" s="23">
        <v>255</v>
      </c>
      <c r="BC36" s="27">
        <f t="shared" si="14"/>
        <v>7696.64</v>
      </c>
      <c r="BD36" s="23">
        <f t="shared" si="8"/>
        <v>461.8</v>
      </c>
      <c r="BE36" s="23">
        <f t="shared" si="9"/>
        <v>8158.44</v>
      </c>
      <c r="BF36" s="67">
        <f t="shared" si="15"/>
        <v>83</v>
      </c>
      <c r="BG36" s="29"/>
    </row>
    <row r="37" spans="1:59" s="28" customFormat="1" ht="15" customHeight="1" x14ac:dyDescent="0.25">
      <c r="A37" s="17">
        <f t="shared" si="10"/>
        <v>35</v>
      </c>
      <c r="B37" s="18">
        <v>2502</v>
      </c>
      <c r="C37" s="17" t="s">
        <v>197</v>
      </c>
      <c r="D37" s="17" t="s">
        <v>162</v>
      </c>
      <c r="E37" s="19" t="s">
        <v>163</v>
      </c>
      <c r="F37" s="20">
        <v>45444</v>
      </c>
      <c r="G37" s="20">
        <v>45808</v>
      </c>
      <c r="H37" s="17"/>
      <c r="I37" s="21" t="s">
        <v>0</v>
      </c>
      <c r="J37" s="22">
        <v>1510</v>
      </c>
      <c r="K37" s="22">
        <v>4471.8</v>
      </c>
      <c r="L37" s="22">
        <v>3248.4</v>
      </c>
      <c r="M37" s="22"/>
      <c r="N37" s="22"/>
      <c r="O37" s="22"/>
      <c r="P37" s="22">
        <v>200</v>
      </c>
      <c r="Q37" s="22"/>
      <c r="R37" s="22">
        <v>630</v>
      </c>
      <c r="S37" s="34"/>
      <c r="T37" s="22"/>
      <c r="U37" s="34">
        <v>325</v>
      </c>
      <c r="V37" s="34"/>
      <c r="W37" s="22"/>
      <c r="X37" s="22" t="s">
        <v>228</v>
      </c>
      <c r="Y37" s="22"/>
      <c r="Z37" s="22">
        <v>0</v>
      </c>
      <c r="AA37" s="23">
        <f t="shared" si="0"/>
        <v>10385.200000000001</v>
      </c>
      <c r="AB37" s="24">
        <v>12662</v>
      </c>
      <c r="AC37" s="24">
        <v>1012.96</v>
      </c>
      <c r="AD37" s="24">
        <v>253.24</v>
      </c>
      <c r="AE37" s="24">
        <v>63.31</v>
      </c>
      <c r="AF37" s="24">
        <v>12662</v>
      </c>
      <c r="AG37" s="24">
        <f t="shared" si="11"/>
        <v>886</v>
      </c>
      <c r="AH37" s="23">
        <f t="shared" si="1"/>
        <v>2215.5100000000002</v>
      </c>
      <c r="AI37" s="25"/>
      <c r="AJ37" s="25"/>
      <c r="AK37" s="25"/>
      <c r="AL37" s="23">
        <f t="shared" si="2"/>
        <v>8169.6900000000005</v>
      </c>
      <c r="AM37" s="24">
        <v>12662</v>
      </c>
      <c r="AN37" s="24">
        <v>12662</v>
      </c>
      <c r="AO37" s="24">
        <f t="shared" si="12"/>
        <v>2025.92</v>
      </c>
      <c r="AP37" s="24">
        <f t="shared" si="13"/>
        <v>1139.58</v>
      </c>
      <c r="AQ37" s="24">
        <f t="shared" si="3"/>
        <v>63.31</v>
      </c>
      <c r="AR37" s="24">
        <v>25.32</v>
      </c>
      <c r="AS37" s="24"/>
      <c r="AT37" s="24">
        <f t="shared" si="4"/>
        <v>886</v>
      </c>
      <c r="AU37" s="24">
        <f t="shared" si="5"/>
        <v>189.93</v>
      </c>
      <c r="AV37" s="23">
        <f t="shared" si="6"/>
        <v>4330.0600000000004</v>
      </c>
      <c r="AW37" s="23">
        <v>195</v>
      </c>
      <c r="AX37" s="23">
        <f t="shared" si="7"/>
        <v>14910.260000000002</v>
      </c>
      <c r="AY37" s="26"/>
      <c r="AZ37" s="26">
        <v>-7.0899999999999963</v>
      </c>
      <c r="BA37" s="65" t="s">
        <v>219</v>
      </c>
      <c r="BB37" s="23">
        <v>255</v>
      </c>
      <c r="BC37" s="27">
        <f t="shared" si="14"/>
        <v>15158.17</v>
      </c>
      <c r="BD37" s="23">
        <f t="shared" si="8"/>
        <v>909.49</v>
      </c>
      <c r="BE37" s="23">
        <f t="shared" si="9"/>
        <v>16067.66</v>
      </c>
      <c r="BF37" s="67">
        <f t="shared" si="15"/>
        <v>190</v>
      </c>
      <c r="BG37" s="29"/>
    </row>
    <row r="38" spans="1:59" s="28" customFormat="1" ht="15" customHeight="1" x14ac:dyDescent="0.25">
      <c r="A38" s="17">
        <f t="shared" si="10"/>
        <v>36</v>
      </c>
      <c r="B38" s="18">
        <v>2502</v>
      </c>
      <c r="C38" s="17" t="s">
        <v>198</v>
      </c>
      <c r="D38" s="17" t="s">
        <v>164</v>
      </c>
      <c r="E38" s="19" t="s">
        <v>165</v>
      </c>
      <c r="F38" s="20">
        <v>45444</v>
      </c>
      <c r="G38" s="20">
        <v>45808</v>
      </c>
      <c r="H38" s="17"/>
      <c r="I38" s="21" t="s">
        <v>0</v>
      </c>
      <c r="J38" s="22">
        <v>1200</v>
      </c>
      <c r="K38" s="22">
        <v>2073</v>
      </c>
      <c r="L38" s="22">
        <v>864.8</v>
      </c>
      <c r="M38" s="22"/>
      <c r="N38" s="22"/>
      <c r="O38" s="22"/>
      <c r="P38" s="22">
        <v>200</v>
      </c>
      <c r="Q38" s="22"/>
      <c r="R38" s="22">
        <v>630</v>
      </c>
      <c r="S38" s="34"/>
      <c r="T38" s="22"/>
      <c r="U38" s="34">
        <v>0</v>
      </c>
      <c r="V38" s="34"/>
      <c r="W38" s="22"/>
      <c r="X38" s="22" t="s">
        <v>228</v>
      </c>
      <c r="Y38" s="22"/>
      <c r="Z38" s="22">
        <v>0</v>
      </c>
      <c r="AA38" s="23">
        <f t="shared" si="0"/>
        <v>4967.8</v>
      </c>
      <c r="AB38" s="24">
        <v>7384</v>
      </c>
      <c r="AC38" s="24">
        <v>590.72</v>
      </c>
      <c r="AD38" s="24">
        <v>147.68</v>
      </c>
      <c r="AE38" s="24">
        <v>36.92</v>
      </c>
      <c r="AF38" s="24">
        <v>2690</v>
      </c>
      <c r="AG38" s="24">
        <f t="shared" si="11"/>
        <v>188</v>
      </c>
      <c r="AH38" s="23">
        <f t="shared" si="1"/>
        <v>963.32</v>
      </c>
      <c r="AI38" s="25"/>
      <c r="AJ38" s="25"/>
      <c r="AK38" s="25"/>
      <c r="AL38" s="23">
        <f t="shared" si="2"/>
        <v>4004.48</v>
      </c>
      <c r="AM38" s="24">
        <v>7384</v>
      </c>
      <c r="AN38" s="24">
        <v>2690</v>
      </c>
      <c r="AO38" s="24">
        <f t="shared" si="12"/>
        <v>1181.44</v>
      </c>
      <c r="AP38" s="24">
        <f t="shared" si="13"/>
        <v>664.56</v>
      </c>
      <c r="AQ38" s="24">
        <f t="shared" si="3"/>
        <v>36.92</v>
      </c>
      <c r="AR38" s="24">
        <v>14.77</v>
      </c>
      <c r="AS38" s="24"/>
      <c r="AT38" s="24">
        <f t="shared" si="4"/>
        <v>188</v>
      </c>
      <c r="AU38" s="24">
        <f t="shared" si="5"/>
        <v>110.76</v>
      </c>
      <c r="AV38" s="23">
        <f t="shared" si="6"/>
        <v>2196.4500000000003</v>
      </c>
      <c r="AW38" s="23">
        <v>87</v>
      </c>
      <c r="AX38" s="23">
        <f t="shared" si="7"/>
        <v>7251.25</v>
      </c>
      <c r="AY38" s="26"/>
      <c r="AZ38" s="26">
        <v>-4.129999999999999</v>
      </c>
      <c r="BA38" s="65" t="s">
        <v>219</v>
      </c>
      <c r="BB38" s="23">
        <v>255</v>
      </c>
      <c r="BC38" s="27">
        <f t="shared" si="14"/>
        <v>7502.12</v>
      </c>
      <c r="BD38" s="23">
        <f t="shared" si="8"/>
        <v>450.13</v>
      </c>
      <c r="BE38" s="23">
        <f t="shared" si="9"/>
        <v>7952.25</v>
      </c>
      <c r="BF38" s="67">
        <f t="shared" si="15"/>
        <v>82</v>
      </c>
      <c r="BG38" s="29"/>
    </row>
    <row r="39" spans="1:59" s="28" customFormat="1" ht="15" customHeight="1" x14ac:dyDescent="0.25">
      <c r="A39" s="17">
        <f t="shared" si="10"/>
        <v>37</v>
      </c>
      <c r="B39" s="18">
        <v>2502</v>
      </c>
      <c r="C39" s="17" t="s">
        <v>199</v>
      </c>
      <c r="D39" s="17" t="s">
        <v>166</v>
      </c>
      <c r="E39" s="19" t="s">
        <v>167</v>
      </c>
      <c r="F39" s="20">
        <v>45444</v>
      </c>
      <c r="G39" s="20">
        <v>45808</v>
      </c>
      <c r="H39" s="17"/>
      <c r="I39" s="21" t="s">
        <v>0</v>
      </c>
      <c r="J39" s="22">
        <v>950</v>
      </c>
      <c r="K39" s="22">
        <v>1038.24</v>
      </c>
      <c r="L39" s="22">
        <v>407.2</v>
      </c>
      <c r="M39" s="22"/>
      <c r="N39" s="22"/>
      <c r="O39" s="22"/>
      <c r="P39" s="22">
        <v>200</v>
      </c>
      <c r="Q39" s="22"/>
      <c r="R39" s="22">
        <v>630</v>
      </c>
      <c r="S39" s="34"/>
      <c r="T39" s="22"/>
      <c r="U39" s="34">
        <v>0</v>
      </c>
      <c r="V39" s="34"/>
      <c r="W39" s="22"/>
      <c r="X39" s="22">
        <v>1432.88</v>
      </c>
      <c r="Y39" s="22"/>
      <c r="Z39" s="22">
        <v>0</v>
      </c>
      <c r="AA39" s="23">
        <f t="shared" si="0"/>
        <v>4658.32</v>
      </c>
      <c r="AB39" s="24">
        <v>7384</v>
      </c>
      <c r="AC39" s="24">
        <v>590.72</v>
      </c>
      <c r="AD39" s="24">
        <v>147.68</v>
      </c>
      <c r="AE39" s="24">
        <v>36.92</v>
      </c>
      <c r="AF39" s="24">
        <v>5121</v>
      </c>
      <c r="AG39" s="24">
        <f t="shared" si="11"/>
        <v>358</v>
      </c>
      <c r="AH39" s="23">
        <f t="shared" si="1"/>
        <v>1133.3200000000002</v>
      </c>
      <c r="AI39" s="25"/>
      <c r="AJ39" s="25"/>
      <c r="AK39" s="25"/>
      <c r="AL39" s="23">
        <f t="shared" si="2"/>
        <v>3524.9999999999995</v>
      </c>
      <c r="AM39" s="24">
        <v>7384</v>
      </c>
      <c r="AN39" s="24">
        <v>5121</v>
      </c>
      <c r="AO39" s="24">
        <f t="shared" si="12"/>
        <v>1181.44</v>
      </c>
      <c r="AP39" s="24">
        <f t="shared" si="13"/>
        <v>664.56</v>
      </c>
      <c r="AQ39" s="24">
        <f t="shared" si="3"/>
        <v>36.92</v>
      </c>
      <c r="AR39" s="24">
        <v>14.77</v>
      </c>
      <c r="AS39" s="24"/>
      <c r="AT39" s="24">
        <f t="shared" si="4"/>
        <v>358</v>
      </c>
      <c r="AU39" s="24">
        <f t="shared" si="5"/>
        <v>110.76</v>
      </c>
      <c r="AV39" s="23">
        <f t="shared" si="6"/>
        <v>2366.4500000000003</v>
      </c>
      <c r="AW39" s="23">
        <v>81</v>
      </c>
      <c r="AX39" s="23">
        <f t="shared" si="7"/>
        <v>7105.77</v>
      </c>
      <c r="AY39" s="26"/>
      <c r="AZ39" s="26">
        <v>-4.129999999999999</v>
      </c>
      <c r="BA39" s="65" t="s">
        <v>219</v>
      </c>
      <c r="BB39" s="23">
        <v>255</v>
      </c>
      <c r="BC39" s="27">
        <f t="shared" si="14"/>
        <v>7356.64</v>
      </c>
      <c r="BD39" s="23">
        <f t="shared" si="8"/>
        <v>441.4</v>
      </c>
      <c r="BE39" s="23">
        <f t="shared" si="9"/>
        <v>7798.04</v>
      </c>
      <c r="BF39" s="67">
        <f t="shared" si="15"/>
        <v>76</v>
      </c>
      <c r="BG39" s="29"/>
    </row>
    <row r="40" spans="1:59" s="28" customFormat="1" ht="15" customHeight="1" x14ac:dyDescent="0.25">
      <c r="A40" s="17">
        <f t="shared" si="10"/>
        <v>38</v>
      </c>
      <c r="B40" s="18">
        <v>2502</v>
      </c>
      <c r="C40" s="17" t="s">
        <v>206</v>
      </c>
      <c r="D40" s="17" t="s">
        <v>200</v>
      </c>
      <c r="E40" s="19" t="s">
        <v>201</v>
      </c>
      <c r="F40" s="20">
        <v>45474</v>
      </c>
      <c r="G40" s="20">
        <v>45838</v>
      </c>
      <c r="H40" s="17"/>
      <c r="I40" s="21" t="s">
        <v>0</v>
      </c>
      <c r="J40" s="22">
        <v>950</v>
      </c>
      <c r="K40" s="22">
        <v>1534.24</v>
      </c>
      <c r="L40" s="22">
        <v>1196.6400000000001</v>
      </c>
      <c r="M40" s="22"/>
      <c r="N40" s="22"/>
      <c r="O40" s="22"/>
      <c r="P40" s="22">
        <v>200</v>
      </c>
      <c r="Q40" s="22"/>
      <c r="R40" s="22">
        <v>630</v>
      </c>
      <c r="S40" s="34"/>
      <c r="T40" s="22"/>
      <c r="U40" s="34">
        <v>0</v>
      </c>
      <c r="V40" s="34"/>
      <c r="W40" s="22"/>
      <c r="X40" s="22" t="s">
        <v>228</v>
      </c>
      <c r="Y40" s="22"/>
      <c r="Z40" s="22">
        <v>0</v>
      </c>
      <c r="AA40" s="23">
        <f t="shared" si="0"/>
        <v>4510.88</v>
      </c>
      <c r="AB40" s="24">
        <v>7384</v>
      </c>
      <c r="AC40" s="24">
        <v>590.72</v>
      </c>
      <c r="AD40" s="24">
        <v>147.68</v>
      </c>
      <c r="AE40" s="24">
        <v>36.92</v>
      </c>
      <c r="AF40" s="24">
        <v>2690</v>
      </c>
      <c r="AG40" s="24">
        <f t="shared" si="11"/>
        <v>188</v>
      </c>
      <c r="AH40" s="23">
        <f t="shared" si="1"/>
        <v>963.32</v>
      </c>
      <c r="AI40" s="25"/>
      <c r="AJ40" s="25"/>
      <c r="AK40" s="25"/>
      <c r="AL40" s="23">
        <f t="shared" si="2"/>
        <v>3547.56</v>
      </c>
      <c r="AM40" s="24">
        <v>7384</v>
      </c>
      <c r="AN40" s="24">
        <v>2690</v>
      </c>
      <c r="AO40" s="24">
        <f t="shared" si="12"/>
        <v>1181.44</v>
      </c>
      <c r="AP40" s="24">
        <f t="shared" si="13"/>
        <v>664.56</v>
      </c>
      <c r="AQ40" s="24">
        <f t="shared" si="3"/>
        <v>36.92</v>
      </c>
      <c r="AR40" s="24">
        <v>14.77</v>
      </c>
      <c r="AS40" s="24"/>
      <c r="AT40" s="24">
        <f t="shared" si="4"/>
        <v>188</v>
      </c>
      <c r="AU40" s="24">
        <f t="shared" si="5"/>
        <v>110.76</v>
      </c>
      <c r="AV40" s="23">
        <f t="shared" si="6"/>
        <v>2196.4500000000003</v>
      </c>
      <c r="AW40" s="23">
        <v>78</v>
      </c>
      <c r="AX40" s="23">
        <f t="shared" si="7"/>
        <v>6785.33</v>
      </c>
      <c r="AY40" s="26"/>
      <c r="AZ40" s="26">
        <v>-4.129999999999999</v>
      </c>
      <c r="BA40" s="65" t="s">
        <v>219</v>
      </c>
      <c r="BB40" s="23">
        <v>255</v>
      </c>
      <c r="BC40" s="27">
        <f t="shared" si="14"/>
        <v>7036.2</v>
      </c>
      <c r="BD40" s="23">
        <f t="shared" si="8"/>
        <v>422.17</v>
      </c>
      <c r="BE40" s="23">
        <f t="shared" si="9"/>
        <v>7458.37</v>
      </c>
      <c r="BF40" s="67">
        <f t="shared" si="15"/>
        <v>73</v>
      </c>
      <c r="BG40" s="29"/>
    </row>
    <row r="41" spans="1:59" s="28" customFormat="1" ht="15" customHeight="1" x14ac:dyDescent="0.25">
      <c r="A41" s="17">
        <f t="shared" si="10"/>
        <v>39</v>
      </c>
      <c r="B41" s="18">
        <v>2502</v>
      </c>
      <c r="C41" s="17" t="s">
        <v>207</v>
      </c>
      <c r="D41" s="17" t="s">
        <v>202</v>
      </c>
      <c r="E41" s="19" t="s">
        <v>203</v>
      </c>
      <c r="F41" s="20">
        <v>45474</v>
      </c>
      <c r="G41" s="20">
        <v>45838</v>
      </c>
      <c r="H41" s="17"/>
      <c r="I41" s="21" t="s">
        <v>0</v>
      </c>
      <c r="J41" s="22">
        <v>950</v>
      </c>
      <c r="K41" s="22">
        <v>1105.2</v>
      </c>
      <c r="L41" s="22">
        <v>350.8</v>
      </c>
      <c r="M41" s="22"/>
      <c r="N41" s="22"/>
      <c r="O41" s="22"/>
      <c r="P41" s="22">
        <v>50</v>
      </c>
      <c r="Q41" s="22"/>
      <c r="R41" s="22">
        <v>630</v>
      </c>
      <c r="S41" s="34"/>
      <c r="T41" s="22"/>
      <c r="U41" s="34">
        <v>0</v>
      </c>
      <c r="V41" s="34"/>
      <c r="W41" s="22"/>
      <c r="X41" s="22">
        <v>1252.3200000000002</v>
      </c>
      <c r="Y41" s="22"/>
      <c r="Z41" s="22">
        <v>0</v>
      </c>
      <c r="AA41" s="23">
        <f t="shared" si="0"/>
        <v>4338.32</v>
      </c>
      <c r="AB41" s="24">
        <v>7384</v>
      </c>
      <c r="AC41" s="24">
        <v>590.72</v>
      </c>
      <c r="AD41" s="24">
        <v>147.68</v>
      </c>
      <c r="AE41" s="24">
        <v>36.92</v>
      </c>
      <c r="AF41" s="24">
        <v>2690</v>
      </c>
      <c r="AG41" s="24">
        <f t="shared" si="11"/>
        <v>188</v>
      </c>
      <c r="AH41" s="23">
        <f t="shared" si="1"/>
        <v>963.32</v>
      </c>
      <c r="AI41" s="25"/>
      <c r="AJ41" s="25"/>
      <c r="AK41" s="25"/>
      <c r="AL41" s="23">
        <f t="shared" si="2"/>
        <v>3374.9999999999995</v>
      </c>
      <c r="AM41" s="24">
        <v>7384</v>
      </c>
      <c r="AN41" s="24">
        <v>2690</v>
      </c>
      <c r="AO41" s="24">
        <f t="shared" si="12"/>
        <v>1181.44</v>
      </c>
      <c r="AP41" s="24">
        <f t="shared" si="13"/>
        <v>664.56</v>
      </c>
      <c r="AQ41" s="24">
        <f t="shared" si="3"/>
        <v>36.92</v>
      </c>
      <c r="AR41" s="24">
        <v>14.77</v>
      </c>
      <c r="AS41" s="24"/>
      <c r="AT41" s="24">
        <f t="shared" si="4"/>
        <v>188</v>
      </c>
      <c r="AU41" s="24">
        <f t="shared" si="5"/>
        <v>110.76</v>
      </c>
      <c r="AV41" s="23">
        <f t="shared" si="6"/>
        <v>2196.4500000000003</v>
      </c>
      <c r="AW41" s="23">
        <v>74</v>
      </c>
      <c r="AX41" s="23">
        <f t="shared" si="7"/>
        <v>6608.77</v>
      </c>
      <c r="AY41" s="26"/>
      <c r="AZ41" s="26">
        <v>-4.129999999999999</v>
      </c>
      <c r="BA41" s="65" t="s">
        <v>219</v>
      </c>
      <c r="BB41" s="23">
        <v>255</v>
      </c>
      <c r="BC41" s="27">
        <f t="shared" si="14"/>
        <v>6859.64</v>
      </c>
      <c r="BD41" s="23">
        <f t="shared" si="8"/>
        <v>411.58</v>
      </c>
      <c r="BE41" s="23">
        <f t="shared" si="9"/>
        <v>7271.22</v>
      </c>
      <c r="BF41" s="67">
        <f t="shared" si="15"/>
        <v>69</v>
      </c>
      <c r="BG41" s="29"/>
    </row>
    <row r="42" spans="1:59" s="28" customFormat="1" ht="15" customHeight="1" x14ac:dyDescent="0.25">
      <c r="A42" s="17">
        <f t="shared" si="10"/>
        <v>40</v>
      </c>
      <c r="B42" s="18">
        <v>2502</v>
      </c>
      <c r="C42" s="17" t="s">
        <v>208</v>
      </c>
      <c r="D42" s="17" t="s">
        <v>204</v>
      </c>
      <c r="E42" s="19" t="s">
        <v>205</v>
      </c>
      <c r="F42" s="20">
        <v>45474</v>
      </c>
      <c r="G42" s="20">
        <v>45838</v>
      </c>
      <c r="H42" s="17"/>
      <c r="I42" s="21" t="s">
        <v>0</v>
      </c>
      <c r="J42" s="22">
        <v>1030</v>
      </c>
      <c r="K42" s="22">
        <v>13382</v>
      </c>
      <c r="L42" s="22">
        <v>2814</v>
      </c>
      <c r="M42" s="22"/>
      <c r="N42" s="22"/>
      <c r="O42" s="22"/>
      <c r="P42" s="22">
        <v>200</v>
      </c>
      <c r="Q42" s="22"/>
      <c r="R42" s="22">
        <v>630</v>
      </c>
      <c r="S42" s="34"/>
      <c r="T42" s="22"/>
      <c r="U42" s="34">
        <v>371</v>
      </c>
      <c r="V42" s="34"/>
      <c r="W42" s="22"/>
      <c r="X42" s="22" t="s">
        <v>228</v>
      </c>
      <c r="Y42" s="22"/>
      <c r="Z42" s="22">
        <v>-30</v>
      </c>
      <c r="AA42" s="23">
        <f t="shared" si="0"/>
        <v>18397</v>
      </c>
      <c r="AB42" s="24">
        <v>8196</v>
      </c>
      <c r="AC42" s="24">
        <v>655.68</v>
      </c>
      <c r="AD42" s="24">
        <v>163.92</v>
      </c>
      <c r="AE42" s="24">
        <v>40.98</v>
      </c>
      <c r="AF42" s="24">
        <v>8196</v>
      </c>
      <c r="AG42" s="24">
        <f t="shared" si="11"/>
        <v>574</v>
      </c>
      <c r="AH42" s="23">
        <f t="shared" si="1"/>
        <v>1434.58</v>
      </c>
      <c r="AI42" s="25"/>
      <c r="AJ42" s="25"/>
      <c r="AK42" s="25"/>
      <c r="AL42" s="23">
        <f t="shared" si="2"/>
        <v>16962.419999999998</v>
      </c>
      <c r="AM42" s="24">
        <v>8196</v>
      </c>
      <c r="AN42" s="24">
        <v>8196</v>
      </c>
      <c r="AO42" s="24">
        <f t="shared" si="12"/>
        <v>1311.36</v>
      </c>
      <c r="AP42" s="24">
        <f t="shared" si="13"/>
        <v>737.64</v>
      </c>
      <c r="AQ42" s="24">
        <f t="shared" si="3"/>
        <v>40.98</v>
      </c>
      <c r="AR42" s="24">
        <v>16.39</v>
      </c>
      <c r="AS42" s="24"/>
      <c r="AT42" s="24">
        <f t="shared" si="4"/>
        <v>574</v>
      </c>
      <c r="AU42" s="24">
        <f t="shared" si="5"/>
        <v>122.94</v>
      </c>
      <c r="AV42" s="23">
        <f t="shared" si="6"/>
        <v>2803.31</v>
      </c>
      <c r="AW42" s="23">
        <v>355</v>
      </c>
      <c r="AX42" s="23">
        <f t="shared" si="7"/>
        <v>21555.31</v>
      </c>
      <c r="AY42" s="26"/>
      <c r="AZ42" s="26">
        <v>-4.59</v>
      </c>
      <c r="BA42" s="65" t="s">
        <v>226</v>
      </c>
      <c r="BB42" s="23">
        <v>255</v>
      </c>
      <c r="BC42" s="27">
        <f t="shared" si="14"/>
        <v>21805.72</v>
      </c>
      <c r="BD42" s="23">
        <f t="shared" si="8"/>
        <v>1308.3399999999999</v>
      </c>
      <c r="BE42" s="23">
        <f t="shared" si="9"/>
        <v>23114.06</v>
      </c>
      <c r="BF42" s="67">
        <f t="shared" si="15"/>
        <v>350</v>
      </c>
      <c r="BG42" s="29"/>
    </row>
    <row r="43" spans="1:59" s="28" customFormat="1" ht="15" customHeight="1" x14ac:dyDescent="0.25">
      <c r="A43" s="17">
        <f t="shared" si="10"/>
        <v>41</v>
      </c>
      <c r="B43" s="18">
        <v>2502</v>
      </c>
      <c r="C43" s="17" t="s">
        <v>172</v>
      </c>
      <c r="D43" s="46" t="s">
        <v>113</v>
      </c>
      <c r="E43" s="19" t="s">
        <v>214</v>
      </c>
      <c r="F43" s="20">
        <v>45444</v>
      </c>
      <c r="G43" s="20">
        <v>45808</v>
      </c>
      <c r="H43" s="20">
        <v>45677</v>
      </c>
      <c r="I43" s="21" t="s">
        <v>0</v>
      </c>
      <c r="J43" s="22">
        <v>0</v>
      </c>
      <c r="K43" s="22">
        <v>840</v>
      </c>
      <c r="L43" s="22">
        <v>134</v>
      </c>
      <c r="M43" s="22"/>
      <c r="N43" s="22"/>
      <c r="O43" s="22"/>
      <c r="P43" s="22">
        <v>0</v>
      </c>
      <c r="Q43" s="22"/>
      <c r="R43" s="22">
        <v>0</v>
      </c>
      <c r="S43" s="34"/>
      <c r="T43" s="22"/>
      <c r="U43" s="34">
        <v>0</v>
      </c>
      <c r="V43" s="34"/>
      <c r="W43" s="22"/>
      <c r="X43" s="22">
        <v>0</v>
      </c>
      <c r="Y43" s="22"/>
      <c r="Z43" s="22">
        <v>0</v>
      </c>
      <c r="AA43" s="23">
        <f t="shared" si="0"/>
        <v>974</v>
      </c>
      <c r="AB43" s="24"/>
      <c r="AC43" s="24"/>
      <c r="AD43" s="24"/>
      <c r="AE43" s="24"/>
      <c r="AF43" s="24"/>
      <c r="AG43" s="24"/>
      <c r="AH43" s="23"/>
      <c r="AI43" s="25"/>
      <c r="AJ43" s="25"/>
      <c r="AK43" s="25"/>
      <c r="AL43" s="23">
        <f t="shared" si="2"/>
        <v>974</v>
      </c>
      <c r="AM43" s="24"/>
      <c r="AN43" s="24"/>
      <c r="AO43" s="24"/>
      <c r="AP43" s="24"/>
      <c r="AQ43" s="24"/>
      <c r="AR43" s="24"/>
      <c r="AS43" s="24"/>
      <c r="AT43" s="24"/>
      <c r="AU43" s="24"/>
      <c r="AV43" s="23">
        <f t="shared" ref="AV43" si="16">SUM(AO43:AU43)</f>
        <v>0</v>
      </c>
      <c r="AW43" s="23">
        <v>19</v>
      </c>
      <c r="AX43" s="23">
        <f t="shared" si="7"/>
        <v>993</v>
      </c>
      <c r="AY43" s="26">
        <f>5</f>
        <v>5</v>
      </c>
      <c r="AZ43" s="26">
        <v>-4.129999999999999</v>
      </c>
      <c r="BA43" s="65" t="s">
        <v>221</v>
      </c>
      <c r="BB43" s="23">
        <v>0</v>
      </c>
      <c r="BC43" s="27">
        <f t="shared" si="14"/>
        <v>993.87</v>
      </c>
      <c r="BD43" s="23">
        <f t="shared" ref="BD43" si="17">ROUND(BC43*6%,2)</f>
        <v>59.63</v>
      </c>
      <c r="BE43" s="23">
        <f t="shared" ref="BE43" si="18">ROUND(SUM(BC43:BD43),2)</f>
        <v>1053.5</v>
      </c>
      <c r="BF43" s="67">
        <f t="shared" si="15"/>
        <v>14</v>
      </c>
      <c r="BG43" s="29"/>
    </row>
    <row r="44" spans="1:59" s="28" customFormat="1" ht="15" customHeight="1" x14ac:dyDescent="0.25">
      <c r="A44" s="48"/>
      <c r="B44" s="36"/>
      <c r="C44" s="48"/>
      <c r="D44" s="42"/>
      <c r="E44" s="49"/>
      <c r="F44" s="37"/>
      <c r="G44" s="37"/>
      <c r="H44" s="37"/>
      <c r="I44" s="38"/>
      <c r="J44" s="39"/>
      <c r="K44" s="39"/>
      <c r="L44" s="39"/>
      <c r="M44" s="39"/>
      <c r="N44" s="39"/>
      <c r="O44" s="39"/>
      <c r="P44" s="39"/>
      <c r="Q44" s="39"/>
      <c r="R44" s="39"/>
      <c r="S44" s="40"/>
      <c r="T44" s="39"/>
      <c r="U44" s="40"/>
      <c r="V44" s="40"/>
      <c r="W44" s="39"/>
      <c r="X44" s="39"/>
      <c r="Y44" s="39"/>
      <c r="Z44" s="39"/>
      <c r="AA44" s="50"/>
      <c r="AB44" s="41"/>
      <c r="AC44" s="41"/>
      <c r="AD44" s="41"/>
      <c r="AE44" s="41"/>
      <c r="AF44" s="41"/>
      <c r="AG44" s="41"/>
      <c r="AH44" s="50"/>
      <c r="AI44" s="51"/>
      <c r="AJ44" s="51"/>
      <c r="AK44" s="51"/>
      <c r="AL44" s="44"/>
      <c r="AM44" s="41"/>
      <c r="AN44" s="41"/>
      <c r="AO44" s="41"/>
      <c r="AP44" s="41"/>
      <c r="AQ44" s="41"/>
      <c r="AR44" s="41"/>
      <c r="AS44" s="41"/>
      <c r="AT44" s="41"/>
      <c r="AU44" s="41"/>
      <c r="AV44" s="44"/>
      <c r="AW44" s="44"/>
      <c r="AX44" s="44"/>
      <c r="AY44" s="44"/>
      <c r="AZ44" s="44"/>
      <c r="BA44" s="47"/>
      <c r="BB44" s="44"/>
      <c r="BC44" s="44"/>
      <c r="BD44" s="44"/>
      <c r="BE44" s="44"/>
      <c r="BG44" s="29"/>
    </row>
    <row r="45" spans="1:59" x14ac:dyDescent="0.25">
      <c r="A45" s="30" t="s">
        <v>90</v>
      </c>
      <c r="AA45" s="31">
        <f>SUBTOTAL(9,AA3:AA43)</f>
        <v>279047.52000000008</v>
      </c>
      <c r="AB45" s="31"/>
      <c r="AH45" s="31">
        <f>SUBTOTAL(9,AH3:AH42)</f>
        <v>51887.709999999992</v>
      </c>
      <c r="AJ45" s="31"/>
      <c r="AL45" s="31">
        <f>SUBTOTAL(9,AL3:AL43)</f>
        <v>227159.81</v>
      </c>
      <c r="AR45" s="31"/>
      <c r="AV45" s="31">
        <f>SUBTOTAL(9,AV3:AV43)</f>
        <v>106462.91999999995</v>
      </c>
      <c r="AW45" s="31">
        <f>SUBTOTAL(9,AW3:AW43)</f>
        <v>5090</v>
      </c>
      <c r="AX45" s="31">
        <f>SUBTOTAL(9,AX3:AX43)</f>
        <v>390600.44000000006</v>
      </c>
      <c r="AY45" s="31">
        <f>SUBTOTAL(9,AY3:AY43)</f>
        <v>40</v>
      </c>
      <c r="AZ45" s="31">
        <f>SUBTOTAL(9,AZ3:AZ43)</f>
        <v>-182.8899999999999</v>
      </c>
      <c r="BA45" s="31"/>
      <c r="BB45" s="31">
        <f>SUBTOTAL(9,BB3:BB43)</f>
        <v>10200</v>
      </c>
      <c r="BC45" s="35">
        <f>SUBTOTAL(9,BC3:BC43)</f>
        <v>400657.55000000016</v>
      </c>
      <c r="BD45" s="31">
        <f>SUBTOTAL(9,BD3:BD43)</f>
        <v>24039.46000000001</v>
      </c>
      <c r="BE45" s="31">
        <f>SUBTOTAL(9,BE3:BE43)</f>
        <v>424697.00999999995</v>
      </c>
      <c r="BF45" s="31">
        <f>SUBTOTAL(9,BF3:BF43)</f>
        <v>4885</v>
      </c>
    </row>
    <row r="46" spans="1:59" x14ac:dyDescent="0.25">
      <c r="AY46" s="32"/>
      <c r="AZ46" s="32"/>
    </row>
    <row r="47" spans="1:59" s="52" customFormat="1" ht="25.8" x14ac:dyDescent="0.25">
      <c r="A47" s="53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Z47" s="55"/>
    </row>
    <row r="48" spans="1:59" s="52" customFormat="1" x14ac:dyDescent="0.25">
      <c r="A48" s="58"/>
      <c r="B48" s="59"/>
      <c r="C48" s="58"/>
      <c r="D48" s="58"/>
      <c r="E48" s="58"/>
      <c r="F48" s="58"/>
      <c r="G48" s="58"/>
      <c r="H48" s="58"/>
      <c r="I48" s="58"/>
      <c r="J48" s="60"/>
      <c r="K48" s="61"/>
    </row>
    <row r="49" spans="1:51" s="52" customFormat="1" x14ac:dyDescent="0.25">
      <c r="A49" s="62"/>
      <c r="B49" s="63"/>
      <c r="C49" s="62"/>
      <c r="D49" s="62"/>
      <c r="E49" s="62"/>
      <c r="F49" s="62"/>
      <c r="G49" s="62"/>
      <c r="H49" s="62"/>
      <c r="I49" s="62"/>
      <c r="J49" s="60"/>
      <c r="K49" s="64"/>
    </row>
    <row r="50" spans="1:51" s="38" customFormat="1" ht="15" customHeight="1" x14ac:dyDescent="0.25">
      <c r="A50" s="42"/>
      <c r="B50" s="36"/>
      <c r="C50" s="42"/>
      <c r="D50" s="42"/>
      <c r="E50" s="43"/>
      <c r="F50" s="37"/>
      <c r="G50" s="37"/>
      <c r="H50" s="42"/>
      <c r="J50" s="44"/>
      <c r="K50" s="47"/>
      <c r="M50" s="56"/>
    </row>
    <row r="51" spans="1:51" s="38" customFormat="1" ht="15" customHeight="1" x14ac:dyDescent="0.25">
      <c r="A51" s="42"/>
      <c r="B51" s="36"/>
      <c r="C51" s="42"/>
      <c r="D51" s="42"/>
      <c r="E51" s="43"/>
      <c r="F51" s="37"/>
      <c r="G51" s="37"/>
      <c r="H51" s="42"/>
      <c r="J51" s="44"/>
      <c r="K51" s="47"/>
      <c r="M51" s="56"/>
    </row>
    <row r="52" spans="1:51" s="38" customFormat="1" ht="15" customHeight="1" x14ac:dyDescent="0.25">
      <c r="A52" s="42"/>
      <c r="B52" s="36"/>
      <c r="C52" s="42"/>
      <c r="D52" s="42"/>
      <c r="E52" s="43"/>
      <c r="F52" s="37"/>
      <c r="G52" s="37"/>
      <c r="H52" s="37"/>
      <c r="J52" s="44"/>
      <c r="K52" s="47"/>
      <c r="M52" s="56"/>
    </row>
    <row r="53" spans="1:51" s="38" customFormat="1" ht="15" customHeight="1" x14ac:dyDescent="0.25">
      <c r="A53" s="42"/>
      <c r="B53" s="36"/>
      <c r="C53" s="42"/>
      <c r="D53" s="42"/>
      <c r="E53" s="43"/>
      <c r="F53" s="37"/>
      <c r="G53" s="37"/>
      <c r="H53" s="42"/>
      <c r="J53" s="44"/>
      <c r="K53" s="47"/>
      <c r="M53" s="56"/>
    </row>
    <row r="54" spans="1:51" s="38" customFormat="1" ht="15" customHeight="1" x14ac:dyDescent="0.25">
      <c r="A54" s="42"/>
      <c r="B54" s="36"/>
      <c r="C54" s="42"/>
      <c r="D54" s="42"/>
      <c r="E54" s="43"/>
      <c r="F54" s="37"/>
      <c r="G54" s="37"/>
      <c r="H54" s="42"/>
      <c r="J54" s="44"/>
      <c r="K54" s="47"/>
      <c r="M54" s="56"/>
    </row>
    <row r="55" spans="1:51" s="38" customFormat="1" ht="15" customHeight="1" x14ac:dyDescent="0.25">
      <c r="A55" s="42"/>
      <c r="B55" s="36"/>
      <c r="C55" s="42"/>
      <c r="D55" s="42"/>
      <c r="E55" s="43"/>
      <c r="F55" s="37"/>
      <c r="G55" s="37"/>
      <c r="H55" s="42"/>
      <c r="J55" s="44"/>
      <c r="K55" s="47"/>
      <c r="M55" s="56"/>
    </row>
    <row r="56" spans="1:51" s="38" customFormat="1" ht="15" customHeight="1" x14ac:dyDescent="0.25">
      <c r="A56" s="42"/>
      <c r="B56" s="36"/>
      <c r="C56" s="42"/>
      <c r="D56" s="42"/>
      <c r="E56" s="43"/>
      <c r="F56" s="37"/>
      <c r="G56" s="37"/>
      <c r="H56" s="42"/>
      <c r="J56" s="44"/>
      <c r="K56" s="47"/>
      <c r="M56" s="56"/>
    </row>
    <row r="57" spans="1:51" s="38" customFormat="1" ht="15" customHeight="1" x14ac:dyDescent="0.25">
      <c r="A57" s="42"/>
      <c r="B57" s="36"/>
      <c r="C57" s="42"/>
      <c r="D57" s="42"/>
      <c r="E57" s="43"/>
      <c r="F57" s="37"/>
      <c r="G57" s="37"/>
      <c r="H57" s="42"/>
      <c r="J57" s="44"/>
      <c r="K57" s="47"/>
      <c r="M57" s="56"/>
    </row>
    <row r="58" spans="1:51" s="38" customFormat="1" ht="15" customHeight="1" x14ac:dyDescent="0.25">
      <c r="A58" s="42"/>
      <c r="B58" s="36"/>
      <c r="C58" s="42"/>
      <c r="D58" s="42"/>
      <c r="E58" s="43"/>
      <c r="F58" s="37"/>
      <c r="G58" s="37"/>
      <c r="H58" s="42"/>
      <c r="I58" s="44"/>
      <c r="J58" s="44"/>
      <c r="K58" s="47"/>
      <c r="M58" s="56"/>
    </row>
    <row r="59" spans="1:51" s="52" customFormat="1" ht="25.8" x14ac:dyDescent="0.25">
      <c r="A59" s="53"/>
      <c r="AW59" s="57"/>
      <c r="AY59" s="55"/>
    </row>
    <row r="60" spans="1:51" s="38" customFormat="1" ht="15" customHeight="1" x14ac:dyDescent="0.25">
      <c r="A60" s="42"/>
      <c r="B60" s="36"/>
      <c r="C60" s="42"/>
      <c r="D60" s="42"/>
      <c r="E60" s="43"/>
      <c r="F60" s="37"/>
      <c r="G60" s="37"/>
      <c r="H60" s="42"/>
      <c r="J60" s="44"/>
      <c r="K60" s="47"/>
      <c r="L60" s="47"/>
      <c r="N60" s="56"/>
    </row>
    <row r="61" spans="1:51" s="38" customFormat="1" ht="15" customHeight="1" x14ac:dyDescent="0.25">
      <c r="A61" s="42"/>
      <c r="B61" s="36"/>
      <c r="C61" s="42"/>
      <c r="D61" s="42"/>
      <c r="E61" s="43"/>
      <c r="F61" s="37"/>
      <c r="G61" s="37"/>
      <c r="H61" s="42"/>
      <c r="J61" s="44"/>
      <c r="K61" s="47"/>
      <c r="L61" s="47"/>
      <c r="N61" s="56"/>
    </row>
    <row r="62" spans="1:51" s="38" customFormat="1" ht="15" customHeight="1" x14ac:dyDescent="0.25">
      <c r="A62" s="42"/>
      <c r="B62" s="36"/>
      <c r="C62" s="42"/>
      <c r="D62" s="42"/>
      <c r="E62" s="43"/>
      <c r="F62" s="37"/>
      <c r="G62" s="37"/>
      <c r="H62" s="42"/>
      <c r="J62" s="44"/>
      <c r="K62" s="47"/>
      <c r="L62" s="47"/>
      <c r="N62" s="56"/>
    </row>
    <row r="63" spans="1:51" s="38" customFormat="1" ht="15" customHeight="1" x14ac:dyDescent="0.25">
      <c r="A63" s="42"/>
      <c r="B63" s="36"/>
      <c r="C63" s="42"/>
      <c r="D63" s="42"/>
      <c r="E63" s="43"/>
      <c r="F63" s="37"/>
      <c r="G63" s="37"/>
      <c r="H63" s="42"/>
      <c r="J63" s="44"/>
      <c r="K63" s="47"/>
      <c r="L63" s="47"/>
      <c r="N63" s="56"/>
    </row>
    <row r="64" spans="1:51" s="38" customFormat="1" ht="15" customHeight="1" x14ac:dyDescent="0.25">
      <c r="A64" s="42"/>
      <c r="B64" s="36"/>
      <c r="C64" s="42"/>
      <c r="D64" s="42"/>
      <c r="E64" s="43"/>
      <c r="F64" s="37"/>
      <c r="G64" s="37"/>
      <c r="H64" s="42"/>
      <c r="J64" s="44"/>
      <c r="K64" s="47"/>
      <c r="L64" s="47"/>
      <c r="N64" s="56"/>
    </row>
    <row r="65" spans="1:14" s="38" customFormat="1" ht="15" customHeight="1" x14ac:dyDescent="0.25">
      <c r="A65" s="42"/>
      <c r="B65" s="36"/>
      <c r="C65" s="42"/>
      <c r="D65" s="42"/>
      <c r="E65" s="43"/>
      <c r="F65" s="37"/>
      <c r="G65" s="37"/>
      <c r="H65" s="42"/>
      <c r="J65" s="44"/>
      <c r="K65" s="47"/>
      <c r="L65" s="47"/>
      <c r="N65" s="56"/>
    </row>
    <row r="66" spans="1:14" s="38" customFormat="1" ht="15" customHeight="1" x14ac:dyDescent="0.25">
      <c r="A66" s="42"/>
      <c r="B66" s="36"/>
      <c r="C66" s="42"/>
      <c r="D66" s="42"/>
      <c r="E66" s="43"/>
      <c r="F66" s="37"/>
      <c r="G66" s="37"/>
      <c r="H66" s="42"/>
      <c r="J66" s="44"/>
      <c r="K66" s="47"/>
      <c r="L66" s="47"/>
      <c r="N66" s="56"/>
    </row>
    <row r="67" spans="1:14" s="38" customFormat="1" ht="15" customHeight="1" x14ac:dyDescent="0.25">
      <c r="A67" s="42"/>
      <c r="B67" s="36"/>
      <c r="C67" s="42"/>
      <c r="D67" s="42"/>
      <c r="E67" s="43"/>
      <c r="F67" s="37"/>
      <c r="G67" s="37"/>
      <c r="H67" s="42"/>
      <c r="J67" s="44"/>
      <c r="K67" s="47"/>
      <c r="L67" s="47"/>
      <c r="N67" s="56"/>
    </row>
    <row r="68" spans="1:14" s="38" customFormat="1" ht="15" customHeight="1" x14ac:dyDescent="0.25">
      <c r="A68" s="42"/>
      <c r="B68" s="36"/>
      <c r="C68" s="42"/>
      <c r="D68" s="42"/>
      <c r="E68" s="43"/>
      <c r="F68" s="37"/>
      <c r="G68" s="37"/>
      <c r="H68" s="42"/>
      <c r="J68" s="44"/>
      <c r="K68" s="47"/>
      <c r="L68" s="47"/>
      <c r="N68" s="56"/>
    </row>
    <row r="69" spans="1:14" s="38" customFormat="1" ht="15" customHeight="1" x14ac:dyDescent="0.25">
      <c r="A69" s="42"/>
      <c r="B69" s="36"/>
      <c r="C69" s="42"/>
      <c r="D69" s="42"/>
      <c r="E69" s="43"/>
      <c r="F69" s="37"/>
      <c r="G69" s="37"/>
      <c r="H69" s="37"/>
      <c r="J69" s="44"/>
      <c r="K69" s="47"/>
      <c r="L69" s="47"/>
      <c r="N69" s="56"/>
    </row>
    <row r="70" spans="1:14" s="38" customFormat="1" ht="15" customHeight="1" x14ac:dyDescent="0.25">
      <c r="A70" s="42"/>
      <c r="B70" s="36"/>
      <c r="C70" s="42"/>
      <c r="D70" s="42"/>
      <c r="E70" s="43"/>
      <c r="F70" s="37"/>
      <c r="G70" s="37"/>
      <c r="H70" s="42"/>
      <c r="J70" s="44"/>
      <c r="K70" s="47"/>
      <c r="L70" s="47"/>
      <c r="N70" s="56"/>
    </row>
    <row r="71" spans="1:14" s="38" customFormat="1" ht="15" customHeight="1" x14ac:dyDescent="0.25">
      <c r="A71" s="42"/>
      <c r="B71" s="36"/>
      <c r="C71" s="42"/>
      <c r="D71" s="42"/>
      <c r="E71" s="43"/>
      <c r="F71" s="37"/>
      <c r="G71" s="37"/>
      <c r="H71" s="42"/>
      <c r="J71" s="44"/>
      <c r="K71" s="47"/>
      <c r="L71" s="47"/>
      <c r="N71" s="56"/>
    </row>
    <row r="72" spans="1:14" s="38" customFormat="1" ht="15" customHeight="1" x14ac:dyDescent="0.25">
      <c r="A72" s="42"/>
      <c r="B72" s="36"/>
      <c r="C72" s="42"/>
      <c r="D72" s="42"/>
      <c r="E72" s="43"/>
      <c r="F72" s="37"/>
      <c r="G72" s="37"/>
      <c r="H72" s="42"/>
      <c r="J72" s="44"/>
      <c r="K72" s="47"/>
      <c r="L72" s="47"/>
      <c r="N72" s="56"/>
    </row>
    <row r="73" spans="1:14" s="38" customFormat="1" ht="15" customHeight="1" x14ac:dyDescent="0.25">
      <c r="A73" s="42"/>
      <c r="B73" s="36"/>
      <c r="C73" s="42"/>
      <c r="D73" s="42"/>
      <c r="E73" s="43"/>
      <c r="F73" s="37"/>
      <c r="G73" s="37"/>
      <c r="H73" s="42"/>
      <c r="J73" s="44"/>
      <c r="K73" s="47"/>
      <c r="L73" s="47"/>
      <c r="N73" s="56"/>
    </row>
    <row r="74" spans="1:14" s="38" customFormat="1" ht="15" customHeight="1" x14ac:dyDescent="0.25">
      <c r="A74" s="42"/>
      <c r="B74" s="36"/>
      <c r="C74" s="42"/>
      <c r="D74" s="42"/>
      <c r="E74" s="43"/>
      <c r="F74" s="37"/>
      <c r="G74" s="37"/>
      <c r="H74" s="42"/>
      <c r="J74" s="44"/>
      <c r="K74" s="47"/>
      <c r="L74" s="47"/>
      <c r="N74" s="56"/>
    </row>
    <row r="75" spans="1:14" s="38" customFormat="1" ht="15" customHeight="1" x14ac:dyDescent="0.25">
      <c r="A75" s="42"/>
      <c r="B75" s="36"/>
      <c r="C75" s="42"/>
      <c r="D75" s="42"/>
      <c r="E75" s="43"/>
      <c r="F75" s="37"/>
      <c r="G75" s="37"/>
      <c r="H75" s="42"/>
      <c r="J75" s="44"/>
      <c r="K75" s="47"/>
      <c r="L75" s="47"/>
      <c r="N75" s="56"/>
    </row>
    <row r="76" spans="1:14" s="38" customFormat="1" ht="15" customHeight="1" x14ac:dyDescent="0.25">
      <c r="A76" s="42"/>
      <c r="B76" s="36"/>
      <c r="C76" s="42"/>
      <c r="D76" s="42"/>
      <c r="E76" s="43"/>
      <c r="F76" s="37"/>
      <c r="G76" s="37"/>
      <c r="H76" s="42"/>
      <c r="J76" s="44"/>
      <c r="K76" s="47"/>
      <c r="L76" s="47"/>
      <c r="N76" s="56"/>
    </row>
    <row r="77" spans="1:14" s="38" customFormat="1" ht="15" customHeight="1" x14ac:dyDescent="0.25">
      <c r="A77" s="42"/>
      <c r="B77" s="36"/>
      <c r="C77" s="42"/>
      <c r="D77" s="42"/>
      <c r="E77" s="43"/>
      <c r="F77" s="37"/>
      <c r="G77" s="37"/>
      <c r="H77" s="42"/>
      <c r="J77" s="44"/>
      <c r="K77" s="47"/>
      <c r="L77" s="47"/>
      <c r="N77" s="56"/>
    </row>
    <row r="78" spans="1:14" s="38" customFormat="1" ht="15" customHeight="1" x14ac:dyDescent="0.25">
      <c r="A78" s="42"/>
      <c r="B78" s="36"/>
      <c r="C78" s="42"/>
      <c r="D78" s="42"/>
      <c r="E78" s="43"/>
      <c r="F78" s="37"/>
      <c r="G78" s="37"/>
      <c r="H78" s="42"/>
      <c r="J78" s="44"/>
      <c r="K78" s="47"/>
      <c r="L78" s="47"/>
      <c r="N78" s="56"/>
    </row>
    <row r="79" spans="1:14" s="38" customFormat="1" ht="15" customHeight="1" x14ac:dyDescent="0.25">
      <c r="A79" s="42"/>
      <c r="B79" s="36"/>
      <c r="C79" s="42"/>
      <c r="D79" s="42"/>
      <c r="E79" s="43"/>
      <c r="F79" s="37"/>
      <c r="G79" s="37"/>
      <c r="H79" s="42"/>
      <c r="J79" s="44"/>
      <c r="K79" s="47"/>
      <c r="L79" s="47"/>
      <c r="N79" s="56"/>
    </row>
    <row r="80" spans="1:14" s="38" customFormat="1" ht="15" customHeight="1" x14ac:dyDescent="0.25">
      <c r="A80" s="42"/>
      <c r="B80" s="36"/>
      <c r="C80" s="42"/>
      <c r="D80" s="42"/>
      <c r="E80" s="43"/>
      <c r="F80" s="37"/>
      <c r="G80" s="37"/>
      <c r="H80" s="42"/>
      <c r="J80" s="44"/>
      <c r="K80" s="47"/>
      <c r="L80" s="47"/>
      <c r="N80" s="56"/>
    </row>
    <row r="81" spans="1:14" s="38" customFormat="1" ht="15" customHeight="1" x14ac:dyDescent="0.25">
      <c r="A81" s="42"/>
      <c r="B81" s="36"/>
      <c r="C81" s="42"/>
      <c r="D81" s="42"/>
      <c r="E81" s="43"/>
      <c r="F81" s="37"/>
      <c r="G81" s="37"/>
      <c r="H81" s="42"/>
      <c r="J81" s="44"/>
      <c r="K81" s="47"/>
      <c r="L81" s="47"/>
      <c r="N81" s="56"/>
    </row>
    <row r="82" spans="1:14" s="38" customFormat="1" ht="15" customHeight="1" x14ac:dyDescent="0.25">
      <c r="A82" s="42"/>
      <c r="B82" s="36"/>
      <c r="C82" s="42"/>
      <c r="D82" s="42"/>
      <c r="E82" s="43"/>
      <c r="F82" s="37"/>
      <c r="G82" s="37"/>
      <c r="H82" s="42"/>
      <c r="J82" s="44"/>
      <c r="K82" s="47"/>
      <c r="L82" s="47"/>
      <c r="N82" s="56"/>
    </row>
    <row r="83" spans="1:14" s="38" customFormat="1" ht="15" customHeight="1" x14ac:dyDescent="0.25">
      <c r="A83" s="42"/>
      <c r="B83" s="36"/>
      <c r="C83" s="42"/>
      <c r="D83" s="42"/>
      <c r="E83" s="43"/>
      <c r="F83" s="37"/>
      <c r="G83" s="37"/>
      <c r="H83" s="42"/>
      <c r="J83" s="44"/>
      <c r="K83" s="47"/>
      <c r="L83" s="47"/>
      <c r="N83" s="56"/>
    </row>
    <row r="84" spans="1:14" s="38" customFormat="1" ht="15" customHeight="1" x14ac:dyDescent="0.25">
      <c r="A84" s="42"/>
      <c r="B84" s="36"/>
      <c r="C84" s="42"/>
      <c r="D84" s="42"/>
      <c r="E84" s="43"/>
      <c r="F84" s="37"/>
      <c r="G84" s="37"/>
      <c r="H84" s="42"/>
      <c r="J84" s="44"/>
      <c r="K84" s="47"/>
      <c r="L84" s="47"/>
      <c r="N84" s="56"/>
    </row>
    <row r="85" spans="1:14" s="38" customFormat="1" ht="15" customHeight="1" x14ac:dyDescent="0.25">
      <c r="A85" s="42"/>
      <c r="B85" s="36"/>
      <c r="C85" s="42"/>
      <c r="D85" s="42"/>
      <c r="E85" s="43"/>
      <c r="F85" s="37"/>
      <c r="G85" s="37"/>
      <c r="H85" s="42"/>
      <c r="J85" s="44"/>
      <c r="K85" s="47"/>
      <c r="L85" s="47"/>
      <c r="N85" s="56"/>
    </row>
    <row r="86" spans="1:14" s="38" customFormat="1" ht="15" customHeight="1" x14ac:dyDescent="0.25">
      <c r="A86" s="42"/>
      <c r="B86" s="36"/>
      <c r="C86" s="42"/>
      <c r="D86" s="42"/>
      <c r="E86" s="43"/>
      <c r="F86" s="37"/>
      <c r="G86" s="37"/>
      <c r="H86" s="42"/>
      <c r="J86" s="44"/>
      <c r="K86" s="47"/>
      <c r="L86" s="47"/>
      <c r="N86" s="56"/>
    </row>
    <row r="87" spans="1:14" s="38" customFormat="1" ht="15" customHeight="1" x14ac:dyDescent="0.25">
      <c r="A87" s="42"/>
      <c r="B87" s="36"/>
      <c r="C87" s="42"/>
      <c r="D87" s="42"/>
      <c r="E87" s="43"/>
      <c r="F87" s="37"/>
      <c r="G87" s="37"/>
      <c r="H87" s="42"/>
      <c r="J87" s="44"/>
      <c r="K87" s="47"/>
      <c r="L87" s="47"/>
      <c r="N87" s="56"/>
    </row>
    <row r="88" spans="1:14" s="38" customFormat="1" ht="15" customHeight="1" x14ac:dyDescent="0.25">
      <c r="A88" s="42"/>
      <c r="B88" s="36"/>
      <c r="C88" s="42"/>
      <c r="D88" s="42"/>
      <c r="E88" s="43"/>
      <c r="F88" s="37"/>
      <c r="G88" s="37"/>
      <c r="H88" s="42"/>
      <c r="J88" s="44"/>
      <c r="K88" s="47"/>
      <c r="L88" s="47"/>
      <c r="N88" s="56"/>
    </row>
    <row r="89" spans="1:14" s="38" customFormat="1" ht="15" customHeight="1" x14ac:dyDescent="0.25">
      <c r="A89" s="42"/>
      <c r="B89" s="36"/>
      <c r="C89" s="42"/>
      <c r="D89" s="42"/>
      <c r="E89" s="43"/>
      <c r="F89" s="37"/>
      <c r="G89" s="37"/>
      <c r="H89" s="42"/>
      <c r="J89" s="44"/>
      <c r="K89" s="47"/>
      <c r="L89" s="47"/>
      <c r="N89" s="56"/>
    </row>
    <row r="90" spans="1:14" s="38" customFormat="1" ht="15" customHeight="1" x14ac:dyDescent="0.25">
      <c r="A90" s="42"/>
      <c r="B90" s="36"/>
      <c r="C90" s="42"/>
      <c r="D90" s="42"/>
      <c r="E90" s="43"/>
      <c r="F90" s="37"/>
      <c r="G90" s="37"/>
      <c r="H90" s="42"/>
      <c r="J90" s="44"/>
      <c r="K90" s="47"/>
      <c r="L90" s="47"/>
      <c r="N90" s="56"/>
    </row>
    <row r="91" spans="1:14" s="38" customFormat="1" ht="15" customHeight="1" x14ac:dyDescent="0.25">
      <c r="A91" s="42"/>
      <c r="B91" s="36"/>
      <c r="C91" s="42"/>
      <c r="D91" s="42"/>
      <c r="E91" s="43"/>
      <c r="F91" s="37"/>
      <c r="G91" s="37"/>
      <c r="H91" s="42"/>
      <c r="J91" s="44"/>
      <c r="K91" s="47"/>
      <c r="L91" s="47"/>
      <c r="N91" s="56"/>
    </row>
    <row r="92" spans="1:14" s="38" customFormat="1" ht="15" customHeight="1" x14ac:dyDescent="0.25">
      <c r="A92" s="42"/>
      <c r="B92" s="36"/>
      <c r="C92" s="42"/>
      <c r="D92" s="42"/>
      <c r="E92" s="43"/>
      <c r="F92" s="37"/>
      <c r="G92" s="37"/>
      <c r="H92" s="42"/>
      <c r="J92" s="44"/>
      <c r="K92" s="47"/>
      <c r="L92" s="47"/>
      <c r="N92" s="56"/>
    </row>
    <row r="93" spans="1:14" s="38" customFormat="1" ht="15" customHeight="1" x14ac:dyDescent="0.25">
      <c r="A93" s="42"/>
      <c r="B93" s="36"/>
      <c r="C93" s="42"/>
      <c r="D93" s="42"/>
      <c r="E93" s="43"/>
      <c r="F93" s="37"/>
      <c r="G93" s="37"/>
      <c r="H93" s="42"/>
      <c r="J93" s="44"/>
      <c r="K93" s="47"/>
      <c r="L93" s="47"/>
      <c r="N93" s="56"/>
    </row>
    <row r="94" spans="1:14" s="38" customFormat="1" ht="15" customHeight="1" x14ac:dyDescent="0.25">
      <c r="A94" s="42"/>
      <c r="B94" s="36"/>
      <c r="C94" s="42"/>
      <c r="D94" s="42"/>
      <c r="E94" s="43"/>
      <c r="F94" s="37"/>
      <c r="G94" s="37"/>
      <c r="H94" s="42"/>
      <c r="J94" s="44"/>
      <c r="K94" s="47"/>
      <c r="L94" s="47"/>
      <c r="N94" s="56"/>
    </row>
    <row r="95" spans="1:14" s="38" customFormat="1" ht="15" customHeight="1" x14ac:dyDescent="0.25">
      <c r="A95" s="42"/>
      <c r="B95" s="36"/>
      <c r="C95" s="42"/>
      <c r="D95" s="42"/>
      <c r="E95" s="43"/>
      <c r="F95" s="37"/>
      <c r="G95" s="37"/>
      <c r="H95" s="42"/>
      <c r="J95" s="44"/>
      <c r="K95" s="47"/>
      <c r="L95" s="47"/>
      <c r="N95" s="56"/>
    </row>
    <row r="96" spans="1:14" s="38" customFormat="1" ht="15" customHeight="1" x14ac:dyDescent="0.25">
      <c r="A96" s="42"/>
      <c r="B96" s="36"/>
      <c r="C96" s="42"/>
      <c r="D96" s="42"/>
      <c r="E96" s="43"/>
      <c r="F96" s="37"/>
      <c r="G96" s="37"/>
      <c r="H96" s="42"/>
      <c r="J96" s="44"/>
      <c r="K96" s="47"/>
      <c r="L96" s="47"/>
      <c r="N96" s="56"/>
    </row>
    <row r="97" spans="1:49" s="38" customFormat="1" ht="15" customHeight="1" x14ac:dyDescent="0.25">
      <c r="A97" s="42"/>
      <c r="B97" s="36"/>
      <c r="C97" s="42"/>
      <c r="D97" s="42"/>
      <c r="E97" s="43"/>
      <c r="F97" s="37"/>
      <c r="G97" s="37"/>
      <c r="H97" s="42"/>
      <c r="J97" s="44"/>
      <c r="K97" s="47"/>
      <c r="L97" s="47"/>
      <c r="N97" s="56"/>
    </row>
    <row r="98" spans="1:49" s="38" customFormat="1" ht="15" customHeight="1" x14ac:dyDescent="0.25">
      <c r="A98" s="42"/>
      <c r="B98" s="36"/>
      <c r="C98" s="42"/>
      <c r="D98" s="42"/>
      <c r="E98" s="43"/>
      <c r="F98" s="37"/>
      <c r="G98" s="37"/>
      <c r="H98" s="42"/>
      <c r="J98" s="44"/>
      <c r="K98" s="47"/>
      <c r="L98" s="47"/>
      <c r="N98" s="56"/>
    </row>
    <row r="99" spans="1:49" s="38" customFormat="1" ht="15" customHeight="1" x14ac:dyDescent="0.25">
      <c r="A99" s="42"/>
      <c r="B99" s="36"/>
      <c r="C99" s="42"/>
      <c r="D99" s="42"/>
      <c r="E99" s="43"/>
      <c r="F99" s="37"/>
      <c r="G99" s="37"/>
      <c r="H99" s="42"/>
      <c r="J99" s="44"/>
      <c r="K99" s="47"/>
      <c r="L99" s="47"/>
      <c r="N99" s="56"/>
    </row>
    <row r="100" spans="1:49" s="52" customFormat="1" x14ac:dyDescent="0.25">
      <c r="I100" s="44"/>
      <c r="J100" s="44"/>
      <c r="AW100" s="57"/>
    </row>
  </sheetData>
  <autoFilter ref="A1:BG43" xr:uid="{07E1F6BD-8830-4C01-85BD-D5A7EBF213B1}"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</autoFilter>
  <mergeCells count="1">
    <mergeCell ref="M1:Z1"/>
  </mergeCells>
  <phoneticPr fontId="4" type="noConversion"/>
  <conditionalFormatting sqref="D1">
    <cfRule type="duplicateValues" dxfId="38" priority="52"/>
  </conditionalFormatting>
  <conditionalFormatting sqref="D1">
    <cfRule type="duplicateValues" dxfId="37" priority="53"/>
  </conditionalFormatting>
  <conditionalFormatting sqref="D1">
    <cfRule type="duplicateValues" dxfId="36" priority="54"/>
    <cfRule type="duplicateValues" dxfId="35" priority="55"/>
  </conditionalFormatting>
  <conditionalFormatting sqref="D1">
    <cfRule type="duplicateValues" dxfId="34" priority="56"/>
    <cfRule type="duplicateValues" dxfId="33" priority="57"/>
  </conditionalFormatting>
  <conditionalFormatting sqref="D2">
    <cfRule type="duplicateValues" dxfId="32" priority="49"/>
    <cfRule type="duplicateValues" dxfId="31" priority="50"/>
  </conditionalFormatting>
  <conditionalFormatting sqref="D2">
    <cfRule type="duplicateValues" dxfId="30" priority="51"/>
  </conditionalFormatting>
  <conditionalFormatting sqref="C1">
    <cfRule type="duplicateValues" dxfId="29" priority="43"/>
  </conditionalFormatting>
  <conditionalFormatting sqref="C1">
    <cfRule type="duplicateValues" dxfId="28" priority="44"/>
  </conditionalFormatting>
  <conditionalFormatting sqref="C1">
    <cfRule type="duplicateValues" dxfId="27" priority="45"/>
    <cfRule type="duplicateValues" dxfId="26" priority="46"/>
  </conditionalFormatting>
  <conditionalFormatting sqref="C1">
    <cfRule type="duplicateValues" dxfId="25" priority="47"/>
    <cfRule type="duplicateValues" dxfId="24" priority="48"/>
  </conditionalFormatting>
  <conditionalFormatting sqref="C2">
    <cfRule type="duplicateValues" dxfId="23" priority="40"/>
    <cfRule type="duplicateValues" dxfId="22" priority="41"/>
  </conditionalFormatting>
  <conditionalFormatting sqref="C2">
    <cfRule type="duplicateValues" dxfId="21" priority="42"/>
  </conditionalFormatting>
  <conditionalFormatting sqref="AM3:AM42 AB3:AB42">
    <cfRule type="cellIs" dxfId="20" priority="39" operator="lessThan">
      <formula>7384</formula>
    </cfRule>
  </conditionalFormatting>
  <conditionalFormatting sqref="D100:D1048576 D45:D46 D1:D42">
    <cfRule type="duplicateValues" dxfId="19" priority="38"/>
  </conditionalFormatting>
  <conditionalFormatting sqref="E48">
    <cfRule type="duplicateValues" dxfId="18" priority="18"/>
  </conditionalFormatting>
  <conditionalFormatting sqref="E48">
    <cfRule type="duplicateValues" dxfId="17" priority="19"/>
    <cfRule type="duplicateValues" dxfId="16" priority="20"/>
  </conditionalFormatting>
  <conditionalFormatting sqref="C48">
    <cfRule type="duplicateValues" dxfId="15" priority="12"/>
  </conditionalFormatting>
  <conditionalFormatting sqref="C48">
    <cfRule type="duplicateValues" dxfId="14" priority="13"/>
  </conditionalFormatting>
  <conditionalFormatting sqref="C48">
    <cfRule type="duplicateValues" dxfId="13" priority="14"/>
    <cfRule type="duplicateValues" dxfId="12" priority="15"/>
  </conditionalFormatting>
  <conditionalFormatting sqref="C48">
    <cfRule type="duplicateValues" dxfId="11" priority="16"/>
    <cfRule type="duplicateValues" dxfId="10" priority="17"/>
  </conditionalFormatting>
  <conditionalFormatting sqref="C49">
    <cfRule type="duplicateValues" dxfId="9" priority="9"/>
    <cfRule type="duplicateValues" dxfId="8" priority="10"/>
  </conditionalFormatting>
  <conditionalFormatting sqref="C49">
    <cfRule type="duplicateValues" dxfId="7" priority="11"/>
  </conditionalFormatting>
  <conditionalFormatting sqref="E49">
    <cfRule type="duplicateValues" dxfId="6" priority="21"/>
    <cfRule type="duplicateValues" dxfId="5" priority="22"/>
  </conditionalFormatting>
  <conditionalFormatting sqref="E49">
    <cfRule type="duplicateValues" dxfId="4" priority="23"/>
  </conditionalFormatting>
  <conditionalFormatting sqref="D50:D58">
    <cfRule type="duplicateValues" dxfId="3" priority="5"/>
  </conditionalFormatting>
  <conditionalFormatting sqref="D60:D99">
    <cfRule type="duplicateValues" dxfId="2" priority="3"/>
  </conditionalFormatting>
  <conditionalFormatting sqref="AB43:AB44 AM43:AM44">
    <cfRule type="cellIs" dxfId="1" priority="2" operator="lessThan">
      <formula>7384</formula>
    </cfRule>
  </conditionalFormatting>
  <conditionalFormatting sqref="D43:D44">
    <cfRule type="duplicateValues" dxfId="0" priority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0A6D4-B2DD-4481-94D4-DBFE6892EB10}">
  <dimension ref="A1:J20"/>
  <sheetViews>
    <sheetView workbookViewId="0">
      <selection activeCell="E24" sqref="E24"/>
    </sheetView>
  </sheetViews>
  <sheetFormatPr defaultRowHeight="13.8" x14ac:dyDescent="0.25"/>
  <cols>
    <col min="1" max="1" width="21.6640625" customWidth="1"/>
    <col min="2" max="2" width="17.88671875" customWidth="1"/>
    <col min="3" max="3" width="20.33203125" customWidth="1"/>
    <col min="4" max="4" width="16.88671875" customWidth="1"/>
    <col min="5" max="5" width="25.33203125" customWidth="1"/>
    <col min="6" max="6" width="23.6640625" customWidth="1"/>
    <col min="7" max="8" width="19.77734375" customWidth="1"/>
    <col min="9" max="9" width="19.33203125" customWidth="1"/>
    <col min="10" max="10" width="11.77734375" customWidth="1"/>
  </cols>
  <sheetData>
    <row r="1" spans="1:10" x14ac:dyDescent="0.25">
      <c r="A1" s="111" t="s">
        <v>399</v>
      </c>
      <c r="B1" s="112" t="s">
        <v>400</v>
      </c>
      <c r="C1" s="112" t="s">
        <v>401</v>
      </c>
      <c r="D1" s="112">
        <v>155</v>
      </c>
      <c r="E1" s="112" t="s">
        <v>402</v>
      </c>
      <c r="F1" s="112" t="s">
        <v>403</v>
      </c>
      <c r="G1" s="112" t="s">
        <v>404</v>
      </c>
      <c r="H1" s="112" t="s">
        <v>405</v>
      </c>
      <c r="I1" s="112" t="s">
        <v>406</v>
      </c>
      <c r="J1" s="113" t="s">
        <v>407</v>
      </c>
    </row>
    <row r="2" spans="1:10" x14ac:dyDescent="0.25">
      <c r="A2" s="111" t="s">
        <v>242</v>
      </c>
      <c r="B2" s="112">
        <f>'202502'!BD45</f>
        <v>24039.46000000001</v>
      </c>
      <c r="C2" s="112">
        <f>系统!E57</f>
        <v>27358.729999999996</v>
      </c>
      <c r="D2" s="112">
        <f>40*155</f>
        <v>6200</v>
      </c>
      <c r="E2" s="112"/>
      <c r="F2" s="112"/>
      <c r="G2" s="112"/>
      <c r="H2" s="112"/>
      <c r="I2" s="112">
        <f>SUM(C2:G2)</f>
        <v>33558.729999999996</v>
      </c>
      <c r="J2" s="114">
        <f t="shared" ref="J2:J10" si="0">B2-C2</f>
        <v>-3319.2699999999859</v>
      </c>
    </row>
    <row r="3" spans="1:10" x14ac:dyDescent="0.25">
      <c r="A3" s="111" t="s">
        <v>408</v>
      </c>
      <c r="B3" s="112">
        <f>'202502'!BB45</f>
        <v>10200</v>
      </c>
      <c r="C3" s="112">
        <v>0</v>
      </c>
      <c r="D3" s="112"/>
      <c r="E3" s="112"/>
      <c r="F3" s="112"/>
      <c r="G3" s="112"/>
      <c r="H3" s="112"/>
      <c r="I3" s="112">
        <f>SUM(C3:G3)</f>
        <v>0</v>
      </c>
      <c r="J3" s="114">
        <f t="shared" si="0"/>
        <v>10200</v>
      </c>
    </row>
    <row r="4" spans="1:10" x14ac:dyDescent="0.25">
      <c r="A4" s="111" t="s">
        <v>409</v>
      </c>
      <c r="B4" s="112">
        <f>'202502'!AH45</f>
        <v>51887.709999999992</v>
      </c>
      <c r="C4" s="112">
        <f>系统!V57</f>
        <v>51887.71</v>
      </c>
      <c r="D4" s="112"/>
      <c r="E4" s="112"/>
      <c r="F4" s="112"/>
      <c r="G4" s="112"/>
      <c r="H4" s="112"/>
      <c r="I4" s="112">
        <f>SUM(C4:G4)</f>
        <v>51887.71</v>
      </c>
      <c r="J4" s="114">
        <f t="shared" si="0"/>
        <v>0</v>
      </c>
    </row>
    <row r="5" spans="1:10" x14ac:dyDescent="0.25">
      <c r="A5" s="111" t="s">
        <v>410</v>
      </c>
      <c r="B5" s="112">
        <f>'202502'!AV45</f>
        <v>106462.91999999995</v>
      </c>
      <c r="C5" s="112">
        <f>系统!O57</f>
        <v>106462.91999999994</v>
      </c>
      <c r="D5" s="112"/>
      <c r="E5" s="115"/>
      <c r="F5" s="112"/>
      <c r="G5" s="112"/>
      <c r="H5" s="112"/>
      <c r="I5" s="112">
        <f>SUM(C5:E5)</f>
        <v>106462.91999999994</v>
      </c>
      <c r="J5" s="114">
        <f t="shared" si="0"/>
        <v>0</v>
      </c>
    </row>
    <row r="6" spans="1:10" x14ac:dyDescent="0.25">
      <c r="A6" s="111" t="s">
        <v>411</v>
      </c>
      <c r="B6" s="112"/>
      <c r="C6" s="112"/>
      <c r="D6" s="112"/>
      <c r="E6" s="112"/>
      <c r="F6" s="112"/>
      <c r="G6" s="112"/>
      <c r="H6" s="112"/>
      <c r="I6" s="112">
        <f t="shared" ref="I6:I10" si="1">SUM(C6:G6)</f>
        <v>0</v>
      </c>
      <c r="J6" s="114">
        <f t="shared" si="0"/>
        <v>0</v>
      </c>
    </row>
    <row r="7" spans="1:10" x14ac:dyDescent="0.25">
      <c r="A7" s="111" t="s">
        <v>412</v>
      </c>
      <c r="B7" s="112">
        <f>'202502'!AA45-'202502'!AH45</f>
        <v>227159.81000000008</v>
      </c>
      <c r="C7" s="112">
        <f>系统!W57</f>
        <v>226959.81</v>
      </c>
      <c r="D7" s="112">
        <f>5*40</f>
        <v>200</v>
      </c>
      <c r="E7" s="112"/>
      <c r="F7" s="112"/>
      <c r="G7" s="112"/>
      <c r="H7" s="112"/>
      <c r="I7" s="112">
        <f t="shared" si="1"/>
        <v>227159.81</v>
      </c>
      <c r="J7" s="114">
        <f t="shared" si="0"/>
        <v>200.00000000008731</v>
      </c>
    </row>
    <row r="8" spans="1:10" x14ac:dyDescent="0.25">
      <c r="A8" s="111" t="s">
        <v>419</v>
      </c>
      <c r="B8" s="112">
        <f>'202502'!AY45</f>
        <v>40</v>
      </c>
      <c r="C8" s="112"/>
      <c r="D8" s="112">
        <f>40</f>
        <v>40</v>
      </c>
      <c r="E8" s="116"/>
      <c r="F8" s="116"/>
      <c r="G8" s="117"/>
      <c r="H8" s="117"/>
      <c r="I8" s="112">
        <f t="shared" si="1"/>
        <v>40</v>
      </c>
      <c r="J8" s="114">
        <f t="shared" si="0"/>
        <v>40</v>
      </c>
    </row>
    <row r="9" spans="1:10" x14ac:dyDescent="0.25">
      <c r="A9" s="111" t="s">
        <v>49</v>
      </c>
      <c r="B9" s="112">
        <f>'202502'!AW45</f>
        <v>5090</v>
      </c>
      <c r="C9" s="112"/>
      <c r="D9" s="112">
        <f>B10</f>
        <v>-182.8899999999999</v>
      </c>
      <c r="E9" s="112"/>
      <c r="F9" s="112">
        <f>B9</f>
        <v>5090</v>
      </c>
      <c r="G9" s="117"/>
      <c r="H9" s="117"/>
      <c r="I9" s="112">
        <f t="shared" si="1"/>
        <v>4907.1099999999997</v>
      </c>
      <c r="J9" s="114">
        <f t="shared" si="0"/>
        <v>5090</v>
      </c>
    </row>
    <row r="10" spans="1:10" x14ac:dyDescent="0.25">
      <c r="A10" s="111" t="s">
        <v>418</v>
      </c>
      <c r="B10" s="112">
        <f>'202502'!AZ45</f>
        <v>-182.8899999999999</v>
      </c>
      <c r="C10" s="112"/>
      <c r="D10" s="112"/>
      <c r="E10" s="112"/>
      <c r="F10" s="112"/>
      <c r="G10" s="112"/>
      <c r="H10" s="112"/>
      <c r="I10" s="112">
        <f t="shared" si="1"/>
        <v>0</v>
      </c>
      <c r="J10" s="114">
        <f t="shared" si="0"/>
        <v>-182.8899999999999</v>
      </c>
    </row>
    <row r="11" spans="1:10" x14ac:dyDescent="0.25">
      <c r="A11" s="118" t="s">
        <v>413</v>
      </c>
      <c r="B11" s="119">
        <f t="shared" ref="B11" si="2">SUM(B2:B10)</f>
        <v>424697.01</v>
      </c>
      <c r="C11" s="119">
        <f>SUM(C2:C10)</f>
        <v>412669.16999999993</v>
      </c>
      <c r="D11" s="119">
        <f>SUM(D2:D10)</f>
        <v>6257.11</v>
      </c>
      <c r="E11" s="119">
        <f>E5</f>
        <v>0</v>
      </c>
      <c r="F11" s="119">
        <f>F9</f>
        <v>5090</v>
      </c>
      <c r="G11" s="119">
        <f>G9</f>
        <v>0</v>
      </c>
      <c r="H11" s="119">
        <f>H9</f>
        <v>0</v>
      </c>
      <c r="I11" s="119">
        <f>SUM(C11:G11)</f>
        <v>424016.27999999991</v>
      </c>
    </row>
    <row r="12" spans="1:10" x14ac:dyDescent="0.25">
      <c r="A12" s="111" t="s">
        <v>414</v>
      </c>
      <c r="B12" s="112"/>
      <c r="C12" s="112"/>
      <c r="D12" s="112"/>
      <c r="E12" s="112"/>
      <c r="F12" s="112"/>
      <c r="G12" s="112"/>
      <c r="H12" s="112"/>
      <c r="I12" s="112"/>
    </row>
    <row r="13" spans="1:10" x14ac:dyDescent="0.25">
      <c r="A13" s="111" t="s">
        <v>259</v>
      </c>
      <c r="B13" s="112"/>
      <c r="C13" s="112"/>
      <c r="D13" s="112">
        <f>ROUND((D11+D12)*6%,2)</f>
        <v>375.43</v>
      </c>
      <c r="E13" s="112"/>
      <c r="F13" s="112">
        <f>ROUND((F11+F12)*6%,2)</f>
        <v>305.39999999999998</v>
      </c>
      <c r="G13" s="112">
        <f>ROUND((G11+G12)*6%,2)</f>
        <v>0</v>
      </c>
      <c r="H13" s="112">
        <f>ROUND((H11+H12)*6%,2)</f>
        <v>0</v>
      </c>
      <c r="I13" s="112">
        <f>SUM(C13:G13)</f>
        <v>680.82999999999993</v>
      </c>
    </row>
    <row r="14" spans="1:10" x14ac:dyDescent="0.25">
      <c r="A14" s="120" t="s">
        <v>44</v>
      </c>
      <c r="B14" s="121">
        <f>SUM(B11:B13)</f>
        <v>424697.01</v>
      </c>
      <c r="C14" s="121">
        <f t="shared" ref="C14" si="3">SUM(C11:C13)</f>
        <v>412669.16999999993</v>
      </c>
      <c r="D14" s="121">
        <f>SUM(D11:D13)</f>
        <v>6632.54</v>
      </c>
      <c r="E14" s="121">
        <f>E11</f>
        <v>0</v>
      </c>
      <c r="F14" s="121">
        <f>SUM(F11:F13)</f>
        <v>5395.4</v>
      </c>
      <c r="G14" s="121">
        <f>SUM(G11:G13)</f>
        <v>0</v>
      </c>
      <c r="H14" s="121">
        <f>SUM(H11:H13)</f>
        <v>0</v>
      </c>
      <c r="I14" s="121">
        <f>SUM(C14:H14)</f>
        <v>424697.10999999993</v>
      </c>
    </row>
    <row r="15" spans="1:10" x14ac:dyDescent="0.25">
      <c r="A15" s="120" t="s">
        <v>415</v>
      </c>
      <c r="B15" s="121"/>
      <c r="C15" s="121"/>
      <c r="D15" s="121"/>
      <c r="E15" s="121"/>
      <c r="F15" s="121"/>
      <c r="G15" s="121"/>
      <c r="H15" s="121"/>
      <c r="I15" s="121">
        <f>B14</f>
        <v>424697.01</v>
      </c>
    </row>
    <row r="16" spans="1:10" x14ac:dyDescent="0.25">
      <c r="A16" s="111" t="s">
        <v>416</v>
      </c>
      <c r="B16" s="112"/>
      <c r="C16" s="112"/>
      <c r="D16" s="112"/>
      <c r="E16" s="112"/>
      <c r="F16" s="112"/>
      <c r="G16" s="112"/>
      <c r="H16" s="112"/>
      <c r="I16" s="112">
        <f>I15-I14</f>
        <v>-9.9999999918509275E-2</v>
      </c>
    </row>
    <row r="17" spans="1:9" x14ac:dyDescent="0.25">
      <c r="A17" s="111" t="s">
        <v>417</v>
      </c>
      <c r="B17" s="112"/>
      <c r="C17" s="112"/>
      <c r="D17" s="112"/>
      <c r="E17" s="112"/>
      <c r="F17" s="112"/>
      <c r="G17" s="112"/>
      <c r="H17" s="112"/>
      <c r="I17" s="112">
        <f>ROUND(I16/1.06,2)</f>
        <v>-0.09</v>
      </c>
    </row>
    <row r="19" spans="1:9" x14ac:dyDescent="0.25">
      <c r="C19" s="114"/>
      <c r="D19" s="114"/>
    </row>
    <row r="20" spans="1:9" x14ac:dyDescent="0.25">
      <c r="B20" s="114"/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406A4-3DDA-4C78-AF82-2F2FA69818AF}">
  <dimension ref="A1:AF115"/>
  <sheetViews>
    <sheetView topLeftCell="E61" workbookViewId="0">
      <selection activeCell="M15" sqref="M15"/>
    </sheetView>
  </sheetViews>
  <sheetFormatPr defaultRowHeight="13.8" x14ac:dyDescent="0.25"/>
  <cols>
    <col min="1" max="4" width="8.88671875" style="69"/>
    <col min="5" max="24" width="8.88671875" style="70"/>
    <col min="25" max="25" width="10.21875" style="70" bestFit="1" customWidth="1"/>
    <col min="26" max="27" width="8.88671875" style="69"/>
    <col min="28" max="28" width="15.77734375" style="69" customWidth="1"/>
    <col min="29" max="29" width="8.88671875" style="69"/>
    <col min="30" max="30" width="8.88671875" style="70"/>
    <col min="31" max="31" width="8.88671875" style="69"/>
    <col min="32" max="32" width="8.88671875" style="70"/>
    <col min="33" max="16384" width="8.88671875" style="69"/>
  </cols>
  <sheetData>
    <row r="1" spans="1:32" x14ac:dyDescent="0.25">
      <c r="A1" s="68" t="s">
        <v>230</v>
      </c>
    </row>
    <row r="2" spans="1:32" x14ac:dyDescent="0.25">
      <c r="A2" s="68" t="s">
        <v>231</v>
      </c>
    </row>
    <row r="3" spans="1:32" x14ac:dyDescent="0.25">
      <c r="B3" s="68" t="s">
        <v>232</v>
      </c>
    </row>
    <row r="6" spans="1:32" ht="20.399999999999999" x14ac:dyDescent="0.25">
      <c r="D6" s="71" t="s">
        <v>233</v>
      </c>
    </row>
    <row r="7" spans="1:32" ht="20.399999999999999" x14ac:dyDescent="0.25">
      <c r="C7" s="71" t="s">
        <v>234</v>
      </c>
    </row>
    <row r="9" spans="1:32" ht="20.399999999999999" x14ac:dyDescent="0.25">
      <c r="E9" s="72" t="s">
        <v>235</v>
      </c>
    </row>
    <row r="10" spans="1:32" ht="20.399999999999999" x14ac:dyDescent="0.25">
      <c r="E10" s="72" t="s">
        <v>236</v>
      </c>
    </row>
    <row r="11" spans="1:32" ht="15.6" x14ac:dyDescent="0.25">
      <c r="E11" s="73" t="s">
        <v>237</v>
      </c>
    </row>
    <row r="13" spans="1:32" s="75" customFormat="1" ht="13.2" x14ac:dyDescent="0.25">
      <c r="A13" s="74" t="s">
        <v>238</v>
      </c>
      <c r="E13" s="76"/>
      <c r="F13" s="76"/>
      <c r="G13" s="76"/>
      <c r="H13" s="76"/>
      <c r="I13" s="76"/>
      <c r="J13" s="77" t="s">
        <v>239</v>
      </c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AD13" s="76"/>
      <c r="AF13" s="76"/>
    </row>
    <row r="14" spans="1:32" s="78" customFormat="1" ht="60" customHeight="1" x14ac:dyDescent="0.15">
      <c r="A14" s="78" t="s">
        <v>83</v>
      </c>
      <c r="B14" s="78" t="s">
        <v>81</v>
      </c>
      <c r="C14" s="78" t="s">
        <v>240</v>
      </c>
      <c r="D14" s="78" t="s">
        <v>241</v>
      </c>
      <c r="E14" s="79" t="s">
        <v>242</v>
      </c>
      <c r="F14" s="79" t="s">
        <v>243</v>
      </c>
      <c r="G14" s="79" t="s">
        <v>244</v>
      </c>
      <c r="H14" s="127" t="s">
        <v>245</v>
      </c>
      <c r="I14" s="128"/>
      <c r="J14" s="128"/>
      <c r="K14" s="128"/>
      <c r="L14" s="128"/>
      <c r="M14" s="129"/>
      <c r="N14" s="80" t="s">
        <v>246</v>
      </c>
      <c r="O14" s="79" t="s">
        <v>247</v>
      </c>
      <c r="P14" s="127" t="s">
        <v>248</v>
      </c>
      <c r="Q14" s="128"/>
      <c r="R14" s="128"/>
      <c r="S14" s="128"/>
      <c r="T14" s="129"/>
      <c r="U14" s="80" t="s">
        <v>249</v>
      </c>
      <c r="V14" s="79" t="s">
        <v>250</v>
      </c>
      <c r="W14" s="79" t="s">
        <v>251</v>
      </c>
      <c r="X14" s="79" t="s">
        <v>252</v>
      </c>
      <c r="Y14" s="81" t="s">
        <v>44</v>
      </c>
      <c r="Z14" s="78" t="s">
        <v>253</v>
      </c>
      <c r="AA14" s="78" t="s">
        <v>254</v>
      </c>
      <c r="AB14" s="78" t="s">
        <v>255</v>
      </c>
      <c r="AC14" s="78" t="s">
        <v>256</v>
      </c>
      <c r="AD14" s="79" t="s">
        <v>257</v>
      </c>
      <c r="AE14" s="78" t="s">
        <v>258</v>
      </c>
      <c r="AF14" s="79" t="s">
        <v>259</v>
      </c>
    </row>
    <row r="15" spans="1:32" s="82" customFormat="1" ht="60" customHeight="1" x14ac:dyDescent="0.25">
      <c r="A15" s="82" t="s">
        <v>260</v>
      </c>
      <c r="B15" s="82" t="s">
        <v>41</v>
      </c>
      <c r="C15" s="82" t="s">
        <v>261</v>
      </c>
      <c r="D15" s="82" t="s">
        <v>262</v>
      </c>
      <c r="E15" s="83" t="s">
        <v>263</v>
      </c>
      <c r="F15" s="83" t="s">
        <v>264</v>
      </c>
      <c r="G15" s="83" t="s">
        <v>265</v>
      </c>
      <c r="H15" s="84" t="s">
        <v>266</v>
      </c>
      <c r="I15" s="84" t="s">
        <v>267</v>
      </c>
      <c r="J15" s="84" t="s">
        <v>268</v>
      </c>
      <c r="K15" s="84" t="s">
        <v>269</v>
      </c>
      <c r="L15" s="84" t="s">
        <v>270</v>
      </c>
      <c r="M15" s="84" t="s">
        <v>271</v>
      </c>
      <c r="N15" s="84" t="s">
        <v>272</v>
      </c>
      <c r="O15" s="83" t="s">
        <v>273</v>
      </c>
      <c r="P15" s="84" t="s">
        <v>266</v>
      </c>
      <c r="Q15" s="84" t="s">
        <v>267</v>
      </c>
      <c r="R15" s="84" t="s">
        <v>268</v>
      </c>
      <c r="S15" s="84" t="s">
        <v>269</v>
      </c>
      <c r="T15" s="84" t="s">
        <v>270</v>
      </c>
      <c r="U15" s="84" t="s">
        <v>272</v>
      </c>
      <c r="V15" s="83" t="s">
        <v>274</v>
      </c>
      <c r="W15" s="83" t="s">
        <v>275</v>
      </c>
      <c r="X15" s="83" t="s">
        <v>276</v>
      </c>
      <c r="Y15" s="85" t="s">
        <v>277</v>
      </c>
      <c r="Z15" s="82" t="s">
        <v>278</v>
      </c>
      <c r="AA15" s="82" t="s">
        <v>279</v>
      </c>
      <c r="AB15" s="82" t="s">
        <v>280</v>
      </c>
      <c r="AC15" s="82" t="s">
        <v>281</v>
      </c>
      <c r="AD15" s="83" t="s">
        <v>282</v>
      </c>
      <c r="AE15" s="82" t="s">
        <v>283</v>
      </c>
      <c r="AF15" s="83" t="s">
        <v>2</v>
      </c>
    </row>
    <row r="16" spans="1:32" s="86" customFormat="1" ht="11.4" x14ac:dyDescent="0.25">
      <c r="A16" s="86">
        <v>1</v>
      </c>
      <c r="B16" s="86" t="s">
        <v>118</v>
      </c>
      <c r="C16" s="86" t="s">
        <v>284</v>
      </c>
      <c r="D16" s="86" t="s">
        <v>285</v>
      </c>
      <c r="E16" s="87">
        <v>529.23</v>
      </c>
      <c r="F16" s="87">
        <v>7384</v>
      </c>
      <c r="G16" s="87">
        <v>5351</v>
      </c>
      <c r="H16" s="87">
        <v>1181.44</v>
      </c>
      <c r="I16" s="87">
        <v>664.56</v>
      </c>
      <c r="J16" s="87">
        <v>36.92</v>
      </c>
      <c r="K16" s="87">
        <v>14.77</v>
      </c>
      <c r="L16" s="87"/>
      <c r="M16" s="87">
        <v>110.76</v>
      </c>
      <c r="N16" s="87">
        <v>375</v>
      </c>
      <c r="O16" s="87">
        <f t="shared" ref="O16:O56" si="0">SUM(H16:N16)</f>
        <v>2383.4499999999998</v>
      </c>
      <c r="P16" s="87">
        <v>590.72</v>
      </c>
      <c r="Q16" s="87">
        <v>147.68</v>
      </c>
      <c r="R16" s="87">
        <v>36.92</v>
      </c>
      <c r="S16" s="87"/>
      <c r="T16" s="87"/>
      <c r="U16" s="87">
        <v>375</v>
      </c>
      <c r="V16" s="87">
        <f t="shared" ref="V16:V56" si="1">SUM(P16:U16)</f>
        <v>1150.3200000000002</v>
      </c>
      <c r="W16" s="87">
        <v>3520</v>
      </c>
      <c r="X16" s="87"/>
      <c r="Y16" s="88">
        <f t="shared" ref="Y16:Y55" si="2">SUM(E16,O16,V16:X16)</f>
        <v>7583</v>
      </c>
      <c r="AA16" s="86" t="s">
        <v>286</v>
      </c>
      <c r="AB16" s="86" t="s">
        <v>119</v>
      </c>
      <c r="AC16" s="86" t="s">
        <v>228</v>
      </c>
      <c r="AD16" s="89">
        <v>7153.76</v>
      </c>
      <c r="AE16" s="86" t="s">
        <v>287</v>
      </c>
      <c r="AF16" s="89">
        <v>429.24</v>
      </c>
    </row>
    <row r="17" spans="1:32" s="86" customFormat="1" ht="11.4" x14ac:dyDescent="0.25">
      <c r="A17" s="86">
        <v>2</v>
      </c>
      <c r="B17" s="86" t="s">
        <v>158</v>
      </c>
      <c r="C17" s="86" t="s">
        <v>284</v>
      </c>
      <c r="D17" s="86" t="s">
        <v>285</v>
      </c>
      <c r="E17" s="87">
        <v>1128.3599999999999</v>
      </c>
      <c r="F17" s="87">
        <v>10751</v>
      </c>
      <c r="G17" s="87">
        <v>10751</v>
      </c>
      <c r="H17" s="87">
        <v>1720.16</v>
      </c>
      <c r="I17" s="87">
        <v>967.6</v>
      </c>
      <c r="J17" s="87">
        <v>53.76</v>
      </c>
      <c r="K17" s="87">
        <v>21.5</v>
      </c>
      <c r="L17" s="87"/>
      <c r="M17" s="87">
        <v>161.27000000000001</v>
      </c>
      <c r="N17" s="87">
        <v>753</v>
      </c>
      <c r="O17" s="87">
        <f t="shared" si="0"/>
        <v>3677.2900000000004</v>
      </c>
      <c r="P17" s="87">
        <v>860.08</v>
      </c>
      <c r="Q17" s="87">
        <v>215.02</v>
      </c>
      <c r="R17" s="87">
        <v>53.76</v>
      </c>
      <c r="S17" s="87"/>
      <c r="T17" s="87"/>
      <c r="U17" s="87">
        <v>753</v>
      </c>
      <c r="V17" s="87">
        <f t="shared" si="1"/>
        <v>1881.8600000000001</v>
      </c>
      <c r="W17" s="87">
        <v>11480.18</v>
      </c>
      <c r="X17" s="87"/>
      <c r="Y17" s="88">
        <f t="shared" si="2"/>
        <v>18167.690000000002</v>
      </c>
      <c r="AA17" s="86" t="s">
        <v>288</v>
      </c>
      <c r="AB17" s="86" t="s">
        <v>159</v>
      </c>
      <c r="AC17" s="86" t="s">
        <v>228</v>
      </c>
      <c r="AD17" s="89">
        <v>17139.32</v>
      </c>
      <c r="AE17" s="86" t="s">
        <v>287</v>
      </c>
      <c r="AF17" s="89">
        <v>1028.3699999999999</v>
      </c>
    </row>
    <row r="18" spans="1:32" s="86" customFormat="1" ht="11.4" x14ac:dyDescent="0.25">
      <c r="A18" s="86">
        <v>3</v>
      </c>
      <c r="B18" s="86" t="s">
        <v>114</v>
      </c>
      <c r="C18" s="86" t="s">
        <v>284</v>
      </c>
      <c r="D18" s="86" t="s">
        <v>285</v>
      </c>
      <c r="E18" s="87">
        <v>604.15</v>
      </c>
      <c r="F18" s="87">
        <v>7384</v>
      </c>
      <c r="G18" s="87">
        <v>6644</v>
      </c>
      <c r="H18" s="87">
        <v>1181.44</v>
      </c>
      <c r="I18" s="87">
        <v>664.56</v>
      </c>
      <c r="J18" s="87">
        <v>36.92</v>
      </c>
      <c r="K18" s="87">
        <v>14.77</v>
      </c>
      <c r="L18" s="87"/>
      <c r="M18" s="87">
        <v>110.76</v>
      </c>
      <c r="N18" s="87">
        <v>465</v>
      </c>
      <c r="O18" s="87">
        <f t="shared" si="0"/>
        <v>2473.4499999999998</v>
      </c>
      <c r="P18" s="87">
        <v>590.72</v>
      </c>
      <c r="Q18" s="87">
        <v>147.68</v>
      </c>
      <c r="R18" s="87">
        <v>36.92</v>
      </c>
      <c r="S18" s="87"/>
      <c r="T18" s="87"/>
      <c r="U18" s="87">
        <v>465</v>
      </c>
      <c r="V18" s="87">
        <f t="shared" si="1"/>
        <v>1240.3200000000002</v>
      </c>
      <c r="W18" s="87">
        <v>4588.68</v>
      </c>
      <c r="X18" s="87"/>
      <c r="Y18" s="88">
        <f t="shared" si="2"/>
        <v>8906.6</v>
      </c>
      <c r="AA18" s="86" t="s">
        <v>289</v>
      </c>
      <c r="AB18" s="86" t="s">
        <v>115</v>
      </c>
      <c r="AC18" s="86" t="s">
        <v>228</v>
      </c>
      <c r="AD18" s="89">
        <v>8402.44</v>
      </c>
      <c r="AE18" s="86" t="s">
        <v>287</v>
      </c>
      <c r="AF18" s="89">
        <v>504.16</v>
      </c>
    </row>
    <row r="19" spans="1:32" s="86" customFormat="1" ht="11.4" x14ac:dyDescent="0.25">
      <c r="A19" s="86">
        <v>4</v>
      </c>
      <c r="B19" s="86" t="s">
        <v>202</v>
      </c>
      <c r="C19" s="86" t="s">
        <v>284</v>
      </c>
      <c r="D19" s="86" t="s">
        <v>290</v>
      </c>
      <c r="E19" s="87">
        <v>497.79</v>
      </c>
      <c r="F19" s="87">
        <v>7384</v>
      </c>
      <c r="G19" s="87">
        <v>2690</v>
      </c>
      <c r="H19" s="87">
        <v>1181.44</v>
      </c>
      <c r="I19" s="87">
        <v>664.56</v>
      </c>
      <c r="J19" s="87">
        <v>36.92</v>
      </c>
      <c r="K19" s="87">
        <v>14.77</v>
      </c>
      <c r="L19" s="87"/>
      <c r="M19" s="87">
        <v>110.76</v>
      </c>
      <c r="N19" s="87">
        <v>188</v>
      </c>
      <c r="O19" s="87">
        <f t="shared" si="0"/>
        <v>2196.4499999999998</v>
      </c>
      <c r="P19" s="87">
        <v>590.72</v>
      </c>
      <c r="Q19" s="87">
        <v>147.68</v>
      </c>
      <c r="R19" s="87">
        <v>36.92</v>
      </c>
      <c r="S19" s="87"/>
      <c r="T19" s="87"/>
      <c r="U19" s="87">
        <v>188</v>
      </c>
      <c r="V19" s="87">
        <f t="shared" si="1"/>
        <v>963.32</v>
      </c>
      <c r="W19" s="87">
        <v>3370</v>
      </c>
      <c r="X19" s="87"/>
      <c r="Y19" s="88">
        <f t="shared" si="2"/>
        <v>7027.5599999999995</v>
      </c>
      <c r="AA19" s="86" t="s">
        <v>291</v>
      </c>
      <c r="AB19" s="86" t="s">
        <v>292</v>
      </c>
      <c r="AC19" s="86" t="s">
        <v>228</v>
      </c>
      <c r="AD19" s="89">
        <v>6629.76</v>
      </c>
      <c r="AE19" s="86" t="s">
        <v>287</v>
      </c>
      <c r="AF19" s="89">
        <v>397.8</v>
      </c>
    </row>
    <row r="20" spans="1:32" s="86" customFormat="1" ht="11.4" x14ac:dyDescent="0.25">
      <c r="A20" s="86">
        <v>5</v>
      </c>
      <c r="B20" s="86" t="s">
        <v>109</v>
      </c>
      <c r="C20" s="86" t="s">
        <v>284</v>
      </c>
      <c r="D20" s="86" t="s">
        <v>285</v>
      </c>
      <c r="E20" s="87">
        <v>1053</v>
      </c>
      <c r="F20" s="87">
        <v>12760</v>
      </c>
      <c r="G20" s="87">
        <v>12760</v>
      </c>
      <c r="H20" s="87">
        <v>2041.6</v>
      </c>
      <c r="I20" s="87">
        <v>1148.4000000000001</v>
      </c>
      <c r="J20" s="87">
        <v>63.8</v>
      </c>
      <c r="K20" s="87">
        <v>25.52</v>
      </c>
      <c r="L20" s="87"/>
      <c r="M20" s="87">
        <v>191.4</v>
      </c>
      <c r="N20" s="87">
        <v>893</v>
      </c>
      <c r="O20" s="87">
        <f t="shared" si="0"/>
        <v>4363.72</v>
      </c>
      <c r="P20" s="87">
        <v>1020.8</v>
      </c>
      <c r="Q20" s="87">
        <v>255.2</v>
      </c>
      <c r="R20" s="87">
        <v>63.8</v>
      </c>
      <c r="S20" s="87"/>
      <c r="T20" s="87"/>
      <c r="U20" s="87">
        <v>893</v>
      </c>
      <c r="V20" s="87">
        <f t="shared" si="1"/>
        <v>2232.8000000000002</v>
      </c>
      <c r="W20" s="87">
        <v>9186.9</v>
      </c>
      <c r="X20" s="87"/>
      <c r="Y20" s="88">
        <f t="shared" si="2"/>
        <v>16836.419999999998</v>
      </c>
      <c r="AA20" s="86" t="s">
        <v>293</v>
      </c>
      <c r="AB20" s="86" t="s">
        <v>110</v>
      </c>
      <c r="AC20" s="86" t="s">
        <v>228</v>
      </c>
      <c r="AD20" s="89">
        <v>15883.42</v>
      </c>
      <c r="AE20" s="86" t="s">
        <v>287</v>
      </c>
      <c r="AF20" s="89">
        <v>953</v>
      </c>
    </row>
    <row r="21" spans="1:32" s="86" customFormat="1" ht="11.4" x14ac:dyDescent="0.25">
      <c r="A21" s="86">
        <v>6</v>
      </c>
      <c r="B21" s="86" t="s">
        <v>150</v>
      </c>
      <c r="C21" s="86" t="s">
        <v>284</v>
      </c>
      <c r="D21" s="86" t="s">
        <v>285</v>
      </c>
      <c r="E21" s="87">
        <v>1392.1</v>
      </c>
      <c r="F21" s="87">
        <v>7384</v>
      </c>
      <c r="G21" s="87">
        <v>5109</v>
      </c>
      <c r="H21" s="87">
        <v>1181.44</v>
      </c>
      <c r="I21" s="87">
        <v>664.56</v>
      </c>
      <c r="J21" s="87">
        <v>36.92</v>
      </c>
      <c r="K21" s="87">
        <v>14.77</v>
      </c>
      <c r="L21" s="87"/>
      <c r="M21" s="87">
        <v>110.76</v>
      </c>
      <c r="N21" s="87">
        <v>358</v>
      </c>
      <c r="O21" s="87">
        <f t="shared" si="0"/>
        <v>2366.4499999999998</v>
      </c>
      <c r="P21" s="87">
        <v>590.72</v>
      </c>
      <c r="Q21" s="87">
        <v>147.68</v>
      </c>
      <c r="R21" s="87">
        <v>36.92</v>
      </c>
      <c r="S21" s="87"/>
      <c r="T21" s="87"/>
      <c r="U21" s="87">
        <v>358</v>
      </c>
      <c r="V21" s="87">
        <f t="shared" si="1"/>
        <v>1133.3200000000002</v>
      </c>
      <c r="W21" s="87">
        <v>17935.16</v>
      </c>
      <c r="X21" s="87"/>
      <c r="Y21" s="88">
        <f t="shared" si="2"/>
        <v>22827.03</v>
      </c>
      <c r="AA21" s="86" t="s">
        <v>294</v>
      </c>
      <c r="AB21" s="86" t="s">
        <v>151</v>
      </c>
      <c r="AC21" s="86" t="s">
        <v>228</v>
      </c>
      <c r="AD21" s="89">
        <v>21534.92</v>
      </c>
      <c r="AE21" s="86" t="s">
        <v>287</v>
      </c>
      <c r="AF21" s="89">
        <v>1292.1099999999999</v>
      </c>
    </row>
    <row r="22" spans="1:32" s="86" customFormat="1" ht="11.4" x14ac:dyDescent="0.25">
      <c r="A22" s="86">
        <v>7</v>
      </c>
      <c r="B22" s="86" t="s">
        <v>144</v>
      </c>
      <c r="C22" s="86" t="s">
        <v>284</v>
      </c>
      <c r="D22" s="86" t="s">
        <v>285</v>
      </c>
      <c r="E22" s="87">
        <v>1366.89</v>
      </c>
      <c r="F22" s="87">
        <v>13877</v>
      </c>
      <c r="G22" s="87">
        <v>13877</v>
      </c>
      <c r="H22" s="87">
        <v>2220.3200000000002</v>
      </c>
      <c r="I22" s="87">
        <v>1248.94</v>
      </c>
      <c r="J22" s="87">
        <v>69.39</v>
      </c>
      <c r="K22" s="87">
        <v>27.75</v>
      </c>
      <c r="L22" s="87"/>
      <c r="M22" s="87">
        <v>208.16</v>
      </c>
      <c r="N22" s="87">
        <v>971</v>
      </c>
      <c r="O22" s="87">
        <f t="shared" si="0"/>
        <v>4745.5599999999995</v>
      </c>
      <c r="P22" s="87">
        <v>1110.1600000000001</v>
      </c>
      <c r="Q22" s="87">
        <v>277.54000000000002</v>
      </c>
      <c r="R22" s="87">
        <v>69.39</v>
      </c>
      <c r="S22" s="87"/>
      <c r="T22" s="87"/>
      <c r="U22" s="87">
        <v>971</v>
      </c>
      <c r="V22" s="87">
        <f t="shared" si="1"/>
        <v>2428.09</v>
      </c>
      <c r="W22" s="87">
        <v>13841.15</v>
      </c>
      <c r="X22" s="87"/>
      <c r="Y22" s="88">
        <f t="shared" si="2"/>
        <v>22381.690000000002</v>
      </c>
      <c r="AA22" s="86" t="s">
        <v>295</v>
      </c>
      <c r="AB22" s="86" t="s">
        <v>145</v>
      </c>
      <c r="AC22" s="86" t="s">
        <v>228</v>
      </c>
      <c r="AD22" s="89">
        <v>21114.799999999999</v>
      </c>
      <c r="AE22" s="86" t="s">
        <v>287</v>
      </c>
      <c r="AF22" s="89">
        <v>1266.8900000000001</v>
      </c>
    </row>
    <row r="23" spans="1:32" s="86" customFormat="1" ht="11.4" x14ac:dyDescent="0.25">
      <c r="A23" s="86">
        <v>8</v>
      </c>
      <c r="B23" s="86" t="s">
        <v>138</v>
      </c>
      <c r="C23" s="86" t="s">
        <v>284</v>
      </c>
      <c r="D23" s="86" t="s">
        <v>285</v>
      </c>
      <c r="E23" s="87">
        <v>538.53</v>
      </c>
      <c r="F23" s="87">
        <v>7384</v>
      </c>
      <c r="G23" s="87">
        <v>4880</v>
      </c>
      <c r="H23" s="87">
        <v>1181.44</v>
      </c>
      <c r="I23" s="87">
        <v>664.56</v>
      </c>
      <c r="J23" s="87">
        <v>36.92</v>
      </c>
      <c r="K23" s="87">
        <v>14.77</v>
      </c>
      <c r="L23" s="87"/>
      <c r="M23" s="87">
        <v>110.76</v>
      </c>
      <c r="N23" s="87">
        <v>342</v>
      </c>
      <c r="O23" s="87">
        <f t="shared" si="0"/>
        <v>2350.4499999999998</v>
      </c>
      <c r="P23" s="87">
        <v>590.72</v>
      </c>
      <c r="Q23" s="87">
        <v>147.68</v>
      </c>
      <c r="R23" s="87">
        <v>36.92</v>
      </c>
      <c r="S23" s="87"/>
      <c r="T23" s="87"/>
      <c r="U23" s="87">
        <v>342</v>
      </c>
      <c r="V23" s="87">
        <f t="shared" si="1"/>
        <v>1117.3200000000002</v>
      </c>
      <c r="W23" s="87">
        <v>3741</v>
      </c>
      <c r="X23" s="87"/>
      <c r="Y23" s="88">
        <f t="shared" si="2"/>
        <v>7747.2999999999993</v>
      </c>
      <c r="AA23" s="86" t="s">
        <v>296</v>
      </c>
      <c r="AB23" s="86" t="s">
        <v>139</v>
      </c>
      <c r="AC23" s="86" t="s">
        <v>228</v>
      </c>
      <c r="AD23" s="89">
        <v>7308.76</v>
      </c>
      <c r="AE23" s="86" t="s">
        <v>287</v>
      </c>
      <c r="AF23" s="89">
        <v>438.54</v>
      </c>
    </row>
    <row r="24" spans="1:32" s="86" customFormat="1" ht="11.4" x14ac:dyDescent="0.25">
      <c r="A24" s="86">
        <v>9</v>
      </c>
      <c r="B24" s="86" t="s">
        <v>130</v>
      </c>
      <c r="C24" s="86" t="s">
        <v>284</v>
      </c>
      <c r="D24" s="86" t="s">
        <v>285</v>
      </c>
      <c r="E24" s="87">
        <v>452.55</v>
      </c>
      <c r="F24" s="87">
        <v>7384</v>
      </c>
      <c r="G24" s="87">
        <v>4570</v>
      </c>
      <c r="H24" s="87">
        <v>1181.44</v>
      </c>
      <c r="I24" s="87">
        <v>664.56</v>
      </c>
      <c r="J24" s="87">
        <v>36.92</v>
      </c>
      <c r="K24" s="87">
        <v>14.77</v>
      </c>
      <c r="L24" s="87"/>
      <c r="M24" s="87">
        <v>110.76</v>
      </c>
      <c r="N24" s="87">
        <v>320</v>
      </c>
      <c r="O24" s="87">
        <f t="shared" si="0"/>
        <v>2328.4499999999998</v>
      </c>
      <c r="P24" s="87">
        <v>590.72</v>
      </c>
      <c r="Q24" s="87">
        <v>147.68</v>
      </c>
      <c r="R24" s="87">
        <v>36.92</v>
      </c>
      <c r="S24" s="87"/>
      <c r="T24" s="87"/>
      <c r="U24" s="87">
        <v>320</v>
      </c>
      <c r="V24" s="87">
        <f t="shared" si="1"/>
        <v>1095.3200000000002</v>
      </c>
      <c r="W24" s="87">
        <v>2352</v>
      </c>
      <c r="X24" s="87"/>
      <c r="Y24" s="88">
        <f t="shared" si="2"/>
        <v>6228.32</v>
      </c>
      <c r="AA24" s="86" t="s">
        <v>297</v>
      </c>
      <c r="AB24" s="86" t="s">
        <v>131</v>
      </c>
      <c r="AC24" s="86" t="s">
        <v>228</v>
      </c>
      <c r="AD24" s="89">
        <v>5875.76</v>
      </c>
      <c r="AE24" s="86" t="s">
        <v>287</v>
      </c>
      <c r="AF24" s="89">
        <v>352.56</v>
      </c>
    </row>
    <row r="25" spans="1:32" s="86" customFormat="1" ht="11.4" x14ac:dyDescent="0.25">
      <c r="A25" s="86">
        <v>10</v>
      </c>
      <c r="B25" s="86" t="s">
        <v>113</v>
      </c>
      <c r="C25" s="86" t="s">
        <v>284</v>
      </c>
      <c r="D25" s="86" t="s">
        <v>285</v>
      </c>
      <c r="E25" s="87">
        <v>58.44</v>
      </c>
      <c r="F25" s="87"/>
      <c r="G25" s="87"/>
      <c r="H25" s="87"/>
      <c r="I25" s="87"/>
      <c r="J25" s="87"/>
      <c r="K25" s="87"/>
      <c r="L25" s="87"/>
      <c r="M25" s="87"/>
      <c r="N25" s="87"/>
      <c r="O25" s="87">
        <f t="shared" si="0"/>
        <v>0</v>
      </c>
      <c r="P25" s="87"/>
      <c r="Q25" s="87"/>
      <c r="R25" s="87"/>
      <c r="S25" s="87"/>
      <c r="T25" s="87"/>
      <c r="U25" s="87"/>
      <c r="V25" s="87">
        <f t="shared" si="1"/>
        <v>0</v>
      </c>
      <c r="W25" s="87">
        <v>974</v>
      </c>
      <c r="X25" s="87"/>
      <c r="Y25" s="88">
        <f t="shared" si="2"/>
        <v>1032.44</v>
      </c>
      <c r="AA25" s="86" t="s">
        <v>298</v>
      </c>
      <c r="AB25" s="86" t="s">
        <v>299</v>
      </c>
      <c r="AC25" s="86" t="s">
        <v>228</v>
      </c>
      <c r="AD25" s="89">
        <v>974</v>
      </c>
      <c r="AE25" s="86" t="s">
        <v>287</v>
      </c>
      <c r="AF25" s="89">
        <v>58.44</v>
      </c>
    </row>
    <row r="26" spans="1:32" s="86" customFormat="1" ht="11.4" x14ac:dyDescent="0.25">
      <c r="A26" s="86">
        <v>11</v>
      </c>
      <c r="B26" s="86" t="s">
        <v>140</v>
      </c>
      <c r="C26" s="86" t="s">
        <v>284</v>
      </c>
      <c r="D26" s="86" t="s">
        <v>285</v>
      </c>
      <c r="E26" s="87">
        <v>521.79</v>
      </c>
      <c r="F26" s="87">
        <v>7384</v>
      </c>
      <c r="G26" s="87">
        <v>4467</v>
      </c>
      <c r="H26" s="87">
        <v>1181.44</v>
      </c>
      <c r="I26" s="87">
        <v>664.56</v>
      </c>
      <c r="J26" s="87">
        <v>36.92</v>
      </c>
      <c r="K26" s="87">
        <v>14.77</v>
      </c>
      <c r="L26" s="87"/>
      <c r="M26" s="87">
        <v>110.76</v>
      </c>
      <c r="N26" s="87">
        <v>313</v>
      </c>
      <c r="O26" s="87">
        <f t="shared" si="0"/>
        <v>2321.4499999999998</v>
      </c>
      <c r="P26" s="87">
        <v>590.72</v>
      </c>
      <c r="Q26" s="87">
        <v>147.68</v>
      </c>
      <c r="R26" s="87">
        <v>36.92</v>
      </c>
      <c r="S26" s="87"/>
      <c r="T26" s="87"/>
      <c r="U26" s="87">
        <v>313</v>
      </c>
      <c r="V26" s="87">
        <f t="shared" si="1"/>
        <v>1088.3200000000002</v>
      </c>
      <c r="W26" s="87">
        <v>3520</v>
      </c>
      <c r="X26" s="87"/>
      <c r="Y26" s="88">
        <f t="shared" si="2"/>
        <v>7451.5599999999995</v>
      </c>
      <c r="AA26" s="86" t="s">
        <v>300</v>
      </c>
      <c r="AB26" s="86" t="s">
        <v>141</v>
      </c>
      <c r="AC26" s="86" t="s">
        <v>228</v>
      </c>
      <c r="AD26" s="89">
        <v>7029.76</v>
      </c>
      <c r="AE26" s="86" t="s">
        <v>287</v>
      </c>
      <c r="AF26" s="89">
        <v>421.8</v>
      </c>
    </row>
    <row r="27" spans="1:32" s="86" customFormat="1" ht="11.4" x14ac:dyDescent="0.25">
      <c r="A27" s="86">
        <v>12</v>
      </c>
      <c r="B27" s="86" t="s">
        <v>148</v>
      </c>
      <c r="C27" s="86" t="s">
        <v>284</v>
      </c>
      <c r="D27" s="86" t="s">
        <v>285</v>
      </c>
      <c r="E27" s="87">
        <v>788.12</v>
      </c>
      <c r="F27" s="87">
        <v>8677</v>
      </c>
      <c r="G27" s="87">
        <v>8677</v>
      </c>
      <c r="H27" s="87">
        <v>1388.32</v>
      </c>
      <c r="I27" s="87">
        <v>780.94</v>
      </c>
      <c r="J27" s="87">
        <v>43.39</v>
      </c>
      <c r="K27" s="87">
        <v>17.350000000000001</v>
      </c>
      <c r="L27" s="87"/>
      <c r="M27" s="87">
        <v>130.16</v>
      </c>
      <c r="N27" s="87">
        <v>607</v>
      </c>
      <c r="O27" s="87">
        <f t="shared" si="0"/>
        <v>2967.16</v>
      </c>
      <c r="P27" s="87">
        <v>694.16</v>
      </c>
      <c r="Q27" s="87">
        <v>173.54</v>
      </c>
      <c r="R27" s="87">
        <v>43.39</v>
      </c>
      <c r="S27" s="87"/>
      <c r="T27" s="87"/>
      <c r="U27" s="87">
        <v>607</v>
      </c>
      <c r="V27" s="87">
        <f t="shared" si="1"/>
        <v>1518.09</v>
      </c>
      <c r="W27" s="87">
        <v>6883.35</v>
      </c>
      <c r="X27" s="87"/>
      <c r="Y27" s="88">
        <f t="shared" si="2"/>
        <v>12156.720000000001</v>
      </c>
      <c r="AA27" s="86" t="s">
        <v>301</v>
      </c>
      <c r="AB27" s="86" t="s">
        <v>149</v>
      </c>
      <c r="AC27" s="86" t="s">
        <v>228</v>
      </c>
      <c r="AD27" s="89">
        <v>11468.61</v>
      </c>
      <c r="AE27" s="86" t="s">
        <v>287</v>
      </c>
      <c r="AF27" s="89">
        <v>688.11</v>
      </c>
    </row>
    <row r="28" spans="1:32" s="86" customFormat="1" ht="11.4" x14ac:dyDescent="0.25">
      <c r="A28" s="86">
        <v>13</v>
      </c>
      <c r="B28" s="86" t="s">
        <v>126</v>
      </c>
      <c r="C28" s="86" t="s">
        <v>284</v>
      </c>
      <c r="D28" s="86" t="s">
        <v>285</v>
      </c>
      <c r="E28" s="87">
        <v>544.59</v>
      </c>
      <c r="F28" s="87">
        <v>7384</v>
      </c>
      <c r="G28" s="87">
        <v>7189</v>
      </c>
      <c r="H28" s="87">
        <v>1181.44</v>
      </c>
      <c r="I28" s="87">
        <v>664.56</v>
      </c>
      <c r="J28" s="87">
        <v>36.92</v>
      </c>
      <c r="K28" s="87">
        <v>14.77</v>
      </c>
      <c r="L28" s="87"/>
      <c r="M28" s="87">
        <v>110.76</v>
      </c>
      <c r="N28" s="87">
        <v>503</v>
      </c>
      <c r="O28" s="87">
        <f t="shared" si="0"/>
        <v>2511.4499999999998</v>
      </c>
      <c r="P28" s="87">
        <v>590.72</v>
      </c>
      <c r="Q28" s="87">
        <v>147.68</v>
      </c>
      <c r="R28" s="87">
        <v>36.92</v>
      </c>
      <c r="S28" s="87"/>
      <c r="T28" s="87"/>
      <c r="U28" s="87">
        <v>503</v>
      </c>
      <c r="V28" s="87">
        <f t="shared" si="1"/>
        <v>1278.3200000000002</v>
      </c>
      <c r="W28" s="87">
        <v>3520</v>
      </c>
      <c r="X28" s="87"/>
      <c r="Y28" s="88">
        <f t="shared" si="2"/>
        <v>7854.3600000000006</v>
      </c>
      <c r="AA28" s="86" t="s">
        <v>302</v>
      </c>
      <c r="AB28" s="86" t="s">
        <v>127</v>
      </c>
      <c r="AC28" s="86" t="s">
        <v>228</v>
      </c>
      <c r="AD28" s="89">
        <v>7409.76</v>
      </c>
      <c r="AE28" s="86" t="s">
        <v>287</v>
      </c>
      <c r="AF28" s="89">
        <v>444.6</v>
      </c>
    </row>
    <row r="29" spans="1:32" s="86" customFormat="1" ht="11.4" x14ac:dyDescent="0.25">
      <c r="A29" s="86">
        <v>14</v>
      </c>
      <c r="B29" s="86" t="s">
        <v>146</v>
      </c>
      <c r="C29" s="86" t="s">
        <v>284</v>
      </c>
      <c r="D29" s="86" t="s">
        <v>285</v>
      </c>
      <c r="E29" s="87">
        <v>821.81999999999994</v>
      </c>
      <c r="F29" s="87">
        <v>8878</v>
      </c>
      <c r="G29" s="87">
        <v>8878</v>
      </c>
      <c r="H29" s="87">
        <v>1420.48</v>
      </c>
      <c r="I29" s="87">
        <v>799.02</v>
      </c>
      <c r="J29" s="87">
        <v>44.39</v>
      </c>
      <c r="K29" s="87">
        <v>17.760000000000002</v>
      </c>
      <c r="L29" s="87"/>
      <c r="M29" s="87">
        <v>133.16999999999999</v>
      </c>
      <c r="N29" s="87">
        <v>621</v>
      </c>
      <c r="O29" s="87">
        <f t="shared" si="0"/>
        <v>3035.82</v>
      </c>
      <c r="P29" s="87">
        <v>710.24</v>
      </c>
      <c r="Q29" s="87">
        <v>177.56</v>
      </c>
      <c r="R29" s="87">
        <v>44.39</v>
      </c>
      <c r="S29" s="87"/>
      <c r="T29" s="87"/>
      <c r="U29" s="87">
        <v>621</v>
      </c>
      <c r="V29" s="87">
        <f t="shared" si="1"/>
        <v>1553.19</v>
      </c>
      <c r="W29" s="87">
        <v>7341.37</v>
      </c>
      <c r="X29" s="87"/>
      <c r="Y29" s="88">
        <f t="shared" si="2"/>
        <v>12752.2</v>
      </c>
      <c r="AA29" s="86" t="s">
        <v>303</v>
      </c>
      <c r="AB29" s="86" t="s">
        <v>147</v>
      </c>
      <c r="AC29" s="86" t="s">
        <v>228</v>
      </c>
      <c r="AD29" s="89">
        <v>12030.39</v>
      </c>
      <c r="AE29" s="86" t="s">
        <v>287</v>
      </c>
      <c r="AF29" s="89">
        <v>721.81</v>
      </c>
    </row>
    <row r="30" spans="1:32" s="86" customFormat="1" ht="11.4" x14ac:dyDescent="0.25">
      <c r="A30" s="86">
        <v>15</v>
      </c>
      <c r="B30" s="86" t="s">
        <v>224</v>
      </c>
      <c r="C30" s="86" t="s">
        <v>284</v>
      </c>
      <c r="D30" s="90" t="s">
        <v>304</v>
      </c>
      <c r="E30" s="87">
        <v>530.42999999999995</v>
      </c>
      <c r="F30" s="87">
        <v>7384</v>
      </c>
      <c r="G30" s="87">
        <v>5493</v>
      </c>
      <c r="H30" s="87">
        <v>1181.44</v>
      </c>
      <c r="I30" s="87">
        <v>664.56</v>
      </c>
      <c r="J30" s="87">
        <v>36.92</v>
      </c>
      <c r="K30" s="87">
        <v>14.77</v>
      </c>
      <c r="L30" s="87"/>
      <c r="M30" s="87">
        <v>110.76</v>
      </c>
      <c r="N30" s="87">
        <v>385</v>
      </c>
      <c r="O30" s="87">
        <f t="shared" si="0"/>
        <v>2393.4499999999998</v>
      </c>
      <c r="P30" s="87">
        <v>590.72</v>
      </c>
      <c r="Q30" s="87">
        <v>147.68</v>
      </c>
      <c r="R30" s="87">
        <v>36.92</v>
      </c>
      <c r="S30" s="87"/>
      <c r="T30" s="87"/>
      <c r="U30" s="87">
        <v>385</v>
      </c>
      <c r="V30" s="87">
        <f t="shared" si="1"/>
        <v>1160.3200000000002</v>
      </c>
      <c r="W30" s="87">
        <v>3520</v>
      </c>
      <c r="X30" s="87"/>
      <c r="Y30" s="88">
        <f t="shared" si="2"/>
        <v>7604.2</v>
      </c>
      <c r="AA30" s="86" t="s">
        <v>305</v>
      </c>
      <c r="AB30" s="86" t="s">
        <v>306</v>
      </c>
      <c r="AC30" s="86" t="s">
        <v>228</v>
      </c>
      <c r="AD30" s="89">
        <v>7173.76</v>
      </c>
      <c r="AE30" s="86" t="s">
        <v>287</v>
      </c>
      <c r="AF30" s="89">
        <v>430.44</v>
      </c>
    </row>
    <row r="31" spans="1:32" s="86" customFormat="1" ht="11.4" x14ac:dyDescent="0.25">
      <c r="A31" s="86">
        <v>16</v>
      </c>
      <c r="B31" s="86" t="s">
        <v>136</v>
      </c>
      <c r="C31" s="86" t="s">
        <v>284</v>
      </c>
      <c r="D31" s="86" t="s">
        <v>285</v>
      </c>
      <c r="E31" s="87">
        <v>603.4</v>
      </c>
      <c r="F31" s="87">
        <v>7384</v>
      </c>
      <c r="G31" s="87">
        <v>7034</v>
      </c>
      <c r="H31" s="87">
        <v>1181.44</v>
      </c>
      <c r="I31" s="87">
        <v>664.56</v>
      </c>
      <c r="J31" s="87">
        <v>36.92</v>
      </c>
      <c r="K31" s="87">
        <v>14.77</v>
      </c>
      <c r="L31" s="87"/>
      <c r="M31" s="87">
        <v>110.76</v>
      </c>
      <c r="N31" s="87">
        <v>492</v>
      </c>
      <c r="O31" s="87">
        <f t="shared" si="0"/>
        <v>2500.4499999999998</v>
      </c>
      <c r="P31" s="87">
        <v>590.72</v>
      </c>
      <c r="Q31" s="87">
        <v>147.68</v>
      </c>
      <c r="R31" s="87">
        <v>36.92</v>
      </c>
      <c r="S31" s="87"/>
      <c r="T31" s="87"/>
      <c r="U31" s="87">
        <v>492</v>
      </c>
      <c r="V31" s="87">
        <f t="shared" si="1"/>
        <v>1267.3200000000002</v>
      </c>
      <c r="W31" s="87">
        <v>4522.24</v>
      </c>
      <c r="X31" s="87"/>
      <c r="Y31" s="88">
        <f t="shared" si="2"/>
        <v>8893.41</v>
      </c>
      <c r="AA31" s="86" t="s">
        <v>307</v>
      </c>
      <c r="AB31" s="86" t="s">
        <v>137</v>
      </c>
      <c r="AC31" s="86" t="s">
        <v>228</v>
      </c>
      <c r="AD31" s="89">
        <v>8390</v>
      </c>
      <c r="AE31" s="86" t="s">
        <v>287</v>
      </c>
      <c r="AF31" s="89">
        <v>503.41</v>
      </c>
    </row>
    <row r="32" spans="1:32" s="86" customFormat="1" ht="11.4" x14ac:dyDescent="0.25">
      <c r="A32" s="86">
        <v>17</v>
      </c>
      <c r="B32" s="86" t="s">
        <v>100</v>
      </c>
      <c r="C32" s="86" t="s">
        <v>284</v>
      </c>
      <c r="D32" s="86" t="s">
        <v>308</v>
      </c>
      <c r="E32" s="87">
        <v>506.79</v>
      </c>
      <c r="F32" s="87">
        <v>7384</v>
      </c>
      <c r="G32" s="87">
        <v>2690</v>
      </c>
      <c r="H32" s="87">
        <v>1181.44</v>
      </c>
      <c r="I32" s="87">
        <v>664.56</v>
      </c>
      <c r="J32" s="87">
        <v>36.92</v>
      </c>
      <c r="K32" s="87">
        <v>14.77</v>
      </c>
      <c r="L32" s="87"/>
      <c r="M32" s="87">
        <v>110.76</v>
      </c>
      <c r="N32" s="87">
        <v>188</v>
      </c>
      <c r="O32" s="87">
        <f t="shared" si="0"/>
        <v>2196.4499999999998</v>
      </c>
      <c r="P32" s="87">
        <v>590.72</v>
      </c>
      <c r="Q32" s="87">
        <v>147.68</v>
      </c>
      <c r="R32" s="87">
        <v>36.92</v>
      </c>
      <c r="S32" s="87"/>
      <c r="T32" s="87"/>
      <c r="U32" s="87">
        <v>188</v>
      </c>
      <c r="V32" s="87">
        <f t="shared" si="1"/>
        <v>963.32</v>
      </c>
      <c r="W32" s="87">
        <v>3520</v>
      </c>
      <c r="X32" s="87"/>
      <c r="Y32" s="88">
        <f t="shared" si="2"/>
        <v>7186.5599999999995</v>
      </c>
      <c r="AA32" s="86" t="s">
        <v>309</v>
      </c>
      <c r="AB32" s="86" t="s">
        <v>98</v>
      </c>
      <c r="AC32" s="86" t="s">
        <v>228</v>
      </c>
      <c r="AD32" s="89">
        <v>6779.76</v>
      </c>
      <c r="AE32" s="86" t="s">
        <v>287</v>
      </c>
      <c r="AF32" s="89">
        <v>406.8</v>
      </c>
    </row>
    <row r="33" spans="1:32" s="86" customFormat="1" ht="11.4" x14ac:dyDescent="0.25">
      <c r="A33" s="86">
        <v>18</v>
      </c>
      <c r="B33" s="86" t="s">
        <v>116</v>
      </c>
      <c r="C33" s="86" t="s">
        <v>284</v>
      </c>
      <c r="D33" s="86" t="s">
        <v>285</v>
      </c>
      <c r="E33" s="87">
        <v>670.27</v>
      </c>
      <c r="F33" s="87">
        <v>7384</v>
      </c>
      <c r="G33" s="87">
        <v>5300</v>
      </c>
      <c r="H33" s="87">
        <v>1181.44</v>
      </c>
      <c r="I33" s="87">
        <v>664.56</v>
      </c>
      <c r="J33" s="87">
        <v>36.92</v>
      </c>
      <c r="K33" s="87">
        <v>14.77</v>
      </c>
      <c r="L33" s="87"/>
      <c r="M33" s="87">
        <v>110.76</v>
      </c>
      <c r="N33" s="87">
        <v>371</v>
      </c>
      <c r="O33" s="87">
        <f t="shared" si="0"/>
        <v>2379.4499999999998</v>
      </c>
      <c r="P33" s="87">
        <v>590.72</v>
      </c>
      <c r="Q33" s="87">
        <v>147.68</v>
      </c>
      <c r="R33" s="87">
        <v>36.92</v>
      </c>
      <c r="S33" s="87"/>
      <c r="T33" s="87"/>
      <c r="U33" s="87">
        <v>371</v>
      </c>
      <c r="V33" s="87">
        <f t="shared" si="1"/>
        <v>1146.3200000000002</v>
      </c>
      <c r="W33" s="87">
        <v>5878.68</v>
      </c>
      <c r="X33" s="87"/>
      <c r="Y33" s="88">
        <f t="shared" si="2"/>
        <v>10074.720000000001</v>
      </c>
      <c r="AA33" s="86" t="s">
        <v>310</v>
      </c>
      <c r="AB33" s="86" t="s">
        <v>117</v>
      </c>
      <c r="AC33" s="86" t="s">
        <v>228</v>
      </c>
      <c r="AD33" s="89">
        <v>9504.44</v>
      </c>
      <c r="AE33" s="86" t="s">
        <v>287</v>
      </c>
      <c r="AF33" s="89">
        <v>570.28</v>
      </c>
    </row>
    <row r="34" spans="1:32" s="86" customFormat="1" ht="11.4" x14ac:dyDescent="0.25">
      <c r="A34" s="86">
        <v>19</v>
      </c>
      <c r="B34" s="86" t="s">
        <v>122</v>
      </c>
      <c r="C34" s="86" t="s">
        <v>284</v>
      </c>
      <c r="D34" s="86" t="s">
        <v>285</v>
      </c>
      <c r="E34" s="87">
        <v>584.15</v>
      </c>
      <c r="F34" s="87">
        <v>7556</v>
      </c>
      <c r="G34" s="87">
        <v>7556</v>
      </c>
      <c r="H34" s="87">
        <v>1208.96</v>
      </c>
      <c r="I34" s="87">
        <v>680.04</v>
      </c>
      <c r="J34" s="87">
        <v>37.78</v>
      </c>
      <c r="K34" s="87">
        <v>15.11</v>
      </c>
      <c r="L34" s="87"/>
      <c r="M34" s="87">
        <v>113.34</v>
      </c>
      <c r="N34" s="87">
        <v>529</v>
      </c>
      <c r="O34" s="87">
        <f t="shared" si="0"/>
        <v>2584.23</v>
      </c>
      <c r="P34" s="87">
        <v>604.48</v>
      </c>
      <c r="Q34" s="87">
        <v>151.12</v>
      </c>
      <c r="R34" s="87">
        <v>37.78</v>
      </c>
      <c r="S34" s="87"/>
      <c r="T34" s="87"/>
      <c r="U34" s="87">
        <v>529</v>
      </c>
      <c r="V34" s="87">
        <f t="shared" si="1"/>
        <v>1322.38</v>
      </c>
      <c r="W34" s="87">
        <v>4062.51</v>
      </c>
      <c r="X34" s="87"/>
      <c r="Y34" s="88">
        <f t="shared" si="2"/>
        <v>8553.27</v>
      </c>
      <c r="AA34" s="86" t="s">
        <v>311</v>
      </c>
      <c r="AB34" s="86" t="s">
        <v>123</v>
      </c>
      <c r="AC34" s="86" t="s">
        <v>228</v>
      </c>
      <c r="AD34" s="89">
        <v>8069.11</v>
      </c>
      <c r="AE34" s="86" t="s">
        <v>287</v>
      </c>
      <c r="AF34" s="89">
        <v>484.16</v>
      </c>
    </row>
    <row r="35" spans="1:32" s="86" customFormat="1" ht="11.4" x14ac:dyDescent="0.25">
      <c r="A35" s="86">
        <v>20</v>
      </c>
      <c r="B35" s="86" t="s">
        <v>164</v>
      </c>
      <c r="C35" s="86" t="s">
        <v>284</v>
      </c>
      <c r="D35" s="86" t="s">
        <v>285</v>
      </c>
      <c r="E35" s="87">
        <v>535.55999999999995</v>
      </c>
      <c r="F35" s="87">
        <v>7384</v>
      </c>
      <c r="G35" s="87">
        <v>2690</v>
      </c>
      <c r="H35" s="87">
        <v>1181.44</v>
      </c>
      <c r="I35" s="87">
        <v>664.56</v>
      </c>
      <c r="J35" s="87">
        <v>36.92</v>
      </c>
      <c r="K35" s="87">
        <v>14.77</v>
      </c>
      <c r="L35" s="87"/>
      <c r="M35" s="87">
        <v>110.76</v>
      </c>
      <c r="N35" s="87">
        <v>188</v>
      </c>
      <c r="O35" s="87">
        <f t="shared" si="0"/>
        <v>2196.4499999999998</v>
      </c>
      <c r="P35" s="87">
        <v>590.72</v>
      </c>
      <c r="Q35" s="87">
        <v>147.68</v>
      </c>
      <c r="R35" s="87">
        <v>36.92</v>
      </c>
      <c r="S35" s="87"/>
      <c r="T35" s="87"/>
      <c r="U35" s="87">
        <v>188</v>
      </c>
      <c r="V35" s="87">
        <f t="shared" si="1"/>
        <v>963.32</v>
      </c>
      <c r="W35" s="87">
        <v>3999.48</v>
      </c>
      <c r="X35" s="87"/>
      <c r="Y35" s="88">
        <f t="shared" si="2"/>
        <v>7694.8099999999995</v>
      </c>
      <c r="AA35" s="86" t="s">
        <v>312</v>
      </c>
      <c r="AB35" s="86" t="s">
        <v>165</v>
      </c>
      <c r="AC35" s="86" t="s">
        <v>228</v>
      </c>
      <c r="AD35" s="89">
        <v>7259.24</v>
      </c>
      <c r="AE35" s="86" t="s">
        <v>287</v>
      </c>
      <c r="AF35" s="89">
        <v>435.57</v>
      </c>
    </row>
    <row r="36" spans="1:32" s="86" customFormat="1" ht="11.4" x14ac:dyDescent="0.25">
      <c r="A36" s="86">
        <v>21</v>
      </c>
      <c r="B36" s="86" t="s">
        <v>142</v>
      </c>
      <c r="C36" s="86" t="s">
        <v>284</v>
      </c>
      <c r="D36" s="86" t="s">
        <v>285</v>
      </c>
      <c r="E36" s="87">
        <v>521.91</v>
      </c>
      <c r="F36" s="87">
        <v>7384</v>
      </c>
      <c r="G36" s="87">
        <v>4492</v>
      </c>
      <c r="H36" s="87">
        <v>1181.44</v>
      </c>
      <c r="I36" s="87">
        <v>664.56</v>
      </c>
      <c r="J36" s="87">
        <v>36.92</v>
      </c>
      <c r="K36" s="87">
        <v>14.77</v>
      </c>
      <c r="L36" s="87"/>
      <c r="M36" s="87">
        <v>110.76</v>
      </c>
      <c r="N36" s="87">
        <v>314</v>
      </c>
      <c r="O36" s="87">
        <f t="shared" si="0"/>
        <v>2322.4499999999998</v>
      </c>
      <c r="P36" s="87">
        <v>590.72</v>
      </c>
      <c r="Q36" s="87">
        <v>147.68</v>
      </c>
      <c r="R36" s="87">
        <v>36.92</v>
      </c>
      <c r="S36" s="87"/>
      <c r="T36" s="87"/>
      <c r="U36" s="87">
        <v>314</v>
      </c>
      <c r="V36" s="87">
        <f t="shared" si="1"/>
        <v>1089.3200000000002</v>
      </c>
      <c r="W36" s="87">
        <v>3520</v>
      </c>
      <c r="X36" s="87"/>
      <c r="Y36" s="88">
        <f t="shared" si="2"/>
        <v>7453.68</v>
      </c>
      <c r="AA36" s="86" t="s">
        <v>313</v>
      </c>
      <c r="AB36" s="86" t="s">
        <v>143</v>
      </c>
      <c r="AC36" s="86" t="s">
        <v>228</v>
      </c>
      <c r="AD36" s="89">
        <v>7031.76</v>
      </c>
      <c r="AE36" s="86" t="s">
        <v>287</v>
      </c>
      <c r="AF36" s="89">
        <v>421.92</v>
      </c>
    </row>
    <row r="37" spans="1:32" s="86" customFormat="1" ht="11.4" x14ac:dyDescent="0.25">
      <c r="A37" s="86">
        <v>22</v>
      </c>
      <c r="B37" s="86" t="s">
        <v>134</v>
      </c>
      <c r="C37" s="86" t="s">
        <v>284</v>
      </c>
      <c r="D37" s="86" t="s">
        <v>285</v>
      </c>
      <c r="E37" s="87">
        <v>677.44</v>
      </c>
      <c r="F37" s="87">
        <v>7384</v>
      </c>
      <c r="G37" s="87">
        <v>6353</v>
      </c>
      <c r="H37" s="87">
        <v>1181.44</v>
      </c>
      <c r="I37" s="87">
        <v>664.56</v>
      </c>
      <c r="J37" s="87">
        <v>36.92</v>
      </c>
      <c r="K37" s="87">
        <v>14.77</v>
      </c>
      <c r="L37" s="87"/>
      <c r="M37" s="87">
        <v>110.76</v>
      </c>
      <c r="N37" s="87">
        <v>445</v>
      </c>
      <c r="O37" s="87">
        <f t="shared" si="0"/>
        <v>2453.4499999999998</v>
      </c>
      <c r="P37" s="87">
        <v>590.72</v>
      </c>
      <c r="Q37" s="87">
        <v>147.68</v>
      </c>
      <c r="R37" s="87">
        <v>36.92</v>
      </c>
      <c r="S37" s="87"/>
      <c r="T37" s="87"/>
      <c r="U37" s="87">
        <v>445</v>
      </c>
      <c r="V37" s="87">
        <f t="shared" si="1"/>
        <v>1220.3200000000002</v>
      </c>
      <c r="W37" s="87">
        <v>5850.16</v>
      </c>
      <c r="X37" s="87"/>
      <c r="Y37" s="88">
        <f t="shared" si="2"/>
        <v>10201.369999999999</v>
      </c>
      <c r="AA37" s="86" t="s">
        <v>314</v>
      </c>
      <c r="AB37" s="86" t="s">
        <v>135</v>
      </c>
      <c r="AC37" s="86" t="s">
        <v>228</v>
      </c>
      <c r="AD37" s="89">
        <v>9623.92</v>
      </c>
      <c r="AE37" s="86" t="s">
        <v>287</v>
      </c>
      <c r="AF37" s="89">
        <v>577.45000000000005</v>
      </c>
    </row>
    <row r="38" spans="1:32" s="86" customFormat="1" ht="11.4" x14ac:dyDescent="0.25">
      <c r="A38" s="86">
        <v>23</v>
      </c>
      <c r="B38" s="86" t="s">
        <v>200</v>
      </c>
      <c r="C38" s="86" t="s">
        <v>284</v>
      </c>
      <c r="D38" s="86" t="s">
        <v>290</v>
      </c>
      <c r="E38" s="87">
        <v>508.14</v>
      </c>
      <c r="F38" s="87">
        <v>7384</v>
      </c>
      <c r="G38" s="87">
        <v>2690</v>
      </c>
      <c r="H38" s="87">
        <v>1181.44</v>
      </c>
      <c r="I38" s="87">
        <v>664.56</v>
      </c>
      <c r="J38" s="87">
        <v>36.92</v>
      </c>
      <c r="K38" s="87">
        <v>14.77</v>
      </c>
      <c r="L38" s="87"/>
      <c r="M38" s="87">
        <v>110.76</v>
      </c>
      <c r="N38" s="87">
        <v>188</v>
      </c>
      <c r="O38" s="87">
        <f t="shared" si="0"/>
        <v>2196.4499999999998</v>
      </c>
      <c r="P38" s="87">
        <v>590.72</v>
      </c>
      <c r="Q38" s="87">
        <v>147.68</v>
      </c>
      <c r="R38" s="87">
        <v>36.92</v>
      </c>
      <c r="S38" s="87"/>
      <c r="T38" s="87"/>
      <c r="U38" s="87">
        <v>188</v>
      </c>
      <c r="V38" s="87">
        <f t="shared" si="1"/>
        <v>963.32</v>
      </c>
      <c r="W38" s="87">
        <v>3542.56</v>
      </c>
      <c r="X38" s="87"/>
      <c r="Y38" s="88">
        <f t="shared" si="2"/>
        <v>7210.4699999999993</v>
      </c>
      <c r="AA38" s="86" t="s">
        <v>315</v>
      </c>
      <c r="AB38" s="86" t="s">
        <v>201</v>
      </c>
      <c r="AC38" s="86" t="s">
        <v>228</v>
      </c>
      <c r="AD38" s="89">
        <v>6802.32</v>
      </c>
      <c r="AE38" s="86" t="s">
        <v>287</v>
      </c>
      <c r="AF38" s="89">
        <v>408.15</v>
      </c>
    </row>
    <row r="39" spans="1:32" s="86" customFormat="1" ht="11.4" x14ac:dyDescent="0.25">
      <c r="A39" s="86">
        <v>24</v>
      </c>
      <c r="B39" s="86" t="s">
        <v>105</v>
      </c>
      <c r="C39" s="86" t="s">
        <v>284</v>
      </c>
      <c r="D39" s="86" t="s">
        <v>285</v>
      </c>
      <c r="E39" s="87">
        <v>962.24</v>
      </c>
      <c r="F39" s="87">
        <v>7384</v>
      </c>
      <c r="G39" s="87">
        <v>6878</v>
      </c>
      <c r="H39" s="87">
        <v>1181.44</v>
      </c>
      <c r="I39" s="87">
        <v>664.56</v>
      </c>
      <c r="J39" s="87">
        <v>36.92</v>
      </c>
      <c r="K39" s="87">
        <v>14.77</v>
      </c>
      <c r="L39" s="87"/>
      <c r="M39" s="87">
        <v>110.76</v>
      </c>
      <c r="N39" s="87">
        <v>481</v>
      </c>
      <c r="O39" s="87">
        <f t="shared" si="0"/>
        <v>2489.4499999999998</v>
      </c>
      <c r="P39" s="87">
        <v>590.72</v>
      </c>
      <c r="Q39" s="87">
        <v>147.68</v>
      </c>
      <c r="R39" s="87">
        <v>36.92</v>
      </c>
      <c r="S39" s="87"/>
      <c r="T39" s="87"/>
      <c r="U39" s="87">
        <v>481</v>
      </c>
      <c r="V39" s="87">
        <f t="shared" si="1"/>
        <v>1256.3200000000002</v>
      </c>
      <c r="W39" s="87">
        <v>10524.88</v>
      </c>
      <c r="X39" s="87"/>
      <c r="Y39" s="88">
        <f t="shared" si="2"/>
        <v>15232.89</v>
      </c>
      <c r="AA39" s="86" t="s">
        <v>316</v>
      </c>
      <c r="AB39" s="86" t="s">
        <v>106</v>
      </c>
      <c r="AC39" s="86" t="s">
        <v>228</v>
      </c>
      <c r="AD39" s="89">
        <v>14370.64</v>
      </c>
      <c r="AE39" s="86" t="s">
        <v>287</v>
      </c>
      <c r="AF39" s="89">
        <v>862.25</v>
      </c>
    </row>
    <row r="40" spans="1:32" s="86" customFormat="1" ht="11.4" x14ac:dyDescent="0.25">
      <c r="A40" s="86">
        <v>25</v>
      </c>
      <c r="B40" s="86" t="s">
        <v>156</v>
      </c>
      <c r="C40" s="86" t="s">
        <v>284</v>
      </c>
      <c r="D40" s="86" t="s">
        <v>285</v>
      </c>
      <c r="E40" s="87">
        <v>529.59</v>
      </c>
      <c r="F40" s="87">
        <v>7384</v>
      </c>
      <c r="G40" s="87">
        <v>5402</v>
      </c>
      <c r="H40" s="87">
        <v>1181.44</v>
      </c>
      <c r="I40" s="87">
        <v>664.56</v>
      </c>
      <c r="J40" s="87">
        <v>36.92</v>
      </c>
      <c r="K40" s="87">
        <v>14.77</v>
      </c>
      <c r="L40" s="87"/>
      <c r="M40" s="87">
        <v>110.76</v>
      </c>
      <c r="N40" s="87">
        <v>378</v>
      </c>
      <c r="O40" s="87">
        <f t="shared" si="0"/>
        <v>2386.4499999999998</v>
      </c>
      <c r="P40" s="87">
        <v>590.72</v>
      </c>
      <c r="Q40" s="87">
        <v>147.68</v>
      </c>
      <c r="R40" s="87">
        <v>36.92</v>
      </c>
      <c r="S40" s="87"/>
      <c r="T40" s="87"/>
      <c r="U40" s="87">
        <v>378</v>
      </c>
      <c r="V40" s="87">
        <f t="shared" si="1"/>
        <v>1153.3200000000002</v>
      </c>
      <c r="W40" s="87">
        <v>3520</v>
      </c>
      <c r="X40" s="87"/>
      <c r="Y40" s="88">
        <f t="shared" si="2"/>
        <v>7589.3600000000006</v>
      </c>
      <c r="AA40" s="86" t="s">
        <v>317</v>
      </c>
      <c r="AB40" s="86" t="s">
        <v>157</v>
      </c>
      <c r="AC40" s="86" t="s">
        <v>228</v>
      </c>
      <c r="AD40" s="89">
        <v>7159.76</v>
      </c>
      <c r="AE40" s="86" t="s">
        <v>287</v>
      </c>
      <c r="AF40" s="89">
        <v>429.6</v>
      </c>
    </row>
    <row r="41" spans="1:32" s="86" customFormat="1" ht="11.4" x14ac:dyDescent="0.25">
      <c r="A41" s="86">
        <v>26</v>
      </c>
      <c r="B41" s="86" t="s">
        <v>99</v>
      </c>
      <c r="C41" s="86" t="s">
        <v>284</v>
      </c>
      <c r="D41" s="86" t="s">
        <v>308</v>
      </c>
      <c r="E41" s="87">
        <v>497.79</v>
      </c>
      <c r="F41" s="87">
        <v>7384</v>
      </c>
      <c r="G41" s="87">
        <v>2690</v>
      </c>
      <c r="H41" s="87">
        <v>1181.44</v>
      </c>
      <c r="I41" s="87">
        <v>664.56</v>
      </c>
      <c r="J41" s="87">
        <v>36.92</v>
      </c>
      <c r="K41" s="87">
        <v>14.77</v>
      </c>
      <c r="L41" s="87"/>
      <c r="M41" s="87">
        <v>110.76</v>
      </c>
      <c r="N41" s="87">
        <v>188</v>
      </c>
      <c r="O41" s="87">
        <f t="shared" si="0"/>
        <v>2196.4499999999998</v>
      </c>
      <c r="P41" s="87">
        <v>590.72</v>
      </c>
      <c r="Q41" s="87">
        <v>147.68</v>
      </c>
      <c r="R41" s="87">
        <v>36.92</v>
      </c>
      <c r="S41" s="87"/>
      <c r="T41" s="87"/>
      <c r="U41" s="87">
        <v>188</v>
      </c>
      <c r="V41" s="87">
        <f t="shared" si="1"/>
        <v>963.32</v>
      </c>
      <c r="W41" s="87">
        <v>3370</v>
      </c>
      <c r="X41" s="87"/>
      <c r="Y41" s="88">
        <f t="shared" si="2"/>
        <v>7027.5599999999995</v>
      </c>
      <c r="AA41" s="86" t="s">
        <v>318</v>
      </c>
      <c r="AB41" s="86" t="s">
        <v>93</v>
      </c>
      <c r="AC41" s="86" t="s">
        <v>228</v>
      </c>
      <c r="AD41" s="89">
        <v>6629.76</v>
      </c>
      <c r="AE41" s="86" t="s">
        <v>287</v>
      </c>
      <c r="AF41" s="89">
        <v>397.8</v>
      </c>
    </row>
    <row r="42" spans="1:32" s="86" customFormat="1" ht="11.4" x14ac:dyDescent="0.25">
      <c r="A42" s="86">
        <v>27</v>
      </c>
      <c r="B42" s="86" t="s">
        <v>96</v>
      </c>
      <c r="C42" s="86" t="s">
        <v>284</v>
      </c>
      <c r="D42" s="86" t="s">
        <v>308</v>
      </c>
      <c r="E42" s="87">
        <v>573.51</v>
      </c>
      <c r="F42" s="87">
        <v>7384</v>
      </c>
      <c r="G42" s="87">
        <v>2690</v>
      </c>
      <c r="H42" s="87">
        <v>1181.44</v>
      </c>
      <c r="I42" s="87">
        <v>664.56</v>
      </c>
      <c r="J42" s="87">
        <v>36.92</v>
      </c>
      <c r="K42" s="87">
        <v>14.77</v>
      </c>
      <c r="L42" s="87"/>
      <c r="M42" s="87">
        <v>110.76</v>
      </c>
      <c r="N42" s="87">
        <v>188</v>
      </c>
      <c r="O42" s="87">
        <f t="shared" si="0"/>
        <v>2196.4499999999998</v>
      </c>
      <c r="P42" s="87">
        <v>590.72</v>
      </c>
      <c r="Q42" s="87">
        <v>147.68</v>
      </c>
      <c r="R42" s="87">
        <v>36.92</v>
      </c>
      <c r="S42" s="87"/>
      <c r="T42" s="87"/>
      <c r="U42" s="87">
        <v>188</v>
      </c>
      <c r="V42" s="87">
        <f t="shared" si="1"/>
        <v>963.32</v>
      </c>
      <c r="W42" s="87">
        <v>4631.92</v>
      </c>
      <c r="X42" s="87"/>
      <c r="Y42" s="88">
        <f t="shared" si="2"/>
        <v>8365.2000000000007</v>
      </c>
      <c r="AA42" s="86" t="s">
        <v>319</v>
      </c>
      <c r="AB42" s="86" t="s">
        <v>97</v>
      </c>
      <c r="AC42" s="86" t="s">
        <v>228</v>
      </c>
      <c r="AD42" s="89">
        <v>7891.68</v>
      </c>
      <c r="AE42" s="86" t="s">
        <v>287</v>
      </c>
      <c r="AF42" s="89">
        <v>473.52</v>
      </c>
    </row>
    <row r="43" spans="1:32" s="86" customFormat="1" ht="11.4" x14ac:dyDescent="0.25">
      <c r="A43" s="86">
        <v>28</v>
      </c>
      <c r="B43" s="86" t="s">
        <v>111</v>
      </c>
      <c r="C43" s="86" t="s">
        <v>284</v>
      </c>
      <c r="D43" s="86" t="s">
        <v>285</v>
      </c>
      <c r="E43" s="87">
        <v>523.47</v>
      </c>
      <c r="F43" s="87">
        <v>7384</v>
      </c>
      <c r="G43" s="87">
        <v>4668</v>
      </c>
      <c r="H43" s="87">
        <v>1181.44</v>
      </c>
      <c r="I43" s="87">
        <v>664.56</v>
      </c>
      <c r="J43" s="87">
        <v>36.92</v>
      </c>
      <c r="K43" s="87">
        <v>14.77</v>
      </c>
      <c r="L43" s="87"/>
      <c r="M43" s="87">
        <v>110.76</v>
      </c>
      <c r="N43" s="87">
        <v>327</v>
      </c>
      <c r="O43" s="87">
        <f t="shared" si="0"/>
        <v>2335.4499999999998</v>
      </c>
      <c r="P43" s="87">
        <v>590.72</v>
      </c>
      <c r="Q43" s="87">
        <v>147.68</v>
      </c>
      <c r="R43" s="87">
        <v>36.92</v>
      </c>
      <c r="S43" s="87"/>
      <c r="T43" s="87"/>
      <c r="U43" s="87">
        <v>327</v>
      </c>
      <c r="V43" s="87">
        <f t="shared" si="1"/>
        <v>1102.3200000000002</v>
      </c>
      <c r="W43" s="87">
        <v>3520</v>
      </c>
      <c r="X43" s="87"/>
      <c r="Y43" s="88">
        <f t="shared" si="2"/>
        <v>7481.24</v>
      </c>
      <c r="AA43" s="86" t="s">
        <v>320</v>
      </c>
      <c r="AB43" s="86" t="s">
        <v>112</v>
      </c>
      <c r="AC43" s="86" t="s">
        <v>228</v>
      </c>
      <c r="AD43" s="89">
        <v>7057.76</v>
      </c>
      <c r="AE43" s="86" t="s">
        <v>287</v>
      </c>
      <c r="AF43" s="89">
        <v>423.48</v>
      </c>
    </row>
    <row r="44" spans="1:32" s="86" customFormat="1" ht="11.4" x14ac:dyDescent="0.25">
      <c r="A44" s="86">
        <v>29</v>
      </c>
      <c r="B44" s="86" t="s">
        <v>124</v>
      </c>
      <c r="C44" s="86" t="s">
        <v>284</v>
      </c>
      <c r="D44" s="86" t="s">
        <v>285</v>
      </c>
      <c r="E44" s="87">
        <v>527.66999999999996</v>
      </c>
      <c r="F44" s="87">
        <v>7384</v>
      </c>
      <c r="G44" s="87">
        <v>5176</v>
      </c>
      <c r="H44" s="87">
        <v>1181.44</v>
      </c>
      <c r="I44" s="87">
        <v>664.56</v>
      </c>
      <c r="J44" s="87">
        <v>36.92</v>
      </c>
      <c r="K44" s="87">
        <v>14.77</v>
      </c>
      <c r="L44" s="87"/>
      <c r="M44" s="87">
        <v>110.76</v>
      </c>
      <c r="N44" s="87">
        <v>362</v>
      </c>
      <c r="O44" s="87">
        <f t="shared" si="0"/>
        <v>2370.4499999999998</v>
      </c>
      <c r="P44" s="87">
        <v>590.72</v>
      </c>
      <c r="Q44" s="87">
        <v>147.68</v>
      </c>
      <c r="R44" s="87">
        <v>36.92</v>
      </c>
      <c r="S44" s="87"/>
      <c r="T44" s="87"/>
      <c r="U44" s="87">
        <v>362</v>
      </c>
      <c r="V44" s="87">
        <f t="shared" si="1"/>
        <v>1137.3200000000002</v>
      </c>
      <c r="W44" s="87">
        <v>3520</v>
      </c>
      <c r="X44" s="87"/>
      <c r="Y44" s="88">
        <f t="shared" si="2"/>
        <v>7555.4400000000005</v>
      </c>
      <c r="AA44" s="86" t="s">
        <v>321</v>
      </c>
      <c r="AB44" s="86" t="s">
        <v>125</v>
      </c>
      <c r="AC44" s="86" t="s">
        <v>228</v>
      </c>
      <c r="AD44" s="89">
        <v>7127.76</v>
      </c>
      <c r="AE44" s="86" t="s">
        <v>287</v>
      </c>
      <c r="AF44" s="89">
        <v>427.68</v>
      </c>
    </row>
    <row r="45" spans="1:32" s="86" customFormat="1" ht="11.4" x14ac:dyDescent="0.25">
      <c r="A45" s="86">
        <v>30</v>
      </c>
      <c r="B45" s="86" t="s">
        <v>166</v>
      </c>
      <c r="C45" s="86" t="s">
        <v>284</v>
      </c>
      <c r="D45" s="86" t="s">
        <v>285</v>
      </c>
      <c r="E45" s="87">
        <v>527.18999999999994</v>
      </c>
      <c r="F45" s="87">
        <v>7384</v>
      </c>
      <c r="G45" s="87">
        <v>5121</v>
      </c>
      <c r="H45" s="87">
        <v>1181.44</v>
      </c>
      <c r="I45" s="87">
        <v>664.56</v>
      </c>
      <c r="J45" s="87">
        <v>36.92</v>
      </c>
      <c r="K45" s="87">
        <v>14.77</v>
      </c>
      <c r="L45" s="87"/>
      <c r="M45" s="87">
        <v>110.76</v>
      </c>
      <c r="N45" s="87">
        <v>358</v>
      </c>
      <c r="O45" s="87">
        <f t="shared" si="0"/>
        <v>2366.4499999999998</v>
      </c>
      <c r="P45" s="87">
        <v>590.72</v>
      </c>
      <c r="Q45" s="87">
        <v>147.68</v>
      </c>
      <c r="R45" s="87">
        <v>36.92</v>
      </c>
      <c r="S45" s="87"/>
      <c r="T45" s="87"/>
      <c r="U45" s="87">
        <v>358</v>
      </c>
      <c r="V45" s="87">
        <f t="shared" si="1"/>
        <v>1133.3200000000002</v>
      </c>
      <c r="W45" s="87">
        <v>3520</v>
      </c>
      <c r="X45" s="87"/>
      <c r="Y45" s="88">
        <f t="shared" si="2"/>
        <v>7546.96</v>
      </c>
      <c r="AA45" s="86" t="s">
        <v>322</v>
      </c>
      <c r="AB45" s="86" t="s">
        <v>167</v>
      </c>
      <c r="AC45" s="86" t="s">
        <v>228</v>
      </c>
      <c r="AD45" s="89">
        <v>7119.76</v>
      </c>
      <c r="AE45" s="86" t="s">
        <v>287</v>
      </c>
      <c r="AF45" s="89">
        <v>427.2</v>
      </c>
    </row>
    <row r="46" spans="1:32" s="86" customFormat="1" ht="11.4" x14ac:dyDescent="0.25">
      <c r="A46" s="86">
        <v>31</v>
      </c>
      <c r="B46" s="86" t="s">
        <v>154</v>
      </c>
      <c r="C46" s="86" t="s">
        <v>284</v>
      </c>
      <c r="D46" s="86" t="s">
        <v>285</v>
      </c>
      <c r="E46" s="87">
        <v>561.43000000000006</v>
      </c>
      <c r="F46" s="87">
        <v>7606</v>
      </c>
      <c r="G46" s="87">
        <v>7606</v>
      </c>
      <c r="H46" s="87">
        <v>1216.96</v>
      </c>
      <c r="I46" s="87">
        <v>684.54</v>
      </c>
      <c r="J46" s="87">
        <v>38.03</v>
      </c>
      <c r="K46" s="87">
        <v>15.21</v>
      </c>
      <c r="L46" s="87"/>
      <c r="M46" s="87">
        <v>114.09</v>
      </c>
      <c r="N46" s="87">
        <v>532</v>
      </c>
      <c r="O46" s="87">
        <f t="shared" si="0"/>
        <v>2600.83</v>
      </c>
      <c r="P46" s="87">
        <v>608.48</v>
      </c>
      <c r="Q46" s="87">
        <v>152.12</v>
      </c>
      <c r="R46" s="87">
        <v>38.03</v>
      </c>
      <c r="S46" s="87"/>
      <c r="T46" s="87"/>
      <c r="U46" s="87">
        <v>532</v>
      </c>
      <c r="V46" s="87">
        <f t="shared" si="1"/>
        <v>1330.63</v>
      </c>
      <c r="W46" s="87">
        <v>3659.02</v>
      </c>
      <c r="X46" s="87"/>
      <c r="Y46" s="88">
        <f t="shared" si="2"/>
        <v>8151.91</v>
      </c>
      <c r="AA46" s="86" t="s">
        <v>323</v>
      </c>
      <c r="AB46" s="86" t="s">
        <v>155</v>
      </c>
      <c r="AC46" s="86" t="s">
        <v>228</v>
      </c>
      <c r="AD46" s="89">
        <v>7690.48</v>
      </c>
      <c r="AE46" s="86" t="s">
        <v>287</v>
      </c>
      <c r="AF46" s="89">
        <v>461.43</v>
      </c>
    </row>
    <row r="47" spans="1:32" s="86" customFormat="1" ht="11.4" x14ac:dyDescent="0.25">
      <c r="A47" s="86">
        <v>32</v>
      </c>
      <c r="B47" s="86" t="s">
        <v>162</v>
      </c>
      <c r="C47" s="86" t="s">
        <v>284</v>
      </c>
      <c r="D47" s="86" t="s">
        <v>285</v>
      </c>
      <c r="E47" s="87">
        <v>988.61</v>
      </c>
      <c r="F47" s="87">
        <v>12662</v>
      </c>
      <c r="G47" s="87">
        <v>12662</v>
      </c>
      <c r="H47" s="87">
        <v>2025.92</v>
      </c>
      <c r="I47" s="87">
        <v>1139.58</v>
      </c>
      <c r="J47" s="87">
        <v>63.31</v>
      </c>
      <c r="K47" s="87">
        <v>25.32</v>
      </c>
      <c r="L47" s="87"/>
      <c r="M47" s="87">
        <v>189.93</v>
      </c>
      <c r="N47" s="87">
        <v>886</v>
      </c>
      <c r="O47" s="87">
        <f t="shared" si="0"/>
        <v>4330.0599999999995</v>
      </c>
      <c r="P47" s="87">
        <v>1012.96</v>
      </c>
      <c r="Q47" s="87">
        <v>253.24</v>
      </c>
      <c r="R47" s="87">
        <v>63.31</v>
      </c>
      <c r="S47" s="87"/>
      <c r="T47" s="87"/>
      <c r="U47" s="87">
        <v>886</v>
      </c>
      <c r="V47" s="87">
        <f t="shared" si="1"/>
        <v>2215.5100000000002</v>
      </c>
      <c r="W47" s="87">
        <v>8164.69</v>
      </c>
      <c r="X47" s="87"/>
      <c r="Y47" s="88">
        <f t="shared" si="2"/>
        <v>15698.869999999999</v>
      </c>
      <c r="AA47" s="86" t="s">
        <v>324</v>
      </c>
      <c r="AB47" s="86" t="s">
        <v>163</v>
      </c>
      <c r="AC47" s="86" t="s">
        <v>228</v>
      </c>
      <c r="AD47" s="89">
        <v>14810.25</v>
      </c>
      <c r="AE47" s="86" t="s">
        <v>287</v>
      </c>
      <c r="AF47" s="89">
        <v>888.62</v>
      </c>
    </row>
    <row r="48" spans="1:32" s="86" customFormat="1" ht="11.4" x14ac:dyDescent="0.25">
      <c r="A48" s="86">
        <v>33</v>
      </c>
      <c r="B48" s="86" t="s">
        <v>128</v>
      </c>
      <c r="C48" s="86" t="s">
        <v>284</v>
      </c>
      <c r="D48" s="86" t="s">
        <v>285</v>
      </c>
      <c r="E48" s="87">
        <v>543.61</v>
      </c>
      <c r="F48" s="87">
        <v>7384</v>
      </c>
      <c r="G48" s="87">
        <v>5148</v>
      </c>
      <c r="H48" s="87">
        <v>1181.44</v>
      </c>
      <c r="I48" s="87">
        <v>664.56</v>
      </c>
      <c r="J48" s="87">
        <v>36.92</v>
      </c>
      <c r="K48" s="87">
        <v>14.77</v>
      </c>
      <c r="L48" s="87"/>
      <c r="M48" s="87">
        <v>110.76</v>
      </c>
      <c r="N48" s="87">
        <v>360</v>
      </c>
      <c r="O48" s="87">
        <f t="shared" si="0"/>
        <v>2368.4499999999998</v>
      </c>
      <c r="P48" s="87">
        <v>590.72</v>
      </c>
      <c r="Q48" s="87">
        <v>147.68</v>
      </c>
      <c r="R48" s="87">
        <v>36.92</v>
      </c>
      <c r="S48" s="87"/>
      <c r="T48" s="87"/>
      <c r="U48" s="87">
        <v>360</v>
      </c>
      <c r="V48" s="87">
        <f t="shared" si="1"/>
        <v>1135.3200000000002</v>
      </c>
      <c r="W48" s="87">
        <v>3789.6</v>
      </c>
      <c r="X48" s="87"/>
      <c r="Y48" s="88">
        <f t="shared" si="2"/>
        <v>7836.98</v>
      </c>
      <c r="AA48" s="86" t="s">
        <v>325</v>
      </c>
      <c r="AB48" s="86" t="s">
        <v>129</v>
      </c>
      <c r="AC48" s="86" t="s">
        <v>228</v>
      </c>
      <c r="AD48" s="89">
        <v>7393.36</v>
      </c>
      <c r="AE48" s="86" t="s">
        <v>287</v>
      </c>
      <c r="AF48" s="89">
        <v>443.62</v>
      </c>
    </row>
    <row r="49" spans="1:32" s="86" customFormat="1" ht="11.4" x14ac:dyDescent="0.25">
      <c r="A49" s="86">
        <v>34</v>
      </c>
      <c r="B49" s="86" t="s">
        <v>204</v>
      </c>
      <c r="C49" s="86" t="s">
        <v>284</v>
      </c>
      <c r="D49" s="86" t="s">
        <v>290</v>
      </c>
      <c r="E49" s="87">
        <v>1377.72</v>
      </c>
      <c r="F49" s="87">
        <v>8196</v>
      </c>
      <c r="G49" s="87">
        <v>8196</v>
      </c>
      <c r="H49" s="87">
        <v>1311.36</v>
      </c>
      <c r="I49" s="87">
        <v>737.64</v>
      </c>
      <c r="J49" s="87">
        <v>40.98</v>
      </c>
      <c r="K49" s="87">
        <v>16.39</v>
      </c>
      <c r="L49" s="87"/>
      <c r="M49" s="87">
        <v>122.94</v>
      </c>
      <c r="N49" s="87">
        <v>574</v>
      </c>
      <c r="O49" s="87">
        <f t="shared" si="0"/>
        <v>2803.31</v>
      </c>
      <c r="P49" s="87">
        <v>655.68</v>
      </c>
      <c r="Q49" s="87">
        <v>163.92</v>
      </c>
      <c r="R49" s="87">
        <v>40.98</v>
      </c>
      <c r="S49" s="87"/>
      <c r="T49" s="87"/>
      <c r="U49" s="87">
        <v>574</v>
      </c>
      <c r="V49" s="87">
        <f t="shared" si="1"/>
        <v>1434.58</v>
      </c>
      <c r="W49" s="87">
        <v>16957.419999999998</v>
      </c>
      <c r="X49" s="87"/>
      <c r="Y49" s="88">
        <f t="shared" si="2"/>
        <v>22573.03</v>
      </c>
      <c r="AA49" s="86" t="s">
        <v>326</v>
      </c>
      <c r="AB49" s="86" t="s">
        <v>205</v>
      </c>
      <c r="AC49" s="86" t="s">
        <v>228</v>
      </c>
      <c r="AD49" s="89">
        <v>21295.3</v>
      </c>
      <c r="AE49" s="86" t="s">
        <v>287</v>
      </c>
      <c r="AF49" s="89">
        <v>1277.73</v>
      </c>
    </row>
    <row r="50" spans="1:32" s="86" customFormat="1" ht="11.4" x14ac:dyDescent="0.25">
      <c r="A50" s="86">
        <v>35</v>
      </c>
      <c r="B50" s="86" t="s">
        <v>152</v>
      </c>
      <c r="C50" s="86" t="s">
        <v>284</v>
      </c>
      <c r="D50" s="86" t="s">
        <v>285</v>
      </c>
      <c r="E50" s="87">
        <v>529.82999999999993</v>
      </c>
      <c r="F50" s="87">
        <v>7384</v>
      </c>
      <c r="G50" s="87">
        <v>5432</v>
      </c>
      <c r="H50" s="87">
        <v>1181.44</v>
      </c>
      <c r="I50" s="87">
        <v>664.56</v>
      </c>
      <c r="J50" s="87">
        <v>36.92</v>
      </c>
      <c r="K50" s="87">
        <v>14.77</v>
      </c>
      <c r="L50" s="87"/>
      <c r="M50" s="87">
        <v>110.76</v>
      </c>
      <c r="N50" s="87">
        <v>380</v>
      </c>
      <c r="O50" s="87">
        <f t="shared" si="0"/>
        <v>2388.4499999999998</v>
      </c>
      <c r="P50" s="87">
        <v>590.72</v>
      </c>
      <c r="Q50" s="87">
        <v>147.68</v>
      </c>
      <c r="R50" s="87">
        <v>36.92</v>
      </c>
      <c r="S50" s="87"/>
      <c r="T50" s="87"/>
      <c r="U50" s="87">
        <v>380</v>
      </c>
      <c r="V50" s="87">
        <f t="shared" si="1"/>
        <v>1155.3200000000002</v>
      </c>
      <c r="W50" s="87">
        <v>3520</v>
      </c>
      <c r="X50" s="87"/>
      <c r="Y50" s="88">
        <f t="shared" si="2"/>
        <v>7593.6</v>
      </c>
      <c r="AA50" s="86" t="s">
        <v>327</v>
      </c>
      <c r="AB50" s="86" t="s">
        <v>153</v>
      </c>
      <c r="AC50" s="86" t="s">
        <v>228</v>
      </c>
      <c r="AD50" s="89">
        <v>7163.76</v>
      </c>
      <c r="AE50" s="86" t="s">
        <v>287</v>
      </c>
      <c r="AF50" s="89">
        <v>429.84</v>
      </c>
    </row>
    <row r="51" spans="1:32" s="86" customFormat="1" ht="11.4" x14ac:dyDescent="0.25">
      <c r="A51" s="86">
        <v>36</v>
      </c>
      <c r="B51" s="86" t="s">
        <v>132</v>
      </c>
      <c r="C51" s="86" t="s">
        <v>284</v>
      </c>
      <c r="D51" s="86" t="s">
        <v>285</v>
      </c>
      <c r="E51" s="87">
        <v>593.46</v>
      </c>
      <c r="F51" s="87">
        <v>8182</v>
      </c>
      <c r="G51" s="87">
        <v>8182</v>
      </c>
      <c r="H51" s="87">
        <v>1309.1199999999999</v>
      </c>
      <c r="I51" s="87">
        <v>736.38</v>
      </c>
      <c r="J51" s="87">
        <v>40.909999999999997</v>
      </c>
      <c r="K51" s="87">
        <v>16.36</v>
      </c>
      <c r="L51" s="87"/>
      <c r="M51" s="87">
        <v>122.73</v>
      </c>
      <c r="N51" s="87">
        <v>573</v>
      </c>
      <c r="O51" s="87">
        <f t="shared" si="0"/>
        <v>2798.5</v>
      </c>
      <c r="P51" s="87">
        <v>654.55999999999995</v>
      </c>
      <c r="Q51" s="87">
        <v>163.63999999999999</v>
      </c>
      <c r="R51" s="87">
        <v>40.909999999999997</v>
      </c>
      <c r="S51" s="87"/>
      <c r="T51" s="87"/>
      <c r="U51" s="87">
        <v>573</v>
      </c>
      <c r="V51" s="87">
        <f t="shared" si="1"/>
        <v>1432.11</v>
      </c>
      <c r="W51" s="87">
        <v>3893.65</v>
      </c>
      <c r="X51" s="87"/>
      <c r="Y51" s="88">
        <f t="shared" si="2"/>
        <v>8717.7199999999993</v>
      </c>
      <c r="AA51" s="86" t="s">
        <v>328</v>
      </c>
      <c r="AB51" s="86" t="s">
        <v>133</v>
      </c>
      <c r="AC51" s="86" t="s">
        <v>228</v>
      </c>
      <c r="AD51" s="89">
        <v>8224.2800000000007</v>
      </c>
      <c r="AE51" s="86" t="s">
        <v>287</v>
      </c>
      <c r="AF51" s="89">
        <v>493.44</v>
      </c>
    </row>
    <row r="52" spans="1:32" s="86" customFormat="1" ht="11.4" x14ac:dyDescent="0.25">
      <c r="A52" s="86">
        <v>37</v>
      </c>
      <c r="B52" s="86" t="s">
        <v>120</v>
      </c>
      <c r="C52" s="86" t="s">
        <v>284</v>
      </c>
      <c r="D52" s="86" t="s">
        <v>285</v>
      </c>
      <c r="E52" s="87">
        <v>784.42</v>
      </c>
      <c r="F52" s="87">
        <v>12769</v>
      </c>
      <c r="G52" s="87">
        <v>12769</v>
      </c>
      <c r="H52" s="87">
        <v>2043.04</v>
      </c>
      <c r="I52" s="87">
        <v>1149.22</v>
      </c>
      <c r="J52" s="87">
        <v>63.85</v>
      </c>
      <c r="K52" s="87">
        <v>25.54</v>
      </c>
      <c r="L52" s="87"/>
      <c r="M52" s="87">
        <v>191.54</v>
      </c>
      <c r="N52" s="87">
        <v>894</v>
      </c>
      <c r="O52" s="87">
        <f t="shared" si="0"/>
        <v>4367.1900000000005</v>
      </c>
      <c r="P52" s="87">
        <v>1021.52</v>
      </c>
      <c r="Q52" s="87">
        <v>255.38</v>
      </c>
      <c r="R52" s="87">
        <v>63.85</v>
      </c>
      <c r="S52" s="87"/>
      <c r="T52" s="87"/>
      <c r="U52" s="87">
        <v>894</v>
      </c>
      <c r="V52" s="87">
        <f t="shared" si="1"/>
        <v>2234.75</v>
      </c>
      <c r="W52" s="87">
        <v>4705.05</v>
      </c>
      <c r="X52" s="87"/>
      <c r="Y52" s="88">
        <f t="shared" si="2"/>
        <v>12091.41</v>
      </c>
      <c r="AA52" s="86" t="s">
        <v>329</v>
      </c>
      <c r="AB52" s="86" t="s">
        <v>121</v>
      </c>
      <c r="AC52" s="86" t="s">
        <v>228</v>
      </c>
      <c r="AD52" s="89">
        <v>11407.01</v>
      </c>
      <c r="AE52" s="86" t="s">
        <v>287</v>
      </c>
      <c r="AF52" s="89">
        <v>684.4</v>
      </c>
    </row>
    <row r="53" spans="1:32" s="86" customFormat="1" ht="11.4" x14ac:dyDescent="0.25">
      <c r="A53" s="86">
        <v>38</v>
      </c>
      <c r="B53" s="86" t="s">
        <v>107</v>
      </c>
      <c r="C53" s="86" t="s">
        <v>284</v>
      </c>
      <c r="D53" s="86" t="s">
        <v>285</v>
      </c>
      <c r="E53" s="87">
        <v>654.11</v>
      </c>
      <c r="F53" s="87">
        <v>8131</v>
      </c>
      <c r="G53" s="87">
        <v>8131</v>
      </c>
      <c r="H53" s="87">
        <v>1300.96</v>
      </c>
      <c r="I53" s="87">
        <v>731.8</v>
      </c>
      <c r="J53" s="87">
        <v>40.659999999999997</v>
      </c>
      <c r="K53" s="87">
        <v>16.260000000000002</v>
      </c>
      <c r="L53" s="87"/>
      <c r="M53" s="87">
        <v>121.97</v>
      </c>
      <c r="N53" s="87">
        <v>569</v>
      </c>
      <c r="O53" s="87">
        <f t="shared" si="0"/>
        <v>2780.65</v>
      </c>
      <c r="P53" s="87">
        <v>650.48</v>
      </c>
      <c r="Q53" s="87">
        <v>162.62</v>
      </c>
      <c r="R53" s="87">
        <v>40.659999999999997</v>
      </c>
      <c r="S53" s="87"/>
      <c r="T53" s="87"/>
      <c r="U53" s="87">
        <v>569</v>
      </c>
      <c r="V53" s="87">
        <f t="shared" si="1"/>
        <v>1422.76</v>
      </c>
      <c r="W53" s="87">
        <v>4931.88</v>
      </c>
      <c r="X53" s="87"/>
      <c r="Y53" s="88">
        <f t="shared" si="2"/>
        <v>9789.4000000000015</v>
      </c>
      <c r="AA53" s="86" t="s">
        <v>330</v>
      </c>
      <c r="AB53" s="86" t="s">
        <v>108</v>
      </c>
      <c r="AC53" s="86" t="s">
        <v>228</v>
      </c>
      <c r="AD53" s="89">
        <v>9235.27</v>
      </c>
      <c r="AE53" s="86" t="s">
        <v>287</v>
      </c>
      <c r="AF53" s="89">
        <v>554.13</v>
      </c>
    </row>
    <row r="54" spans="1:32" s="86" customFormat="1" ht="11.4" x14ac:dyDescent="0.25">
      <c r="A54" s="86">
        <v>39</v>
      </c>
      <c r="B54" s="86" t="s">
        <v>92</v>
      </c>
      <c r="C54" s="86" t="s">
        <v>284</v>
      </c>
      <c r="D54" s="86" t="s">
        <v>308</v>
      </c>
      <c r="E54" s="87">
        <v>703.67</v>
      </c>
      <c r="F54" s="87">
        <v>7384</v>
      </c>
      <c r="G54" s="87">
        <v>2690</v>
      </c>
      <c r="H54" s="87">
        <v>1181.44</v>
      </c>
      <c r="I54" s="87">
        <v>664.56</v>
      </c>
      <c r="J54" s="87">
        <v>36.92</v>
      </c>
      <c r="K54" s="87">
        <v>14.77</v>
      </c>
      <c r="L54" s="87"/>
      <c r="M54" s="87">
        <v>110.76</v>
      </c>
      <c r="N54" s="87">
        <v>188</v>
      </c>
      <c r="O54" s="87">
        <f t="shared" si="0"/>
        <v>2196.4499999999998</v>
      </c>
      <c r="P54" s="87">
        <v>590.72</v>
      </c>
      <c r="Q54" s="87">
        <v>147.68</v>
      </c>
      <c r="R54" s="87">
        <v>36.92</v>
      </c>
      <c r="S54" s="87"/>
      <c r="T54" s="87"/>
      <c r="U54" s="87">
        <v>188</v>
      </c>
      <c r="V54" s="87">
        <f t="shared" si="1"/>
        <v>963.32</v>
      </c>
      <c r="W54" s="87">
        <v>6801.28</v>
      </c>
      <c r="X54" s="87"/>
      <c r="Y54" s="88">
        <f t="shared" si="2"/>
        <v>10664.72</v>
      </c>
      <c r="AA54" s="86" t="s">
        <v>331</v>
      </c>
      <c r="AB54" s="86" t="s">
        <v>332</v>
      </c>
      <c r="AC54" s="86" t="s">
        <v>228</v>
      </c>
      <c r="AD54" s="89">
        <v>10061.040000000001</v>
      </c>
      <c r="AE54" s="86" t="s">
        <v>287</v>
      </c>
      <c r="AF54" s="89">
        <v>603.67999999999995</v>
      </c>
    </row>
    <row r="55" spans="1:32" s="86" customFormat="1" ht="11.4" x14ac:dyDescent="0.25">
      <c r="A55" s="86">
        <v>40</v>
      </c>
      <c r="B55" s="86" t="s">
        <v>94</v>
      </c>
      <c r="C55" s="86" t="s">
        <v>284</v>
      </c>
      <c r="D55" s="86" t="s">
        <v>308</v>
      </c>
      <c r="E55" s="87">
        <v>497.79</v>
      </c>
      <c r="F55" s="87">
        <v>7384</v>
      </c>
      <c r="G55" s="87">
        <v>2690</v>
      </c>
      <c r="H55" s="87">
        <v>1181.44</v>
      </c>
      <c r="I55" s="87">
        <v>664.56</v>
      </c>
      <c r="J55" s="87">
        <v>36.92</v>
      </c>
      <c r="K55" s="87">
        <v>14.77</v>
      </c>
      <c r="L55" s="87"/>
      <c r="M55" s="87">
        <v>110.76</v>
      </c>
      <c r="N55" s="87">
        <v>188</v>
      </c>
      <c r="O55" s="87">
        <f t="shared" si="0"/>
        <v>2196.4499999999998</v>
      </c>
      <c r="P55" s="87">
        <v>590.72</v>
      </c>
      <c r="Q55" s="87">
        <v>147.68</v>
      </c>
      <c r="R55" s="87">
        <v>36.92</v>
      </c>
      <c r="S55" s="87"/>
      <c r="T55" s="87"/>
      <c r="U55" s="87">
        <v>188</v>
      </c>
      <c r="V55" s="87">
        <f t="shared" si="1"/>
        <v>963.32</v>
      </c>
      <c r="W55" s="87">
        <v>3370</v>
      </c>
      <c r="X55" s="87"/>
      <c r="Y55" s="88">
        <f t="shared" si="2"/>
        <v>7027.5599999999995</v>
      </c>
      <c r="AA55" s="86" t="s">
        <v>333</v>
      </c>
      <c r="AB55" s="86" t="s">
        <v>95</v>
      </c>
      <c r="AC55" s="86" t="s">
        <v>228</v>
      </c>
      <c r="AD55" s="89">
        <v>6629.76</v>
      </c>
      <c r="AE55" s="86" t="s">
        <v>287</v>
      </c>
      <c r="AF55" s="89">
        <v>397.8</v>
      </c>
    </row>
    <row r="56" spans="1:32" s="86" customFormat="1" ht="11.4" x14ac:dyDescent="0.25">
      <c r="A56" s="86">
        <v>41</v>
      </c>
      <c r="B56" s="86" t="s">
        <v>160</v>
      </c>
      <c r="C56" s="86" t="s">
        <v>284</v>
      </c>
      <c r="D56" s="86" t="s">
        <v>285</v>
      </c>
      <c r="E56" s="87">
        <v>547.16999999999996</v>
      </c>
      <c r="F56" s="87">
        <v>7384</v>
      </c>
      <c r="G56" s="87">
        <v>4849</v>
      </c>
      <c r="H56" s="87">
        <v>1181.44</v>
      </c>
      <c r="I56" s="87">
        <v>664.56</v>
      </c>
      <c r="J56" s="87">
        <v>36.92</v>
      </c>
      <c r="K56" s="87">
        <v>14.77</v>
      </c>
      <c r="L56" s="87"/>
      <c r="M56" s="87">
        <v>110.76</v>
      </c>
      <c r="N56" s="87">
        <v>339</v>
      </c>
      <c r="O56" s="87">
        <f t="shared" si="0"/>
        <v>2347.4499999999998</v>
      </c>
      <c r="P56" s="87">
        <v>590.72</v>
      </c>
      <c r="Q56" s="87">
        <v>147.68</v>
      </c>
      <c r="R56" s="87">
        <v>36.92</v>
      </c>
      <c r="S56" s="87"/>
      <c r="T56" s="87"/>
      <c r="U56" s="87">
        <v>339</v>
      </c>
      <c r="V56" s="87">
        <f t="shared" si="1"/>
        <v>1114.3200000000002</v>
      </c>
      <c r="W56" s="87">
        <v>3891</v>
      </c>
      <c r="X56" s="87"/>
      <c r="Y56" s="88">
        <f>SUM(E56,O56,V56:X56)</f>
        <v>7899.9400000000005</v>
      </c>
      <c r="AA56" s="86" t="s">
        <v>334</v>
      </c>
      <c r="AB56" s="86" t="s">
        <v>161</v>
      </c>
      <c r="AC56" s="86" t="s">
        <v>228</v>
      </c>
      <c r="AD56" s="89">
        <v>7452.76</v>
      </c>
      <c r="AE56" s="86" t="s">
        <v>287</v>
      </c>
      <c r="AF56" s="89">
        <v>447.18</v>
      </c>
    </row>
    <row r="57" spans="1:32" s="86" customFormat="1" ht="11.4" x14ac:dyDescent="0.25">
      <c r="A57" s="86" t="s">
        <v>335</v>
      </c>
      <c r="E57" s="87">
        <f>SUM(E16:E56)</f>
        <v>27358.729999999996</v>
      </c>
      <c r="F57" s="87"/>
      <c r="G57" s="87"/>
      <c r="H57" s="87">
        <f t="shared" ref="H57:Y57" si="3">SUM(H16:H56)</f>
        <v>52287.520000000004</v>
      </c>
      <c r="I57" s="87">
        <f t="shared" si="3"/>
        <v>29411.78000000001</v>
      </c>
      <c r="J57" s="87">
        <f t="shared" si="3"/>
        <v>1634.0100000000002</v>
      </c>
      <c r="K57" s="87">
        <f t="shared" si="3"/>
        <v>653.62999999999965</v>
      </c>
      <c r="L57" s="87">
        <f t="shared" si="3"/>
        <v>0</v>
      </c>
      <c r="M57" s="87">
        <f t="shared" si="3"/>
        <v>4901.9800000000032</v>
      </c>
      <c r="N57" s="87">
        <f t="shared" si="3"/>
        <v>17574</v>
      </c>
      <c r="O57" s="87">
        <f t="shared" si="3"/>
        <v>106462.91999999994</v>
      </c>
      <c r="P57" s="87">
        <f t="shared" si="3"/>
        <v>26143.760000000002</v>
      </c>
      <c r="Q57" s="87">
        <f t="shared" si="3"/>
        <v>6535.9400000000005</v>
      </c>
      <c r="R57" s="87">
        <f t="shared" si="3"/>
        <v>1634.0100000000002</v>
      </c>
      <c r="S57" s="87">
        <f t="shared" si="3"/>
        <v>0</v>
      </c>
      <c r="T57" s="87">
        <f t="shared" si="3"/>
        <v>0</v>
      </c>
      <c r="U57" s="87">
        <f t="shared" si="3"/>
        <v>17574</v>
      </c>
      <c r="V57" s="87">
        <f t="shared" si="3"/>
        <v>51887.71</v>
      </c>
      <c r="W57" s="87">
        <f t="shared" si="3"/>
        <v>226959.81</v>
      </c>
      <c r="X57" s="87">
        <f t="shared" si="3"/>
        <v>0</v>
      </c>
      <c r="Y57" s="88">
        <f t="shared" si="3"/>
        <v>412669.16999999987</v>
      </c>
      <c r="AD57" s="89">
        <f>SUM(AD16:AD56)</f>
        <v>389310.16000000003</v>
      </c>
      <c r="AF57" s="89">
        <f>SUM(AF16:AF56)</f>
        <v>23359.01</v>
      </c>
    </row>
    <row r="58" spans="1:32" s="86" customFormat="1" ht="11.4" x14ac:dyDescent="0.25">
      <c r="A58" s="91" t="s">
        <v>336</v>
      </c>
      <c r="E58" s="87"/>
      <c r="F58" s="87"/>
      <c r="G58" s="87"/>
      <c r="H58" s="87"/>
      <c r="I58" s="87"/>
      <c r="J58" s="87"/>
      <c r="K58" s="87"/>
      <c r="L58" s="87"/>
      <c r="M58" s="87"/>
      <c r="N58" s="87"/>
      <c r="O58" s="87"/>
      <c r="P58" s="87"/>
      <c r="Q58" s="87"/>
      <c r="R58" s="87"/>
      <c r="S58" s="87"/>
      <c r="T58" s="87"/>
      <c r="U58" s="87"/>
      <c r="V58" s="87"/>
      <c r="W58" s="87"/>
      <c r="X58" s="87"/>
      <c r="Y58" s="92">
        <v>412669.17</v>
      </c>
      <c r="AD58" s="89"/>
      <c r="AF58" s="89"/>
    </row>
    <row r="59" spans="1:32" x14ac:dyDescent="0.25">
      <c r="E59" s="93"/>
      <c r="F59" s="93"/>
      <c r="G59" s="93"/>
      <c r="H59" s="93"/>
      <c r="I59" s="93"/>
      <c r="J59" s="93"/>
      <c r="K59" s="93"/>
      <c r="L59" s="93"/>
      <c r="M59" s="93"/>
      <c r="N59" s="93"/>
      <c r="O59" s="93"/>
      <c r="P59" s="93"/>
      <c r="Q59" s="93"/>
      <c r="R59" s="93"/>
      <c r="S59" s="93"/>
      <c r="T59" s="93"/>
      <c r="U59" s="93"/>
      <c r="V59" s="93"/>
      <c r="W59" s="93"/>
      <c r="X59" s="93"/>
      <c r="Y59" s="93"/>
    </row>
    <row r="60" spans="1:32" s="95" customFormat="1" ht="11.4" x14ac:dyDescent="0.25">
      <c r="A60" s="94" t="s">
        <v>337</v>
      </c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AD60" s="96"/>
      <c r="AF60" s="96"/>
    </row>
    <row r="61" spans="1:32" s="98" customFormat="1" ht="30" customHeight="1" x14ac:dyDescent="0.15">
      <c r="A61" s="78" t="s">
        <v>83</v>
      </c>
      <c r="B61" s="78" t="s">
        <v>240</v>
      </c>
      <c r="C61" s="78" t="s">
        <v>338</v>
      </c>
      <c r="D61" s="78" t="s">
        <v>339</v>
      </c>
      <c r="E61" s="79" t="s">
        <v>253</v>
      </c>
      <c r="F61" s="79" t="s">
        <v>257</v>
      </c>
      <c r="G61" s="79" t="s">
        <v>258</v>
      </c>
      <c r="H61" s="79" t="s">
        <v>259</v>
      </c>
      <c r="I61" s="97"/>
      <c r="J61" s="97"/>
      <c r="K61" s="97"/>
      <c r="L61" s="97"/>
      <c r="M61" s="97"/>
      <c r="N61" s="97"/>
      <c r="O61" s="97"/>
      <c r="P61" s="97"/>
      <c r="Q61" s="97"/>
      <c r="R61" s="97"/>
      <c r="S61" s="97"/>
      <c r="T61" s="97"/>
      <c r="U61" s="97"/>
      <c r="V61" s="97"/>
      <c r="W61" s="97"/>
      <c r="X61" s="97"/>
      <c r="Y61" s="97"/>
      <c r="AD61" s="97"/>
      <c r="AF61" s="97"/>
    </row>
    <row r="62" spans="1:32" s="100" customFormat="1" ht="30" customHeight="1" x14ac:dyDescent="0.25">
      <c r="A62" s="82" t="s">
        <v>260</v>
      </c>
      <c r="B62" s="82" t="s">
        <v>261</v>
      </c>
      <c r="C62" s="82" t="s">
        <v>340</v>
      </c>
      <c r="D62" s="82" t="s">
        <v>341</v>
      </c>
      <c r="E62" s="83" t="s">
        <v>278</v>
      </c>
      <c r="F62" s="83" t="s">
        <v>282</v>
      </c>
      <c r="G62" s="83" t="s">
        <v>283</v>
      </c>
      <c r="H62" s="83" t="s">
        <v>2</v>
      </c>
      <c r="I62" s="99"/>
      <c r="J62" s="99"/>
      <c r="K62" s="99"/>
      <c r="L62" s="99"/>
      <c r="M62" s="99"/>
      <c r="N62" s="99"/>
      <c r="O62" s="99"/>
      <c r="P62" s="99"/>
      <c r="Q62" s="99"/>
      <c r="R62" s="99"/>
      <c r="S62" s="99"/>
      <c r="T62" s="99"/>
      <c r="U62" s="99"/>
      <c r="V62" s="99"/>
      <c r="W62" s="99"/>
      <c r="X62" s="99"/>
      <c r="Y62" s="99"/>
      <c r="AD62" s="99"/>
      <c r="AF62" s="99"/>
    </row>
    <row r="63" spans="1:32" s="95" customFormat="1" ht="11.4" x14ac:dyDescent="0.25">
      <c r="A63" s="86">
        <v>1</v>
      </c>
      <c r="B63" s="86" t="s">
        <v>284</v>
      </c>
      <c r="C63" s="86" t="s">
        <v>342</v>
      </c>
      <c r="D63" s="87">
        <v>0</v>
      </c>
      <c r="E63" s="89"/>
      <c r="F63" s="87">
        <v>0.38</v>
      </c>
      <c r="G63" s="89">
        <v>0.06</v>
      </c>
      <c r="H63" s="87">
        <v>-0.38</v>
      </c>
      <c r="I63" s="96"/>
      <c r="J63" s="96"/>
      <c r="K63" s="96"/>
      <c r="L63" s="96"/>
      <c r="M63" s="96"/>
      <c r="N63" s="96"/>
      <c r="O63" s="96"/>
      <c r="P63" s="96"/>
      <c r="Q63" s="96"/>
      <c r="R63" s="96"/>
      <c r="S63" s="96"/>
      <c r="T63" s="96"/>
      <c r="U63" s="96"/>
      <c r="V63" s="96"/>
      <c r="W63" s="96"/>
      <c r="X63" s="96"/>
      <c r="Y63" s="96"/>
      <c r="AD63" s="96"/>
      <c r="AF63" s="96"/>
    </row>
    <row r="64" spans="1:32" s="95" customFormat="1" ht="11.4" x14ac:dyDescent="0.25">
      <c r="A64" s="86" t="s">
        <v>335</v>
      </c>
      <c r="B64" s="86"/>
      <c r="C64" s="86"/>
      <c r="D64" s="87">
        <f>SUM(D63:D63)</f>
        <v>0</v>
      </c>
      <c r="E64" s="89"/>
      <c r="F64" s="87">
        <f>SUM(F63:F63)</f>
        <v>0.38</v>
      </c>
      <c r="G64" s="89"/>
      <c r="H64" s="87">
        <f>SUM(H63:H63)</f>
        <v>-0.38</v>
      </c>
      <c r="I64" s="96"/>
      <c r="J64" s="96"/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96"/>
      <c r="V64" s="96"/>
      <c r="W64" s="96"/>
      <c r="X64" s="96"/>
      <c r="Y64" s="96"/>
      <c r="AD64" s="96"/>
      <c r="AF64" s="96"/>
    </row>
    <row r="65" spans="1:32" s="95" customFormat="1" ht="11.4" x14ac:dyDescent="0.25">
      <c r="A65" s="91" t="s">
        <v>343</v>
      </c>
      <c r="B65" s="86"/>
      <c r="C65" s="86"/>
      <c r="D65" s="101">
        <v>0</v>
      </c>
      <c r="E65" s="89"/>
      <c r="F65" s="101">
        <v>0.38</v>
      </c>
      <c r="G65" s="89"/>
      <c r="H65" s="101">
        <v>-0.38</v>
      </c>
      <c r="I65" s="96"/>
      <c r="J65" s="96"/>
      <c r="K65" s="96"/>
      <c r="L65" s="96"/>
      <c r="M65" s="96"/>
      <c r="N65" s="96"/>
      <c r="O65" s="96"/>
      <c r="P65" s="96"/>
      <c r="Q65" s="96"/>
      <c r="R65" s="96"/>
      <c r="S65" s="96"/>
      <c r="T65" s="96"/>
      <c r="U65" s="96"/>
      <c r="V65" s="96"/>
      <c r="W65" s="96"/>
      <c r="X65" s="96"/>
      <c r="Y65" s="96"/>
      <c r="AD65" s="96"/>
      <c r="AF65" s="96"/>
    </row>
    <row r="67" spans="1:32" x14ac:dyDescent="0.25">
      <c r="A67" s="69" t="s">
        <v>344</v>
      </c>
    </row>
    <row r="68" spans="1:32" ht="25.05" customHeight="1" x14ac:dyDescent="0.25">
      <c r="A68" s="130" t="s">
        <v>345</v>
      </c>
      <c r="B68" s="130" t="s">
        <v>346</v>
      </c>
      <c r="C68" s="130" t="s">
        <v>258</v>
      </c>
      <c r="D68" s="130" t="s">
        <v>347</v>
      </c>
    </row>
    <row r="69" spans="1:32" ht="25.05" customHeight="1" x14ac:dyDescent="0.25">
      <c r="A69" s="131"/>
      <c r="B69" s="131"/>
      <c r="C69" s="131"/>
      <c r="D69" s="131"/>
    </row>
    <row r="70" spans="1:32" x14ac:dyDescent="0.25">
      <c r="A70" s="86">
        <v>1</v>
      </c>
      <c r="B70" s="89">
        <v>389310.54</v>
      </c>
      <c r="C70" s="86" t="s">
        <v>287</v>
      </c>
      <c r="D70" s="89">
        <v>23358.63</v>
      </c>
    </row>
    <row r="71" spans="1:32" x14ac:dyDescent="0.25">
      <c r="A71" s="86" t="s">
        <v>348</v>
      </c>
      <c r="B71" s="89">
        <v>389310.54</v>
      </c>
      <c r="C71" s="86"/>
      <c r="D71" s="89">
        <v>23358.63</v>
      </c>
    </row>
    <row r="72" spans="1:32" x14ac:dyDescent="0.25">
      <c r="A72" s="125" t="s">
        <v>349</v>
      </c>
      <c r="B72" s="126"/>
      <c r="C72" s="126"/>
      <c r="D72" s="102">
        <v>23358.63</v>
      </c>
    </row>
    <row r="73" spans="1:32" x14ac:dyDescent="0.25">
      <c r="A73" s="103" t="s">
        <v>350</v>
      </c>
    </row>
    <row r="74" spans="1:32" x14ac:dyDescent="0.25">
      <c r="A74" s="104">
        <v>412669.17</v>
      </c>
    </row>
    <row r="75" spans="1:32" x14ac:dyDescent="0.25">
      <c r="A75" s="103" t="s">
        <v>351</v>
      </c>
    </row>
    <row r="77" spans="1:32" s="106" customFormat="1" ht="17.399999999999999" x14ac:dyDescent="0.25">
      <c r="A77" s="105" t="s">
        <v>352</v>
      </c>
      <c r="E77" s="107"/>
      <c r="F77" s="107"/>
      <c r="G77" s="107"/>
      <c r="H77" s="107"/>
      <c r="I77" s="107"/>
      <c r="J77" s="107"/>
      <c r="K77" s="107"/>
      <c r="L77" s="107"/>
      <c r="M77" s="107"/>
      <c r="N77" s="107"/>
      <c r="O77" s="107"/>
      <c r="P77" s="107"/>
      <c r="Q77" s="107"/>
      <c r="R77" s="107"/>
      <c r="S77" s="107"/>
      <c r="T77" s="107"/>
      <c r="U77" s="107"/>
      <c r="V77" s="107"/>
      <c r="W77" s="107"/>
      <c r="X77" s="107"/>
      <c r="Y77" s="107"/>
      <c r="AD77" s="107"/>
      <c r="AF77" s="107"/>
    </row>
    <row r="79" spans="1:32" s="75" customFormat="1" ht="13.2" x14ac:dyDescent="0.25">
      <c r="A79" s="74" t="s">
        <v>353</v>
      </c>
      <c r="E79" s="76"/>
      <c r="F79" s="76"/>
      <c r="G79" s="76"/>
      <c r="H79" s="76"/>
      <c r="I79" s="76"/>
      <c r="J79" s="76"/>
      <c r="K79" s="76"/>
      <c r="L79" s="76"/>
      <c r="M79" s="76"/>
      <c r="N79" s="76"/>
      <c r="O79" s="76"/>
      <c r="P79" s="76"/>
      <c r="Q79" s="76"/>
      <c r="R79" s="76"/>
      <c r="S79" s="76"/>
      <c r="T79" s="76"/>
      <c r="U79" s="76"/>
      <c r="V79" s="76"/>
      <c r="W79" s="76"/>
      <c r="X79" s="76"/>
      <c r="Y79" s="76"/>
      <c r="AD79" s="76"/>
      <c r="AF79" s="76"/>
    </row>
    <row r="80" spans="1:32" s="95" customFormat="1" ht="11.4" x14ac:dyDescent="0.25">
      <c r="A80" s="86" t="s">
        <v>83</v>
      </c>
      <c r="B80" s="86" t="s">
        <v>81</v>
      </c>
      <c r="C80" s="86" t="s">
        <v>77</v>
      </c>
      <c r="E80" s="96"/>
      <c r="F80" s="96"/>
      <c r="G80" s="96"/>
      <c r="H80" s="96"/>
      <c r="I80" s="96"/>
      <c r="J80" s="96"/>
      <c r="K80" s="96"/>
      <c r="L80" s="96"/>
      <c r="M80" s="96"/>
      <c r="N80" s="96"/>
      <c r="O80" s="96"/>
      <c r="P80" s="96"/>
      <c r="Q80" s="96"/>
      <c r="R80" s="96"/>
      <c r="S80" s="96"/>
      <c r="T80" s="96"/>
      <c r="U80" s="96"/>
      <c r="V80" s="96"/>
      <c r="W80" s="96"/>
      <c r="X80" s="96"/>
      <c r="Y80" s="96"/>
      <c r="AD80" s="96"/>
      <c r="AF80" s="96"/>
    </row>
    <row r="81" spans="1:32" s="95" customFormat="1" ht="11.4" x14ac:dyDescent="0.25">
      <c r="A81" s="86">
        <v>1</v>
      </c>
      <c r="B81" s="86" t="s">
        <v>354</v>
      </c>
      <c r="C81" s="86" t="s">
        <v>355</v>
      </c>
      <c r="E81" s="96"/>
      <c r="F81" s="96"/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96"/>
      <c r="W81" s="96"/>
      <c r="X81" s="96"/>
      <c r="Y81" s="96"/>
      <c r="AD81" s="96"/>
      <c r="AF81" s="96"/>
    </row>
    <row r="82" spans="1:32" s="95" customFormat="1" ht="11.4" x14ac:dyDescent="0.25">
      <c r="A82" s="86">
        <v>2</v>
      </c>
      <c r="B82" s="86" t="s">
        <v>356</v>
      </c>
      <c r="C82" s="86" t="s">
        <v>355</v>
      </c>
      <c r="E82" s="96"/>
      <c r="F82" s="96"/>
      <c r="G82" s="96"/>
      <c r="H82" s="96"/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96"/>
      <c r="T82" s="96"/>
      <c r="U82" s="96"/>
      <c r="V82" s="96"/>
      <c r="W82" s="96"/>
      <c r="X82" s="96"/>
      <c r="Y82" s="96"/>
      <c r="AD82" s="96"/>
      <c r="AF82" s="96"/>
    </row>
    <row r="83" spans="1:32" s="95" customFormat="1" ht="11.4" x14ac:dyDescent="0.25">
      <c r="A83" s="86">
        <v>3</v>
      </c>
      <c r="B83" s="86" t="s">
        <v>357</v>
      </c>
      <c r="C83" s="86" t="s">
        <v>358</v>
      </c>
      <c r="E83" s="96"/>
      <c r="F83" s="96"/>
      <c r="G83" s="96"/>
      <c r="H83" s="96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96"/>
      <c r="V83" s="96"/>
      <c r="W83" s="96"/>
      <c r="X83" s="96"/>
      <c r="Y83" s="96"/>
      <c r="AD83" s="96"/>
      <c r="AF83" s="96"/>
    </row>
    <row r="84" spans="1:32" s="95" customFormat="1" ht="11.4" x14ac:dyDescent="0.25">
      <c r="A84" s="86">
        <v>4</v>
      </c>
      <c r="B84" s="86" t="s">
        <v>359</v>
      </c>
      <c r="C84" s="86" t="s">
        <v>355</v>
      </c>
      <c r="E84" s="96"/>
      <c r="F84" s="96"/>
      <c r="G84" s="96"/>
      <c r="H84" s="96"/>
      <c r="I84" s="96"/>
      <c r="J84" s="96"/>
      <c r="K84" s="96"/>
      <c r="L84" s="96"/>
      <c r="M84" s="96"/>
      <c r="N84" s="96"/>
      <c r="O84" s="96"/>
      <c r="P84" s="96"/>
      <c r="Q84" s="96"/>
      <c r="R84" s="96"/>
      <c r="S84" s="96"/>
      <c r="T84" s="96"/>
      <c r="U84" s="96"/>
      <c r="V84" s="96"/>
      <c r="W84" s="96"/>
      <c r="X84" s="96"/>
      <c r="Y84" s="96"/>
      <c r="AD84" s="96"/>
      <c r="AF84" s="96"/>
    </row>
    <row r="85" spans="1:32" s="95" customFormat="1" ht="11.4" x14ac:dyDescent="0.25">
      <c r="A85" s="86">
        <v>5</v>
      </c>
      <c r="B85" s="86" t="s">
        <v>360</v>
      </c>
      <c r="C85" s="86" t="s">
        <v>361</v>
      </c>
      <c r="E85" s="96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96"/>
      <c r="W85" s="96"/>
      <c r="X85" s="96"/>
      <c r="Y85" s="96"/>
      <c r="AD85" s="96"/>
      <c r="AF85" s="96"/>
    </row>
    <row r="86" spans="1:32" s="95" customFormat="1" ht="11.4" x14ac:dyDescent="0.25">
      <c r="A86" s="86">
        <v>6</v>
      </c>
      <c r="B86" s="86" t="s">
        <v>362</v>
      </c>
      <c r="C86" s="86" t="s">
        <v>358</v>
      </c>
      <c r="E86" s="96"/>
      <c r="F86" s="96"/>
      <c r="G86" s="96"/>
      <c r="H86" s="96"/>
      <c r="I86" s="96"/>
      <c r="J86" s="96"/>
      <c r="K86" s="96"/>
      <c r="L86" s="96"/>
      <c r="M86" s="96"/>
      <c r="N86" s="96"/>
      <c r="O86" s="96"/>
      <c r="P86" s="96"/>
      <c r="Q86" s="96"/>
      <c r="R86" s="96"/>
      <c r="S86" s="96"/>
      <c r="T86" s="96"/>
      <c r="U86" s="96"/>
      <c r="V86" s="96"/>
      <c r="W86" s="96"/>
      <c r="X86" s="96"/>
      <c r="Y86" s="96"/>
      <c r="AD86" s="96"/>
      <c r="AF86" s="96"/>
    </row>
    <row r="87" spans="1:32" s="95" customFormat="1" ht="11.4" x14ac:dyDescent="0.25">
      <c r="A87" s="86">
        <v>7</v>
      </c>
      <c r="B87" s="86" t="s">
        <v>363</v>
      </c>
      <c r="C87" s="86" t="s">
        <v>355</v>
      </c>
      <c r="E87" s="96"/>
      <c r="F87" s="96"/>
      <c r="G87" s="96"/>
      <c r="H87" s="96"/>
      <c r="I87" s="96"/>
      <c r="J87" s="96"/>
      <c r="K87" s="96"/>
      <c r="L87" s="96"/>
      <c r="M87" s="96"/>
      <c r="N87" s="96"/>
      <c r="O87" s="96"/>
      <c r="P87" s="96"/>
      <c r="Q87" s="96"/>
      <c r="R87" s="96"/>
      <c r="S87" s="96"/>
      <c r="T87" s="96"/>
      <c r="U87" s="96"/>
      <c r="V87" s="96"/>
      <c r="W87" s="96"/>
      <c r="X87" s="96"/>
      <c r="Y87" s="96"/>
      <c r="AD87" s="96"/>
      <c r="AF87" s="96"/>
    </row>
    <row r="89" spans="1:32" x14ac:dyDescent="0.25">
      <c r="A89" s="108" t="s">
        <v>364</v>
      </c>
      <c r="J89" s="70" t="s">
        <v>365</v>
      </c>
    </row>
    <row r="91" spans="1:32" x14ac:dyDescent="0.25">
      <c r="A91" s="68" t="s">
        <v>366</v>
      </c>
      <c r="G91" s="109" t="s">
        <v>366</v>
      </c>
    </row>
    <row r="92" spans="1:32" x14ac:dyDescent="0.25">
      <c r="A92" s="68" t="s">
        <v>367</v>
      </c>
      <c r="G92" s="109" t="s">
        <v>368</v>
      </c>
    </row>
    <row r="93" spans="1:32" x14ac:dyDescent="0.25">
      <c r="A93" s="68" t="s">
        <v>369</v>
      </c>
      <c r="G93" s="109" t="s">
        <v>370</v>
      </c>
    </row>
    <row r="94" spans="1:32" x14ac:dyDescent="0.25">
      <c r="A94" s="68" t="s">
        <v>371</v>
      </c>
      <c r="G94" s="109" t="s">
        <v>372</v>
      </c>
    </row>
    <row r="95" spans="1:32" x14ac:dyDescent="0.25">
      <c r="A95" s="68" t="s">
        <v>373</v>
      </c>
      <c r="G95" s="109" t="s">
        <v>374</v>
      </c>
    </row>
    <row r="97" spans="1:10" x14ac:dyDescent="0.25">
      <c r="A97" s="68" t="s">
        <v>366</v>
      </c>
    </row>
    <row r="98" spans="1:10" x14ac:dyDescent="0.25">
      <c r="A98" s="68" t="s">
        <v>375</v>
      </c>
    </row>
    <row r="99" spans="1:10" x14ac:dyDescent="0.25">
      <c r="A99" s="68" t="s">
        <v>376</v>
      </c>
    </row>
    <row r="100" spans="1:10" x14ac:dyDescent="0.25">
      <c r="A100" s="68" t="s">
        <v>377</v>
      </c>
    </row>
    <row r="101" spans="1:10" x14ac:dyDescent="0.25">
      <c r="A101" s="68" t="s">
        <v>378</v>
      </c>
    </row>
    <row r="103" spans="1:10" x14ac:dyDescent="0.25">
      <c r="A103" s="108" t="s">
        <v>379</v>
      </c>
      <c r="D103" s="108" t="s">
        <v>380</v>
      </c>
      <c r="G103" s="109" t="s">
        <v>233</v>
      </c>
    </row>
    <row r="104" spans="1:10" x14ac:dyDescent="0.25">
      <c r="A104" s="108" t="s">
        <v>381</v>
      </c>
      <c r="G104" s="110" t="s">
        <v>382</v>
      </c>
    </row>
    <row r="105" spans="1:10" x14ac:dyDescent="0.25">
      <c r="A105" s="108" t="s">
        <v>383</v>
      </c>
      <c r="D105" s="108" t="s">
        <v>384</v>
      </c>
      <c r="G105" s="110" t="s">
        <v>385</v>
      </c>
    </row>
    <row r="106" spans="1:10" x14ac:dyDescent="0.25">
      <c r="A106" s="108" t="s">
        <v>386</v>
      </c>
      <c r="D106" s="108" t="s">
        <v>387</v>
      </c>
      <c r="G106" s="110" t="s">
        <v>388</v>
      </c>
      <c r="J106" s="110" t="s">
        <v>389</v>
      </c>
    </row>
    <row r="108" spans="1:10" x14ac:dyDescent="0.25">
      <c r="A108" s="108" t="s">
        <v>390</v>
      </c>
      <c r="B108" s="108" t="s">
        <v>391</v>
      </c>
    </row>
    <row r="109" spans="1:10" x14ac:dyDescent="0.25">
      <c r="B109" s="108" t="s">
        <v>392</v>
      </c>
    </row>
    <row r="110" spans="1:10" x14ac:dyDescent="0.25">
      <c r="B110" s="108" t="s">
        <v>393</v>
      </c>
    </row>
    <row r="111" spans="1:10" x14ac:dyDescent="0.25">
      <c r="B111" s="108" t="s">
        <v>394</v>
      </c>
    </row>
    <row r="112" spans="1:10" x14ac:dyDescent="0.25">
      <c r="B112" s="108" t="s">
        <v>395</v>
      </c>
    </row>
    <row r="114" spans="1:2" x14ac:dyDescent="0.25">
      <c r="A114" s="108" t="s">
        <v>396</v>
      </c>
      <c r="B114" s="108" t="s">
        <v>397</v>
      </c>
    </row>
    <row r="115" spans="1:2" x14ac:dyDescent="0.25">
      <c r="B115" s="108" t="s">
        <v>398</v>
      </c>
    </row>
  </sheetData>
  <mergeCells count="7">
    <mergeCell ref="A72:C72"/>
    <mergeCell ref="H14:M14"/>
    <mergeCell ref="P14:T14"/>
    <mergeCell ref="A68:A69"/>
    <mergeCell ref="B68:B69"/>
    <mergeCell ref="C68:C69"/>
    <mergeCell ref="D68:D69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202502</vt:lpstr>
      <vt:lpstr>对账单</vt:lpstr>
      <vt:lpstr>系统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蔡英杰</dc:creator>
  <cp:lastModifiedBy>罗紫丹</cp:lastModifiedBy>
  <dcterms:created xsi:type="dcterms:W3CDTF">2023-05-10T02:39:17Z</dcterms:created>
  <dcterms:modified xsi:type="dcterms:W3CDTF">2025-02-18T06:12:19Z</dcterms:modified>
</cp:coreProperties>
</file>