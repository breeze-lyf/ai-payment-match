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630"/>
  </bookViews>
  <sheets>
    <sheet name="202411" sheetId="1" r:id="rId1"/>
    <sheet name="对账单" sheetId="3" r:id="rId2"/>
    <sheet name="系统" sheetId="2" r:id="rId3"/>
  </sheets>
  <definedNames>
    <definedName name="_xlnm._FilterDatabase" localSheetId="0" hidden="1">'202411'!$A$1:$BF$39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B2" authorId="0">
      <text>
        <r>
          <rPr>
            <b/>
            <sz val="9"/>
            <rFont val="宋体"/>
            <charset val="134"/>
          </rPr>
          <t>含附加税、增值税、福利费</t>
        </r>
      </text>
    </comment>
  </commentList>
</comments>
</file>

<file path=xl/sharedStrings.xml><?xml version="1.0" encoding="utf-8"?>
<sst xmlns="http://schemas.openxmlformats.org/spreadsheetml/2006/main" count="771" uniqueCount="376">
  <si>
    <t>序号</t>
  </si>
  <si>
    <t>计薪
周期</t>
  </si>
  <si>
    <t>工号</t>
  </si>
  <si>
    <t>姓名</t>
  </si>
  <si>
    <t>身份证号</t>
  </si>
  <si>
    <t>劳动合同起始日期</t>
  </si>
  <si>
    <t>劳动合同结束日期</t>
  </si>
  <si>
    <t>离职日期</t>
  </si>
  <si>
    <t>社保缴纳地</t>
  </si>
  <si>
    <t>星级费用</t>
  </si>
  <si>
    <t>考核费用</t>
  </si>
  <si>
    <t>量化费用</t>
  </si>
  <si>
    <t>专项费用</t>
  </si>
  <si>
    <t>当月税前工资合计</t>
  </si>
  <si>
    <t>社保基数(个人)</t>
  </si>
  <si>
    <t>养老保险(个人)</t>
  </si>
  <si>
    <t>医疗保险(个人)</t>
  </si>
  <si>
    <t>失业保险(个人)</t>
  </si>
  <si>
    <t>公积金基数(个人)</t>
  </si>
  <si>
    <t>住房公积金(个人)</t>
  </si>
  <si>
    <t>员工五险一金合计</t>
  </si>
  <si>
    <t>本月个人所得税-系统导出</t>
  </si>
  <si>
    <t>税后增加</t>
  </si>
  <si>
    <t>税后扣减</t>
  </si>
  <si>
    <t>员工实发合计</t>
  </si>
  <si>
    <t>社保基数</t>
  </si>
  <si>
    <t>公积金基数</t>
  </si>
  <si>
    <t>养老缴费</t>
  </si>
  <si>
    <t>医疗缴费</t>
  </si>
  <si>
    <t>失业保险</t>
  </si>
  <si>
    <t>工伤保险</t>
  </si>
  <si>
    <t>生育保险</t>
  </si>
  <si>
    <t>公积金</t>
  </si>
  <si>
    <t>残保金</t>
  </si>
  <si>
    <t>企业五险一金合计</t>
  </si>
  <si>
    <t>工会费</t>
  </si>
  <si>
    <t>代收付合计</t>
  </si>
  <si>
    <t>上月垫付</t>
  </si>
  <si>
    <t>社保备注</t>
  </si>
  <si>
    <t>外包服务费</t>
  </si>
  <si>
    <t>税前项合计</t>
  </si>
  <si>
    <t>增值税</t>
  </si>
  <si>
    <t>总计</t>
  </si>
  <si>
    <t>NO.</t>
  </si>
  <si>
    <t>Salary Cycle</t>
  </si>
  <si>
    <t>Employee No.</t>
  </si>
  <si>
    <t>Name</t>
  </si>
  <si>
    <t>ID No.</t>
  </si>
  <si>
    <t>Contract Starting Date</t>
  </si>
  <si>
    <t>Contract Expiry Date</t>
  </si>
  <si>
    <t>Exit Date</t>
  </si>
  <si>
    <t>Social Insurance City</t>
  </si>
  <si>
    <t>Contract Salary</t>
  </si>
  <si>
    <t>Assessment fees</t>
  </si>
  <si>
    <t>Quantifying costs</t>
  </si>
  <si>
    <t>支局专项</t>
  </si>
  <si>
    <t>1+1激励</t>
  </si>
  <si>
    <t>交通费</t>
  </si>
  <si>
    <t>效能补贴</t>
  </si>
  <si>
    <t>伙食补贴</t>
  </si>
  <si>
    <t>高温费及清凉饮料费
（6-9月）</t>
  </si>
  <si>
    <t>独生子女奖励</t>
  </si>
  <si>
    <t>保险费</t>
  </si>
  <si>
    <t>其他费用</t>
  </si>
  <si>
    <t>补发费用</t>
  </si>
  <si>
    <t>劳防用品</t>
  </si>
  <si>
    <t>保障补差</t>
  </si>
  <si>
    <t>其他扣款</t>
  </si>
  <si>
    <t>Pre-tax Total</t>
  </si>
  <si>
    <t>Social Insurance Base</t>
  </si>
  <si>
    <t>Pension Employee</t>
  </si>
  <si>
    <t>Medical Employee</t>
  </si>
  <si>
    <t>Umemployment Employee</t>
  </si>
  <si>
    <t>Housing Fund Base</t>
  </si>
  <si>
    <t>Housing Fund Employee</t>
  </si>
  <si>
    <t>Total Amount of Social Insurance(EE)</t>
  </si>
  <si>
    <t>Personal Income Tax</t>
  </si>
  <si>
    <t>Increase After-tax payment</t>
  </si>
  <si>
    <t>Reduction After-tax payment</t>
  </si>
  <si>
    <t xml:space="preserve">After-tax total Income </t>
  </si>
  <si>
    <t>Pension Employer</t>
  </si>
  <si>
    <t>Medical Employer</t>
  </si>
  <si>
    <t>Umemployment Employer</t>
  </si>
  <si>
    <t>Injury Employer</t>
  </si>
  <si>
    <t>Maternity Insurance Employer</t>
  </si>
  <si>
    <t>Housing Fund Employer</t>
  </si>
  <si>
    <t xml:space="preserve">
Disabled people&amp;Back pay Fund</t>
  </si>
  <si>
    <t>Total Amount of Social Insurance(ER)</t>
  </si>
  <si>
    <t>Union Fee</t>
  </si>
  <si>
    <t>Payment Total</t>
  </si>
  <si>
    <t>Social Security remark</t>
  </si>
  <si>
    <t>Service Fee</t>
  </si>
  <si>
    <t>Total</t>
  </si>
  <si>
    <t>VAT</t>
  </si>
  <si>
    <t>Subtotal</t>
  </si>
  <si>
    <t>WB007244</t>
  </si>
  <si>
    <t>周伟丰</t>
  </si>
  <si>
    <t>310107198106192557</t>
  </si>
  <si>
    <t>上海</t>
  </si>
  <si>
    <t>纵向攻击团队</t>
  </si>
  <si>
    <t>WB007262</t>
  </si>
  <si>
    <t>顾燕</t>
  </si>
  <si>
    <t>310113198111034825</t>
  </si>
  <si>
    <t>WB026438</t>
  </si>
  <si>
    <t>沈娟娟</t>
  </si>
  <si>
    <t>32068119890825242X</t>
  </si>
  <si>
    <t>WB027558</t>
  </si>
  <si>
    <t>陈云</t>
  </si>
  <si>
    <t>320681198911257029</t>
  </si>
  <si>
    <t>WB036282</t>
  </si>
  <si>
    <t>张海荣</t>
  </si>
  <si>
    <t>320681198311146835</t>
  </si>
  <si>
    <t>WB044295</t>
  </si>
  <si>
    <t>龚林花</t>
  </si>
  <si>
    <t>310230198502244987</t>
  </si>
  <si>
    <t>WB046059</t>
  </si>
  <si>
    <t>宋莉莉</t>
  </si>
  <si>
    <t>370883199010065887</t>
  </si>
  <si>
    <t>WB053301</t>
  </si>
  <si>
    <t>林峰</t>
  </si>
  <si>
    <t>320681199806210215</t>
  </si>
  <si>
    <t>WB007259</t>
  </si>
  <si>
    <t>茅柳</t>
  </si>
  <si>
    <t>310230198208264565</t>
  </si>
  <si>
    <t>WB045138</t>
  </si>
  <si>
    <t>沙玉莲</t>
  </si>
  <si>
    <t>320681198001296045</t>
  </si>
  <si>
    <t>WB044028</t>
  </si>
  <si>
    <t>王凌波</t>
  </si>
  <si>
    <t>320681198005016055</t>
  </si>
  <si>
    <t>WB041713</t>
  </si>
  <si>
    <t>翁杰</t>
  </si>
  <si>
    <t>32068119830326361X</t>
  </si>
  <si>
    <t>WB050058</t>
  </si>
  <si>
    <t>周海松</t>
  </si>
  <si>
    <t>320626197411023016</t>
  </si>
  <si>
    <t>WB048620</t>
  </si>
  <si>
    <t>郁金华</t>
  </si>
  <si>
    <t>320681197812267024</t>
  </si>
  <si>
    <t>WB038749</t>
  </si>
  <si>
    <t>叶挺</t>
  </si>
  <si>
    <t>34080219811208081X</t>
  </si>
  <si>
    <t>WB007457</t>
  </si>
  <si>
    <t>钱善晖</t>
  </si>
  <si>
    <t>341127198508043038</t>
  </si>
  <si>
    <t>WB068630</t>
  </si>
  <si>
    <t>王艳</t>
  </si>
  <si>
    <t>342222199402106028</t>
  </si>
  <si>
    <t>WB007293</t>
  </si>
  <si>
    <t>王海婷</t>
  </si>
  <si>
    <t>310113198812035548</t>
  </si>
  <si>
    <t>WB023775</t>
  </si>
  <si>
    <t>张杰</t>
  </si>
  <si>
    <t>31011319860815411X</t>
  </si>
  <si>
    <t>WB030437</t>
  </si>
  <si>
    <t>李娟</t>
  </si>
  <si>
    <t>310230197802072529</t>
  </si>
  <si>
    <t>WB045407</t>
  </si>
  <si>
    <t>王佳睿</t>
  </si>
  <si>
    <t>320681200309147011</t>
  </si>
  <si>
    <t>WB033013</t>
  </si>
  <si>
    <t>朱娟</t>
  </si>
  <si>
    <t>310113198511225727</t>
  </si>
  <si>
    <t>WB054275</t>
  </si>
  <si>
    <t>姚嘉豪</t>
  </si>
  <si>
    <t>310113199804301716</t>
  </si>
  <si>
    <t>WB007248</t>
  </si>
  <si>
    <t>魏玲</t>
  </si>
  <si>
    <t>310108198612173363</t>
  </si>
  <si>
    <t>11月垫付低保补差，12月收</t>
  </si>
  <si>
    <t>WB007254</t>
  </si>
  <si>
    <t>朱焱炎</t>
  </si>
  <si>
    <t>320681198812140829</t>
  </si>
  <si>
    <t>10月垫付低保补差，11月收</t>
  </si>
  <si>
    <t>WB022966</t>
  </si>
  <si>
    <t>赵杭顺</t>
  </si>
  <si>
    <t>310102198702193618</t>
  </si>
  <si>
    <t>WB016859</t>
  </si>
  <si>
    <t>陆燕</t>
  </si>
  <si>
    <t>310113197802064324</t>
  </si>
  <si>
    <t>WB016826</t>
  </si>
  <si>
    <t>成瀛</t>
  </si>
  <si>
    <t>140103198304204830</t>
  </si>
  <si>
    <t>WB044433</t>
  </si>
  <si>
    <t>张枚</t>
  </si>
  <si>
    <t>340223199003157228</t>
  </si>
  <si>
    <t>WB039094</t>
  </si>
  <si>
    <t>张欢</t>
  </si>
  <si>
    <t>340321199602189283</t>
  </si>
  <si>
    <t>WB007286</t>
  </si>
  <si>
    <t>张雯</t>
  </si>
  <si>
    <t>310108198311300023</t>
  </si>
  <si>
    <t>WB009624</t>
  </si>
  <si>
    <t>金霞</t>
  </si>
  <si>
    <t>310113198309114628</t>
  </si>
  <si>
    <t>WB009626</t>
  </si>
  <si>
    <t>殷颖</t>
  </si>
  <si>
    <t>310109198006192026</t>
  </si>
  <si>
    <t>WB009627</t>
  </si>
  <si>
    <t>夏士梅</t>
  </si>
  <si>
    <t>310113197707080027</t>
  </si>
  <si>
    <t>WB009631</t>
  </si>
  <si>
    <t>杨晨晖</t>
  </si>
  <si>
    <t>310113199401265319</t>
  </si>
  <si>
    <t>WB030237</t>
  </si>
  <si>
    <t>顾文君</t>
  </si>
  <si>
    <t>310110198605095645</t>
  </si>
  <si>
    <t>WB016896</t>
  </si>
  <si>
    <t>朱琳</t>
  </si>
  <si>
    <t>310115197811118649</t>
  </si>
  <si>
    <t>纵向团队合计</t>
  </si>
  <si>
    <t>营业厅合计</t>
  </si>
  <si>
    <t>本月垫付，下月补收</t>
  </si>
  <si>
    <t>年终奖</t>
  </si>
  <si>
    <t>科目</t>
  </si>
  <si>
    <t>手工账单</t>
  </si>
  <si>
    <t>7月速创账单</t>
  </si>
  <si>
    <t>系统已有金额（不做一次性）</t>
  </si>
  <si>
    <t>10月少收，11月补收</t>
  </si>
  <si>
    <r>
      <rPr>
        <b/>
        <sz val="10"/>
        <color theme="1"/>
        <rFont val="等线"/>
        <charset val="134"/>
        <scheme val="minor"/>
      </rPr>
      <t>11月垫付</t>
    </r>
    <r>
      <rPr>
        <sz val="11"/>
        <rFont val="等线"/>
        <charset val="134"/>
        <scheme val="minor"/>
      </rPr>
      <t>，</t>
    </r>
    <r>
      <rPr>
        <b/>
        <sz val="10"/>
        <color theme="1"/>
        <rFont val="等线"/>
        <charset val="134"/>
        <scheme val="minor"/>
      </rPr>
      <t>12月补收</t>
    </r>
  </si>
  <si>
    <t>合计</t>
  </si>
  <si>
    <t>差异</t>
  </si>
  <si>
    <t>管理费</t>
  </si>
  <si>
    <t>风险费</t>
  </si>
  <si>
    <t>个人四金</t>
  </si>
  <si>
    <t>公司四金</t>
  </si>
  <si>
    <t>代发工资</t>
  </si>
  <si>
    <t>上月垫付本月收</t>
  </si>
  <si>
    <t>预收（做预收一次性）</t>
  </si>
  <si>
    <t>小计</t>
  </si>
  <si>
    <t>附加税</t>
  </si>
  <si>
    <t>给客户账单金额</t>
  </si>
  <si>
    <t>不含税差异</t>
  </si>
  <si>
    <t>200070</t>
  </si>
  <si>
    <t>寄：梅园路77号人才大厦</t>
  </si>
  <si>
    <t>中国电信股份有限公司上海分公司  王慧珏  收</t>
  </si>
  <si>
    <t>上海外服布列吉科技有限公司</t>
  </si>
  <si>
    <t>Shanghai Foreign Service Bridge Technology Co,Ltd.</t>
  </si>
  <si>
    <t>收款通知书</t>
  </si>
  <si>
    <t>ADVISE ON COLLECTION</t>
  </si>
  <si>
    <t>2024年11月</t>
  </si>
  <si>
    <t>公司名称：中国电信股份有限公司上海分公司</t>
  </si>
  <si>
    <t>帐单号：202411CH6593503</t>
  </si>
  <si>
    <t>发生年月</t>
  </si>
  <si>
    <t>入职日期</t>
  </si>
  <si>
    <t>当月社保基数</t>
  </si>
  <si>
    <t>当月公积金基数</t>
  </si>
  <si>
    <t>社保类
公司支付
Social Insurance Premiums
Paid by Employer</t>
  </si>
  <si>
    <t>公积金类
公司支付
Provident Fund
Paid by Employer</t>
  </si>
  <si>
    <t>公司合计</t>
  </si>
  <si>
    <t>社保类
个人支付
Social Insurance Premiums
Paid by Employee</t>
  </si>
  <si>
    <t>公积金类
个人支付
Provident Fund
Paid by Employee</t>
  </si>
  <si>
    <t>个人合计</t>
  </si>
  <si>
    <t>代办薪酬</t>
  </si>
  <si>
    <t>其他</t>
  </si>
  <si>
    <t>备注</t>
  </si>
  <si>
    <t>外服工号</t>
  </si>
  <si>
    <t>证件号码</t>
  </si>
  <si>
    <t>应纳税金额</t>
  </si>
  <si>
    <t>税率</t>
  </si>
  <si>
    <t>S/N</t>
  </si>
  <si>
    <t>YYYYMM</t>
  </si>
  <si>
    <t>Employment Start Date</t>
  </si>
  <si>
    <t>Adm Fee</t>
  </si>
  <si>
    <t>Social Insurance Base Amount of Current Month</t>
  </si>
  <si>
    <t>Provident Fund Base Amount of Current Month</t>
  </si>
  <si>
    <t>养老保险
Endowment</t>
  </si>
  <si>
    <t>医疗保险
Medical</t>
  </si>
  <si>
    <t>失业保险
Unemploy-ment</t>
  </si>
  <si>
    <t>工伤保险
Employment Injury</t>
  </si>
  <si>
    <t>医疗生育保险
Medical Maternity</t>
  </si>
  <si>
    <t>保障金
Disabled people&amp;Back pay Fund</t>
  </si>
  <si>
    <t>公积金
Provident Fund</t>
  </si>
  <si>
    <t>Subtotal of Employer Payment</t>
  </si>
  <si>
    <t>Subtotal of Personal Payment</t>
  </si>
  <si>
    <t>Agency of Wage Payment</t>
  </si>
  <si>
    <t>Others</t>
  </si>
  <si>
    <t>Remarks</t>
  </si>
  <si>
    <t>SFSC ID</t>
  </si>
  <si>
    <t>ID Card</t>
  </si>
  <si>
    <t>Taxable Amount</t>
  </si>
  <si>
    <t>Tax Rate</t>
  </si>
  <si>
    <t>202411</t>
  </si>
  <si>
    <t>2024-06-01</t>
  </si>
  <si>
    <t>5545723</t>
  </si>
  <si>
    <t>6%</t>
  </si>
  <si>
    <t>5756133</t>
  </si>
  <si>
    <t>5545720</t>
  </si>
  <si>
    <t>5545704</t>
  </si>
  <si>
    <t>5545718</t>
  </si>
  <si>
    <t>5545705</t>
  </si>
  <si>
    <t>5545725</t>
  </si>
  <si>
    <t>5572476</t>
  </si>
  <si>
    <t>5756132</t>
  </si>
  <si>
    <t>5572477</t>
  </si>
  <si>
    <t>2024-05-01</t>
  </si>
  <si>
    <t>6011055</t>
  </si>
  <si>
    <t>5572479</t>
  </si>
  <si>
    <t>5545717</t>
  </si>
  <si>
    <t>5545722</t>
  </si>
  <si>
    <t>5545726</t>
  </si>
  <si>
    <t>5545727</t>
  </si>
  <si>
    <t>5543792</t>
  </si>
  <si>
    <t>2024-05-15</t>
  </si>
  <si>
    <t>6027006</t>
  </si>
  <si>
    <t>5545714</t>
  </si>
  <si>
    <t>5730777</t>
  </si>
  <si>
    <t>5545708</t>
  </si>
  <si>
    <t>5545707</t>
  </si>
  <si>
    <t>5690263</t>
  </si>
  <si>
    <t>6011053</t>
  </si>
  <si>
    <t>5545709</t>
  </si>
  <si>
    <t>5543766</t>
  </si>
  <si>
    <t>5545711</t>
  </si>
  <si>
    <t>5756135</t>
  </si>
  <si>
    <t>5545724</t>
  </si>
  <si>
    <t>5756134</t>
  </si>
  <si>
    <t>5545706</t>
  </si>
  <si>
    <t>5545715</t>
  </si>
  <si>
    <t>5545719</t>
  </si>
  <si>
    <t>5545710</t>
  </si>
  <si>
    <t>5756131</t>
  </si>
  <si>
    <t>6048754</t>
  </si>
  <si>
    <t>5545716</t>
  </si>
  <si>
    <t>合计（RMB）</t>
  </si>
  <si>
    <t>总计（RMB）已包含历月补收人民币伍拾陆万贰仟肆佰叁拾壹圆捌角玖分</t>
  </si>
  <si>
    <t>费用项目</t>
  </si>
  <si>
    <t>金额</t>
  </si>
  <si>
    <t>Item</t>
  </si>
  <si>
    <t>Amount</t>
  </si>
  <si>
    <t>税差调整6%</t>
  </si>
  <si>
    <t>总计（RMB）人民币零</t>
  </si>
  <si>
    <t>增值税：</t>
  </si>
  <si>
    <t>序号
S/N</t>
  </si>
  <si>
    <t>应纳税额</t>
  </si>
  <si>
    <t>税金</t>
  </si>
  <si>
    <t>小计（RMB）</t>
  </si>
  <si>
    <t>总计(RMB)</t>
  </si>
  <si>
    <t>本次价税合计(RMB):人民币伍拾陆万贰仟肆佰叁拾壹圆捌角玖分</t>
  </si>
  <si>
    <t>本月价税合计（RMB）：562431.89 其中已开票562431.89</t>
  </si>
  <si>
    <t>本月总计（RMB）人民币伍拾陆万贰仟肆佰叁拾壹圆捌角玖分                ￥562431.89</t>
  </si>
  <si>
    <t>制单人：</t>
  </si>
  <si>
    <t>制单日期：2024-11-20</t>
  </si>
  <si>
    <t>户名：上海外服（集团）有限公司</t>
  </si>
  <si>
    <t>美金收款账号：449459237031</t>
  </si>
  <si>
    <t>外币/人民币收款账号：083651120100303014006</t>
  </si>
  <si>
    <t>开户银行：中国银行上海市分行</t>
  </si>
  <si>
    <t>开户银行：中国光大银行上海分行营业部</t>
  </si>
  <si>
    <t>SWIFT CODE：BKCHCNBJ300</t>
  </si>
  <si>
    <t>SWIFT CODE：EVERCNBJSH1</t>
  </si>
  <si>
    <t>地址：中国上海市黄浦区中山东一路23号</t>
  </si>
  <si>
    <t>地址：中国上海市浦东新区世纪大道1118号</t>
  </si>
  <si>
    <t>外币/人民币收款账号：1001244329006580566</t>
  </si>
  <si>
    <t>开户银行：工商银行上海市分行营业部</t>
  </si>
  <si>
    <t>SWIFT CODE：ICBKCNBJSHI</t>
  </si>
  <si>
    <t>地址：中国上海市黄浦区中山东一路24号</t>
  </si>
  <si>
    <t>管理部：</t>
  </si>
  <si>
    <t>负责人：</t>
  </si>
  <si>
    <t>地  址：</t>
  </si>
  <si>
    <t>地  址：上海市黄浦区会馆街55号T3座</t>
  </si>
  <si>
    <t>邮  编：</t>
  </si>
  <si>
    <t>财  务：</t>
  </si>
  <si>
    <t>邮  编：200437</t>
  </si>
  <si>
    <t>电  话：</t>
  </si>
  <si>
    <t>传  真：</t>
  </si>
  <si>
    <t>电  话：63721888</t>
  </si>
  <si>
    <t>传  真：63856522</t>
  </si>
  <si>
    <t>注意：</t>
  </si>
  <si>
    <t>1、务必请将当月人员变动信息，在15日前通知所在业务部。</t>
  </si>
  <si>
    <t>2、若贵机构的地址变更，请及时通知。</t>
  </si>
  <si>
    <t>3、逾期按合同约定收取滞纳金。</t>
  </si>
  <si>
    <t>4、交款时请务必带此通知单或复印件，通过银行汇款请在汇款用途中写上右上角账单号。</t>
  </si>
  <si>
    <t>5、请贵机构在收到本账单的三个工作日内，对于账单内容进行确认并回复。逾期未回复的，视作贵机构已确认账单内容准确无误。</t>
  </si>
  <si>
    <t>友情提醒：</t>
  </si>
  <si>
    <t>1、根据国家政策，自2020年1月1日起，“生育”调整为“医疗生育”。</t>
  </si>
  <si>
    <t>2、如对以上账单内容有疑问请联系相关业务人员，发票开具及款项到账问题请联系财务，谢谢！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</si>
</sst>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\¥#,##0.00;\¥\-#,##0.00"/>
    <numFmt numFmtId="178" formatCode="0.00_);[Red]\(0.00\)"/>
    <numFmt numFmtId="179" formatCode="0_ "/>
  </numFmts>
  <fonts count="49">
    <font>
      <sz val="11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sz val="9"/>
      <color theme="1"/>
      <name val="宋体"/>
      <charset val="134"/>
    </font>
    <font>
      <sz val="9"/>
      <color theme="1"/>
      <name val="等线"/>
      <charset val="134"/>
      <scheme val="minor"/>
    </font>
    <font>
      <b/>
      <sz val="14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6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b/>
      <sz val="10"/>
      <color theme="1"/>
      <name val="等线"/>
      <charset val="134"/>
      <scheme val="minor"/>
    </font>
    <font>
      <b/>
      <sz val="9"/>
      <color theme="1"/>
      <name val="宋体"/>
      <charset val="134"/>
    </font>
    <font>
      <b/>
      <sz val="9"/>
      <color theme="1"/>
      <name val="等线"/>
      <charset val="134"/>
      <scheme val="minor"/>
    </font>
    <font>
      <b/>
      <sz val="9"/>
      <color theme="1"/>
      <name val="等线"/>
      <charset val="134"/>
      <scheme val="minor"/>
    </font>
    <font>
      <b/>
      <sz val="10"/>
      <color theme="1"/>
      <name val="宋体"/>
      <charset val="134"/>
    </font>
    <font>
      <sz val="11"/>
      <name val="等线"/>
      <charset val="134"/>
      <scheme val="minor"/>
    </font>
    <font>
      <b/>
      <sz val="11"/>
      <name val="等线"/>
      <charset val="134"/>
      <scheme val="minor"/>
    </font>
    <font>
      <sz val="8"/>
      <name val="阿里巴巴普惠体 R"/>
      <charset val="134"/>
    </font>
    <font>
      <sz val="8"/>
      <color theme="1"/>
      <name val="阿里巴巴普惠体 R"/>
      <charset val="134"/>
    </font>
    <font>
      <sz val="11"/>
      <color theme="1"/>
      <name val="阿里巴巴普惠体 R"/>
      <charset val="134"/>
    </font>
    <font>
      <sz val="9"/>
      <name val="阿里巴巴普惠体 R"/>
      <charset val="134"/>
    </font>
    <font>
      <sz val="7"/>
      <name val="阿里巴巴普惠体 R"/>
      <charset val="134"/>
    </font>
    <font>
      <sz val="6"/>
      <name val="阿里巴巴普惠体 R"/>
      <charset val="134"/>
    </font>
    <font>
      <sz val="8"/>
      <color rgb="FFFF0000"/>
      <name val="阿里巴巴普惠体 R"/>
      <charset val="134"/>
    </font>
    <font>
      <sz val="8"/>
      <color theme="4"/>
      <name val="阿里巴巴普惠体 R"/>
      <charset val="134"/>
    </font>
    <font>
      <sz val="18"/>
      <color theme="1"/>
      <name val="阿里巴巴普惠体 R"/>
      <charset val="134"/>
    </font>
    <font>
      <sz val="9"/>
      <color rgb="FFFF0000"/>
      <name val="阿里巴巴普惠体 R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  <font>
      <sz val="11"/>
      <color indexed="8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9"/>
      <name val="宋体"/>
      <charset val="134"/>
    </font>
  </fonts>
  <fills count="4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2" fontId="25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5" fillId="12" borderId="8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13" borderId="11" applyNumberFormat="0" applyAlignment="0" applyProtection="0">
      <alignment vertical="center"/>
    </xf>
    <xf numFmtId="0" fontId="35" fillId="14" borderId="12" applyNumberFormat="0" applyAlignment="0" applyProtection="0">
      <alignment vertical="center"/>
    </xf>
    <xf numFmtId="0" fontId="36" fillId="14" borderId="11" applyNumberFormat="0" applyAlignment="0" applyProtection="0">
      <alignment vertical="center"/>
    </xf>
    <xf numFmtId="0" fontId="37" fillId="15" borderId="13" applyNumberFormat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9" fillId="0" borderId="15" applyNumberFormat="0" applyFill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0" fontId="0" fillId="0" borderId="0"/>
    <xf numFmtId="0" fontId="45" fillId="0" borderId="0">
      <alignment vertical="center"/>
    </xf>
    <xf numFmtId="0" fontId="46" fillId="0" borderId="0">
      <alignment vertical="center"/>
    </xf>
    <xf numFmtId="0" fontId="47" fillId="0" borderId="0">
      <alignment vertical="center"/>
    </xf>
  </cellStyleXfs>
  <cellXfs count="115">
    <xf numFmtId="0" fontId="0" fillId="0" borderId="0" xfId="0">
      <alignment vertical="center"/>
    </xf>
    <xf numFmtId="49" fontId="1" fillId="0" borderId="0" xfId="0" applyNumberFormat="1" applyFont="1" applyAlignment="1">
      <alignment horizontal="center" vertical="center"/>
    </xf>
    <xf numFmtId="49" fontId="2" fillId="0" borderId="1" xfId="0" applyNumberFormat="1" applyFont="1" applyBorder="1" applyAlignment="1">
      <alignment horizontal="center" wrapText="1"/>
    </xf>
    <xf numFmtId="49" fontId="2" fillId="0" borderId="2" xfId="0" applyNumberFormat="1" applyFont="1" applyBorder="1" applyAlignment="1">
      <alignment horizontal="center" vertical="top" wrapText="1"/>
    </xf>
    <xf numFmtId="49" fontId="3" fillId="0" borderId="3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wrapText="1"/>
    </xf>
    <xf numFmtId="49" fontId="2" fillId="0" borderId="0" xfId="0" applyNumberFormat="1" applyFont="1" applyAlignment="1">
      <alignment horizontal="center" vertical="top" wrapText="1"/>
    </xf>
    <xf numFmtId="49" fontId="4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176" fontId="6" fillId="0" borderId="0" xfId="0" applyNumberFormat="1" applyFont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49" fontId="8" fillId="0" borderId="0" xfId="0" applyNumberFormat="1" applyFont="1" applyAlignment="1">
      <alignment horizontal="left" vertical="center"/>
    </xf>
    <xf numFmtId="176" fontId="1" fillId="0" borderId="0" xfId="0" applyNumberFormat="1" applyFont="1" applyAlignment="1">
      <alignment horizontal="center" vertical="center"/>
    </xf>
    <xf numFmtId="176" fontId="8" fillId="0" borderId="0" xfId="0" applyNumberFormat="1" applyFont="1" applyAlignment="1">
      <alignment horizontal="left" vertical="center"/>
    </xf>
    <xf numFmtId="176" fontId="2" fillId="0" borderId="1" xfId="0" applyNumberFormat="1" applyFont="1" applyBorder="1" applyAlignment="1">
      <alignment horizontal="center" wrapText="1"/>
    </xf>
    <xf numFmtId="176" fontId="2" fillId="0" borderId="4" xfId="0" applyNumberFormat="1" applyFont="1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176" fontId="2" fillId="0" borderId="1" xfId="0" applyNumberFormat="1" applyFont="1" applyBorder="1" applyAlignment="1">
      <alignment horizontal="center" vertical="top" wrapText="1"/>
    </xf>
    <xf numFmtId="176" fontId="9" fillId="0" borderId="1" xfId="0" applyNumberFormat="1" applyFont="1" applyBorder="1" applyAlignment="1">
      <alignment horizontal="center" wrapText="1"/>
    </xf>
    <xf numFmtId="176" fontId="2" fillId="0" borderId="2" xfId="0" applyNumberFormat="1" applyFont="1" applyBorder="1" applyAlignment="1">
      <alignment horizontal="center" vertical="top" wrapText="1"/>
    </xf>
    <xf numFmtId="176" fontId="2" fillId="0" borderId="3" xfId="0" applyNumberFormat="1" applyFont="1" applyBorder="1" applyAlignment="1">
      <alignment horizontal="center" vertical="top" wrapText="1"/>
    </xf>
    <xf numFmtId="176" fontId="9" fillId="0" borderId="2" xfId="0" applyNumberFormat="1" applyFont="1" applyBorder="1" applyAlignment="1">
      <alignment horizontal="center" vertical="top" wrapText="1"/>
    </xf>
    <xf numFmtId="176" fontId="3" fillId="0" borderId="3" xfId="0" applyNumberFormat="1" applyFont="1" applyBorder="1" applyAlignment="1">
      <alignment horizontal="right" vertical="center"/>
    </xf>
    <xf numFmtId="176" fontId="10" fillId="0" borderId="3" xfId="0" applyNumberFormat="1" applyFont="1" applyBorder="1" applyAlignment="1">
      <alignment horizontal="right" vertical="center"/>
    </xf>
    <xf numFmtId="176" fontId="3" fillId="0" borderId="3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left" vertical="center"/>
    </xf>
    <xf numFmtId="177" fontId="10" fillId="0" borderId="3" xfId="0" applyNumberFormat="1" applyFont="1" applyBorder="1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49" fontId="11" fillId="0" borderId="0" xfId="0" applyNumberFormat="1" applyFont="1" applyAlignment="1">
      <alignment horizontal="left" vertical="center"/>
    </xf>
    <xf numFmtId="176" fontId="3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wrapText="1"/>
    </xf>
    <xf numFmtId="176" fontId="2" fillId="0" borderId="0" xfId="0" applyNumberFormat="1" applyFont="1" applyAlignment="1">
      <alignment horizontal="center" vertical="top" wrapText="1"/>
    </xf>
    <xf numFmtId="177" fontId="3" fillId="0" borderId="3" xfId="0" applyNumberFormat="1" applyFont="1" applyBorder="1" applyAlignment="1">
      <alignment horizontal="right" vertical="center"/>
    </xf>
    <xf numFmtId="49" fontId="12" fillId="0" borderId="1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77" fontId="3" fillId="0" borderId="6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177" fontId="3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176" fontId="4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176" fontId="5" fillId="0" borderId="0" xfId="0" applyNumberFormat="1" applyFont="1" applyAlignment="1">
      <alignment horizontal="left" vertical="center"/>
    </xf>
    <xf numFmtId="176" fontId="0" fillId="0" borderId="0" xfId="0" applyNumberFormat="1" applyAlignment="1">
      <alignment horizontal="left" vertical="center"/>
    </xf>
    <xf numFmtId="0" fontId="13" fillId="0" borderId="3" xfId="0" applyFont="1" applyFill="1" applyBorder="1" applyAlignment="1">
      <alignment horizontal="center" vertical="center"/>
    </xf>
    <xf numFmtId="43" fontId="13" fillId="0" borderId="3" xfId="0" applyNumberFormat="1" applyFont="1" applyFill="1" applyBorder="1" applyAlignment="1">
      <alignment horizontal="center" vertical="center"/>
    </xf>
    <xf numFmtId="43" fontId="13" fillId="0" borderId="7" xfId="0" applyNumberFormat="1" applyFont="1" applyFill="1" applyBorder="1" applyAlignment="1">
      <alignment horizontal="center" vertical="center"/>
    </xf>
    <xf numFmtId="43" fontId="0" fillId="0" borderId="0" xfId="0" applyNumberFormat="1">
      <alignment vertical="center"/>
    </xf>
    <xf numFmtId="0" fontId="14" fillId="2" borderId="3" xfId="0" applyFont="1" applyFill="1" applyBorder="1" applyAlignment="1">
      <alignment horizontal="center" vertical="center"/>
    </xf>
    <xf numFmtId="43" fontId="14" fillId="2" borderId="3" xfId="0" applyNumberFormat="1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43" fontId="14" fillId="3" borderId="3" xfId="0" applyNumberFormat="1" applyFont="1" applyFill="1" applyBorder="1" applyAlignment="1">
      <alignment horizontal="center" vertical="center"/>
    </xf>
    <xf numFmtId="0" fontId="15" fillId="0" borderId="0" xfId="0" applyFont="1" applyAlignment="1"/>
    <xf numFmtId="0" fontId="15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>
      <alignment vertical="center"/>
    </xf>
    <xf numFmtId="0" fontId="15" fillId="4" borderId="3" xfId="0" applyFont="1" applyFill="1" applyBorder="1" applyAlignment="1" applyProtection="1">
      <alignment horizontal="center" vertical="center" wrapText="1"/>
      <protection locked="0"/>
    </xf>
    <xf numFmtId="0" fontId="15" fillId="4" borderId="3" xfId="0" applyNumberFormat="1" applyFont="1" applyFill="1" applyBorder="1" applyAlignment="1" applyProtection="1">
      <alignment horizontal="center" vertical="center" wrapText="1"/>
      <protection locked="0"/>
    </xf>
    <xf numFmtId="0" fontId="15" fillId="4" borderId="4" xfId="0" applyFont="1" applyFill="1" applyBorder="1" applyAlignment="1" applyProtection="1">
      <alignment horizontal="center" vertical="center" wrapText="1"/>
      <protection locked="0"/>
    </xf>
    <xf numFmtId="0" fontId="15" fillId="5" borderId="3" xfId="0" applyFont="1" applyFill="1" applyBorder="1" applyAlignment="1" applyProtection="1">
      <alignment horizontal="center" vertical="center" wrapText="1"/>
      <protection locked="0"/>
    </xf>
    <xf numFmtId="0" fontId="15" fillId="4" borderId="5" xfId="0" applyFont="1" applyFill="1" applyBorder="1" applyAlignment="1" applyProtection="1">
      <alignment horizontal="center" vertical="center" wrapText="1"/>
      <protection locked="0"/>
    </xf>
    <xf numFmtId="0" fontId="15" fillId="4" borderId="6" xfId="0" applyFont="1" applyFill="1" applyBorder="1" applyAlignment="1" applyProtection="1">
      <alignment horizontal="center" vertical="center" wrapText="1"/>
      <protection locked="0"/>
    </xf>
    <xf numFmtId="0" fontId="15" fillId="6" borderId="3" xfId="0" applyFont="1" applyFill="1" applyBorder="1" applyAlignment="1" applyProtection="1">
      <alignment horizontal="center" vertical="center" wrapText="1"/>
      <protection locked="0"/>
    </xf>
    <xf numFmtId="0" fontId="18" fillId="6" borderId="3" xfId="0" applyFont="1" applyFill="1" applyBorder="1" applyAlignment="1" applyProtection="1">
      <alignment horizontal="center" vertical="center" wrapText="1"/>
      <protection locked="0"/>
    </xf>
    <xf numFmtId="0" fontId="18" fillId="7" borderId="3" xfId="0" applyFont="1" applyFill="1" applyBorder="1" applyAlignment="1" applyProtection="1">
      <alignment horizontal="center" vertical="center" wrapText="1"/>
      <protection locked="0"/>
    </xf>
    <xf numFmtId="0" fontId="15" fillId="5" borderId="3" xfId="0" applyFont="1" applyFill="1" applyBorder="1" applyAlignment="1">
      <alignment horizontal="center" vertical="center"/>
    </xf>
    <xf numFmtId="0" fontId="18" fillId="2" borderId="3" xfId="0" applyFont="1" applyFill="1" applyBorder="1" applyAlignment="1" applyProtection="1">
      <alignment horizontal="center" vertical="center" wrapText="1"/>
      <protection locked="0"/>
    </xf>
    <xf numFmtId="2" fontId="19" fillId="4" borderId="3" xfId="0" applyNumberFormat="1" applyFont="1" applyFill="1" applyBorder="1" applyAlignment="1" applyProtection="1">
      <alignment horizontal="center" vertical="center" wrapText="1"/>
      <protection locked="0"/>
    </xf>
    <xf numFmtId="0" fontId="19" fillId="4" borderId="3" xfId="0" applyNumberFormat="1" applyFont="1" applyFill="1" applyBorder="1" applyAlignment="1" applyProtection="1">
      <alignment horizontal="center" vertical="center" wrapText="1"/>
      <protection locked="0"/>
    </xf>
    <xf numFmtId="2" fontId="19" fillId="5" borderId="3" xfId="0" applyNumberFormat="1" applyFont="1" applyFill="1" applyBorder="1" applyAlignment="1" applyProtection="1">
      <alignment horizontal="center" vertical="center" wrapText="1"/>
      <protection locked="0"/>
    </xf>
    <xf numFmtId="2" fontId="15" fillId="6" borderId="3" xfId="0" applyNumberFormat="1" applyFont="1" applyFill="1" applyBorder="1" applyAlignment="1" applyProtection="1">
      <alignment horizontal="center" vertical="center" wrapText="1"/>
      <protection locked="0"/>
    </xf>
    <xf numFmtId="2" fontId="20" fillId="5" borderId="3" xfId="0" applyNumberFormat="1" applyFont="1" applyFill="1" applyBorder="1" applyAlignment="1" applyProtection="1">
      <alignment horizontal="center" vertical="center" wrapText="1"/>
      <protection locked="0"/>
    </xf>
    <xf numFmtId="0" fontId="18" fillId="0" borderId="3" xfId="50" applyFont="1" applyBorder="1" applyAlignment="1">
      <alignment horizontal="center" vertical="center"/>
    </xf>
    <xf numFmtId="0" fontId="16" fillId="0" borderId="3" xfId="0" applyNumberFormat="1" applyFont="1" applyFill="1" applyBorder="1" applyAlignment="1">
      <alignment horizontal="center" vertical="center"/>
    </xf>
    <xf numFmtId="0" fontId="18" fillId="8" borderId="3" xfId="50" applyFont="1" applyFill="1" applyBorder="1" applyAlignment="1">
      <alignment horizontal="center" vertical="center"/>
    </xf>
    <xf numFmtId="49" fontId="18" fillId="0" borderId="3" xfId="50" applyNumberFormat="1" applyFont="1" applyBorder="1" applyAlignment="1">
      <alignment horizontal="center" vertical="center"/>
    </xf>
    <xf numFmtId="14" fontId="16" fillId="0" borderId="3" xfId="0" applyNumberFormat="1" applyFont="1" applyFill="1" applyBorder="1" applyAlignment="1">
      <alignment horizontal="center" vertical="center"/>
    </xf>
    <xf numFmtId="0" fontId="16" fillId="0" borderId="3" xfId="0" applyFont="1" applyFill="1" applyBorder="1" applyAlignment="1">
      <alignment horizontal="center" vertical="center"/>
    </xf>
    <xf numFmtId="178" fontId="15" fillId="0" borderId="3" xfId="0" applyNumberFormat="1" applyFont="1" applyFill="1" applyBorder="1" applyAlignment="1" applyProtection="1">
      <alignment horizontal="center" vertical="center" wrapText="1"/>
      <protection locked="0"/>
    </xf>
    <xf numFmtId="178" fontId="15" fillId="6" borderId="3" xfId="0" applyNumberFormat="1" applyFont="1" applyFill="1" applyBorder="1" applyAlignment="1">
      <alignment horizontal="center" vertical="center"/>
    </xf>
    <xf numFmtId="176" fontId="15" fillId="0" borderId="3" xfId="0" applyNumberFormat="1" applyFont="1" applyFill="1" applyBorder="1" applyAlignment="1">
      <alignment horizontal="center" vertical="center"/>
    </xf>
    <xf numFmtId="176" fontId="15" fillId="0" borderId="3" xfId="0" applyNumberFormat="1" applyFont="1" applyBorder="1" applyAlignment="1">
      <alignment horizontal="center" vertical="center"/>
    </xf>
    <xf numFmtId="178" fontId="15" fillId="0" borderId="3" xfId="0" applyNumberFormat="1" applyFont="1" applyBorder="1" applyAlignment="1">
      <alignment horizontal="center" vertical="center"/>
    </xf>
    <xf numFmtId="178" fontId="18" fillId="7" borderId="3" xfId="0" applyNumberFormat="1" applyFont="1" applyFill="1" applyBorder="1" applyAlignment="1" applyProtection="1">
      <alignment horizontal="center" vertical="center" wrapText="1"/>
      <protection locked="0"/>
    </xf>
    <xf numFmtId="179" fontId="21" fillId="0" borderId="3" xfId="0" applyNumberFormat="1" applyFont="1" applyFill="1" applyBorder="1" applyAlignment="1">
      <alignment horizontal="left" vertical="center"/>
    </xf>
    <xf numFmtId="178" fontId="15" fillId="2" borderId="3" xfId="0" applyNumberFormat="1" applyFont="1" applyFill="1" applyBorder="1" applyAlignment="1">
      <alignment horizontal="center" vertical="center"/>
    </xf>
    <xf numFmtId="178" fontId="16" fillId="0" borderId="0" xfId="0" applyNumberFormat="1" applyFont="1" applyAlignment="1">
      <alignment horizontal="center" vertical="center"/>
    </xf>
    <xf numFmtId="179" fontId="21" fillId="9" borderId="3" xfId="0" applyNumberFormat="1" applyFont="1" applyFill="1" applyBorder="1" applyAlignment="1">
      <alignment horizontal="left" vertical="center"/>
    </xf>
    <xf numFmtId="178" fontId="15" fillId="7" borderId="3" xfId="0" applyNumberFormat="1" applyFont="1" applyFill="1" applyBorder="1" applyAlignment="1">
      <alignment horizontal="center" vertical="center"/>
    </xf>
    <xf numFmtId="179" fontId="22" fillId="0" borderId="3" xfId="0" applyNumberFormat="1" applyFont="1" applyFill="1" applyBorder="1" applyAlignment="1">
      <alignment horizontal="left" vertical="center"/>
    </xf>
    <xf numFmtId="176" fontId="15" fillId="10" borderId="3" xfId="0" applyNumberFormat="1" applyFont="1" applyFill="1" applyBorder="1" applyAlignment="1">
      <alignment horizontal="center" vertical="center"/>
    </xf>
    <xf numFmtId="179" fontId="22" fillId="9" borderId="3" xfId="0" applyNumberFormat="1" applyFont="1" applyFill="1" applyBorder="1" applyAlignment="1">
      <alignment horizontal="left" vertical="center"/>
    </xf>
    <xf numFmtId="0" fontId="18" fillId="11" borderId="3" xfId="50" applyFont="1" applyFill="1" applyBorder="1" applyAlignment="1">
      <alignment horizontal="center" vertical="center"/>
    </xf>
    <xf numFmtId="179" fontId="16" fillId="0" borderId="3" xfId="0" applyNumberFormat="1" applyFont="1" applyFill="1" applyBorder="1" applyAlignment="1">
      <alignment horizontal="left" vertical="center"/>
    </xf>
    <xf numFmtId="179" fontId="16" fillId="9" borderId="3" xfId="0" applyNumberFormat="1" applyFont="1" applyFill="1" applyBorder="1" applyAlignment="1">
      <alignment horizontal="left" vertical="center"/>
    </xf>
    <xf numFmtId="178" fontId="15" fillId="2" borderId="3" xfId="0" applyNumberFormat="1" applyFont="1" applyFill="1" applyBorder="1" applyAlignment="1" applyProtection="1">
      <alignment horizontal="center" vertical="center" wrapText="1"/>
      <protection locked="0"/>
    </xf>
    <xf numFmtId="43" fontId="17" fillId="0" borderId="0" xfId="1" applyFont="1" applyFill="1">
      <alignment vertical="center"/>
    </xf>
    <xf numFmtId="43" fontId="17" fillId="2" borderId="0" xfId="1" applyFont="1" applyFill="1">
      <alignment vertical="center"/>
    </xf>
    <xf numFmtId="43" fontId="17" fillId="9" borderId="0" xfId="1" applyFont="1" applyFill="1">
      <alignment vertical="center"/>
    </xf>
    <xf numFmtId="43" fontId="17" fillId="0" borderId="0" xfId="0" applyNumberFormat="1" applyFont="1">
      <alignment vertical="center"/>
    </xf>
    <xf numFmtId="0" fontId="23" fillId="0" borderId="0" xfId="0" applyFont="1">
      <alignment vertical="center"/>
    </xf>
    <xf numFmtId="0" fontId="17" fillId="0" borderId="0" xfId="0" applyNumberFormat="1" applyFont="1">
      <alignment vertical="center"/>
    </xf>
    <xf numFmtId="178" fontId="17" fillId="0" borderId="0" xfId="0" applyNumberFormat="1" applyFont="1">
      <alignment vertical="center"/>
    </xf>
    <xf numFmtId="0" fontId="15" fillId="5" borderId="3" xfId="0" applyNumberFormat="1" applyFont="1" applyFill="1" applyBorder="1" applyAlignment="1" applyProtection="1">
      <alignment horizontal="center" vertical="center" wrapText="1"/>
      <protection locked="0"/>
    </xf>
    <xf numFmtId="0" fontId="15" fillId="4" borderId="4" xfId="0" applyNumberFormat="1" applyFont="1" applyFill="1" applyBorder="1" applyAlignment="1" applyProtection="1">
      <alignment horizontal="center" vertical="center" wrapText="1"/>
      <protection locked="0"/>
    </xf>
    <xf numFmtId="0" fontId="15" fillId="4" borderId="5" xfId="0" applyNumberFormat="1" applyFont="1" applyFill="1" applyBorder="1" applyAlignment="1" applyProtection="1">
      <alignment horizontal="center" vertical="center" wrapText="1"/>
      <protection locked="0"/>
    </xf>
    <xf numFmtId="0" fontId="15" fillId="4" borderId="6" xfId="0" applyNumberFormat="1" applyFont="1" applyFill="1" applyBorder="1" applyAlignment="1" applyProtection="1">
      <alignment horizontal="center" vertical="center" wrapText="1"/>
      <protection locked="0"/>
    </xf>
    <xf numFmtId="0" fontId="19" fillId="5" borderId="3" xfId="0" applyNumberFormat="1" applyFont="1" applyFill="1" applyBorder="1" applyAlignment="1" applyProtection="1">
      <alignment horizontal="center" vertical="center" wrapText="1"/>
      <protection locked="0"/>
    </xf>
    <xf numFmtId="0" fontId="24" fillId="7" borderId="3" xfId="0" applyFont="1" applyFill="1" applyBorder="1" applyAlignment="1" applyProtection="1">
      <alignment horizontal="center" vertical="center" wrapText="1"/>
      <protection locked="0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2" xfId="50"/>
    <cellStyle name="常规 3" xfId="51"/>
    <cellStyle name="常规 4" xfId="52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54"/>
  <sheetViews>
    <sheetView tabSelected="1" workbookViewId="0">
      <pane xSplit="5" ySplit="2" topLeftCell="AZ29" activePane="bottomRight" state="frozen"/>
      <selection/>
      <selection pane="topRight"/>
      <selection pane="bottomLeft"/>
      <selection pane="bottomRight" activeCell="BE3" sqref="BE3:BE39"/>
    </sheetView>
  </sheetViews>
  <sheetFormatPr defaultColWidth="8.66666666666667" defaultRowHeight="16"/>
  <cols>
    <col min="1" max="1" width="5.21666666666667" style="61" customWidth="1"/>
    <col min="2" max="2" width="7.66666666666667" style="61" customWidth="1"/>
    <col min="3" max="3" width="8.775" style="61" customWidth="1"/>
    <col min="4" max="4" width="5.66666666666667" style="61" customWidth="1"/>
    <col min="5" max="5" width="23.3333333333333" style="61" customWidth="1"/>
    <col min="6" max="6" width="12" style="61" customWidth="1"/>
    <col min="7" max="7" width="10.5583333333333" style="61" customWidth="1"/>
    <col min="8" max="8" width="6.44166666666667" style="61" customWidth="1"/>
    <col min="9" max="9" width="10.4416666666667" style="61" customWidth="1"/>
    <col min="10" max="10" width="9.55833333333333" style="61" customWidth="1"/>
    <col min="11" max="11" width="10.4416666666667" style="61" customWidth="1"/>
    <col min="12" max="12" width="11" style="61" customWidth="1"/>
    <col min="13" max="13" width="5.66666666666667" style="61" customWidth="1"/>
    <col min="14" max="14" width="5.33333333333333" style="61" customWidth="1"/>
    <col min="15" max="15" width="4.44166666666667" style="61" customWidth="1"/>
    <col min="16" max="16" width="6" style="61" customWidth="1"/>
    <col min="17" max="17" width="6.55833333333333" style="61" customWidth="1"/>
    <col min="18" max="18" width="11.6666666666667" style="61" customWidth="1"/>
    <col min="19" max="19" width="8" style="61" customWidth="1"/>
    <col min="20" max="20" width="4.44166666666667" style="61" customWidth="1"/>
    <col min="21" max="21" width="8.33333333333333" style="61" customWidth="1"/>
    <col min="22" max="22" width="6.775" style="61" customWidth="1"/>
    <col min="23" max="23" width="13.3333333333333" style="61" customWidth="1"/>
    <col min="24" max="24" width="10.4416666666667" style="61" customWidth="1"/>
    <col min="25" max="25" width="9.55833333333333" style="61" customWidth="1"/>
    <col min="26" max="26" width="14.5583333333333" style="61" customWidth="1"/>
    <col min="27" max="27" width="10.4416666666667" style="61" customWidth="1"/>
    <col min="28" max="28" width="12.8833333333333" style="61" customWidth="1"/>
    <col min="29" max="30" width="10.1083333333333" style="61" customWidth="1"/>
    <col min="31" max="32" width="9.66666666666667" style="61" customWidth="1"/>
    <col min="33" max="33" width="16" style="61" customWidth="1"/>
    <col min="34" max="34" width="11.1083333333333" style="61" customWidth="1"/>
    <col min="35" max="35" width="9.21666666666667" style="61" customWidth="1"/>
    <col min="36" max="36" width="10.3333333333333" style="61" customWidth="1"/>
    <col min="37" max="37" width="16.2166666666667" style="61" customWidth="1"/>
    <col min="38" max="38" width="10.4416666666667" style="61" customWidth="1"/>
    <col min="39" max="39" width="8.88333333333333" style="61" customWidth="1"/>
    <col min="40" max="41" width="9.55833333333333" style="61" customWidth="1"/>
    <col min="42" max="42" width="10" style="61" customWidth="1"/>
    <col min="43" max="43" width="9.775" style="61" customWidth="1"/>
    <col min="44" max="44" width="6.55833333333333" style="61" customWidth="1"/>
    <col min="45" max="45" width="8.88333333333333" style="61" customWidth="1"/>
    <col min="46" max="46" width="10.775" style="61" customWidth="1"/>
    <col min="47" max="47" width="16" style="61" customWidth="1"/>
    <col min="48" max="48" width="10.2166666666667" style="61" customWidth="1"/>
    <col min="49" max="49" width="14.5583333333333" style="61" customWidth="1"/>
    <col min="50" max="50" width="15.2166666666667" style="61" customWidth="1"/>
    <col min="51" max="51" width="35.3333333333333" style="61" customWidth="1"/>
    <col min="52" max="52" width="13.3333333333333" style="61" customWidth="1"/>
    <col min="53" max="53" width="17" style="61" customWidth="1"/>
    <col min="54" max="54" width="14.6666666666667" style="61" customWidth="1"/>
    <col min="55" max="55" width="17.6666666666667" style="61" customWidth="1"/>
    <col min="56" max="56" width="9.10833333333333" style="61" customWidth="1"/>
    <col min="57" max="16384" width="8.66666666666667" style="61"/>
  </cols>
  <sheetData>
    <row r="1" s="58" customFormat="1" ht="26.1" customHeight="1" spans="1:58">
      <c r="A1" s="62" t="s">
        <v>0</v>
      </c>
      <c r="B1" s="63" t="s">
        <v>1</v>
      </c>
      <c r="C1" s="64" t="s">
        <v>2</v>
      </c>
      <c r="D1" s="64" t="s">
        <v>3</v>
      </c>
      <c r="E1" s="64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5" t="s">
        <v>9</v>
      </c>
      <c r="K1" s="62" t="s">
        <v>10</v>
      </c>
      <c r="L1" s="62" t="s">
        <v>11</v>
      </c>
      <c r="M1" s="64" t="s">
        <v>12</v>
      </c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7"/>
      <c r="Z1" s="68" t="s">
        <v>13</v>
      </c>
      <c r="AA1" s="65" t="s">
        <v>14</v>
      </c>
      <c r="AB1" s="65" t="s">
        <v>15</v>
      </c>
      <c r="AC1" s="65" t="s">
        <v>16</v>
      </c>
      <c r="AD1" s="65" t="s">
        <v>17</v>
      </c>
      <c r="AE1" s="65" t="s">
        <v>18</v>
      </c>
      <c r="AF1" s="65" t="s">
        <v>19</v>
      </c>
      <c r="AG1" s="68" t="s">
        <v>20</v>
      </c>
      <c r="AH1" s="65" t="s">
        <v>21</v>
      </c>
      <c r="AI1" s="65" t="s">
        <v>22</v>
      </c>
      <c r="AJ1" s="65" t="s">
        <v>23</v>
      </c>
      <c r="AK1" s="68" t="s">
        <v>24</v>
      </c>
      <c r="AL1" s="65" t="s">
        <v>25</v>
      </c>
      <c r="AM1" s="65" t="s">
        <v>26</v>
      </c>
      <c r="AN1" s="65" t="s">
        <v>27</v>
      </c>
      <c r="AO1" s="65" t="s">
        <v>28</v>
      </c>
      <c r="AP1" s="65" t="s">
        <v>29</v>
      </c>
      <c r="AQ1" s="65" t="s">
        <v>30</v>
      </c>
      <c r="AR1" s="65" t="s">
        <v>31</v>
      </c>
      <c r="AS1" s="65" t="s">
        <v>32</v>
      </c>
      <c r="AT1" s="65" t="s">
        <v>33</v>
      </c>
      <c r="AU1" s="68" t="s">
        <v>34</v>
      </c>
      <c r="AV1" s="68" t="s">
        <v>35</v>
      </c>
      <c r="AW1" s="69" t="s">
        <v>36</v>
      </c>
      <c r="AX1" s="70" t="s">
        <v>37</v>
      </c>
      <c r="AY1" s="71" t="s">
        <v>38</v>
      </c>
      <c r="AZ1" s="69" t="s">
        <v>39</v>
      </c>
      <c r="BA1" s="72" t="s">
        <v>40</v>
      </c>
      <c r="BB1" s="69" t="s">
        <v>41</v>
      </c>
      <c r="BC1" s="69" t="s">
        <v>42</v>
      </c>
      <c r="BD1" s="59"/>
    </row>
    <row r="2" s="59" customFormat="1" ht="40" spans="1:58">
      <c r="A2" s="73" t="s">
        <v>43</v>
      </c>
      <c r="B2" s="74" t="s">
        <v>44</v>
      </c>
      <c r="C2" s="73" t="s">
        <v>45</v>
      </c>
      <c r="D2" s="73" t="s">
        <v>46</v>
      </c>
      <c r="E2" s="73" t="s">
        <v>47</v>
      </c>
      <c r="F2" s="73" t="s">
        <v>48</v>
      </c>
      <c r="G2" s="73" t="s">
        <v>49</v>
      </c>
      <c r="H2" s="73" t="s">
        <v>50</v>
      </c>
      <c r="I2" s="73" t="s">
        <v>51</v>
      </c>
      <c r="J2" s="75" t="s">
        <v>52</v>
      </c>
      <c r="K2" s="73" t="s">
        <v>53</v>
      </c>
      <c r="L2" s="73" t="s">
        <v>54</v>
      </c>
      <c r="M2" s="73" t="s">
        <v>55</v>
      </c>
      <c r="N2" s="73" t="s">
        <v>56</v>
      </c>
      <c r="O2" s="73" t="s">
        <v>57</v>
      </c>
      <c r="P2" s="73" t="s">
        <v>58</v>
      </c>
      <c r="Q2" s="73" t="s">
        <v>59</v>
      </c>
      <c r="R2" s="73" t="s">
        <v>60</v>
      </c>
      <c r="S2" s="73" t="s">
        <v>61</v>
      </c>
      <c r="T2" s="73" t="s">
        <v>62</v>
      </c>
      <c r="U2" s="73" t="s">
        <v>63</v>
      </c>
      <c r="V2" s="73" t="s">
        <v>64</v>
      </c>
      <c r="W2" s="73" t="s">
        <v>65</v>
      </c>
      <c r="X2" s="73" t="s">
        <v>66</v>
      </c>
      <c r="Y2" s="73" t="s">
        <v>67</v>
      </c>
      <c r="Z2" s="76" t="s">
        <v>68</v>
      </c>
      <c r="AA2" s="75" t="s">
        <v>69</v>
      </c>
      <c r="AB2" s="75" t="s">
        <v>70</v>
      </c>
      <c r="AC2" s="75" t="s">
        <v>71</v>
      </c>
      <c r="AD2" s="75" t="s">
        <v>72</v>
      </c>
      <c r="AE2" s="75" t="s">
        <v>73</v>
      </c>
      <c r="AF2" s="75" t="s">
        <v>74</v>
      </c>
      <c r="AG2" s="76" t="s">
        <v>75</v>
      </c>
      <c r="AH2" s="75" t="s">
        <v>76</v>
      </c>
      <c r="AI2" s="75" t="s">
        <v>77</v>
      </c>
      <c r="AJ2" s="75" t="s">
        <v>78</v>
      </c>
      <c r="AK2" s="76" t="s">
        <v>79</v>
      </c>
      <c r="AL2" s="75" t="s">
        <v>69</v>
      </c>
      <c r="AM2" s="75" t="s">
        <v>73</v>
      </c>
      <c r="AN2" s="75" t="s">
        <v>80</v>
      </c>
      <c r="AO2" s="75" t="s">
        <v>81</v>
      </c>
      <c r="AP2" s="75" t="s">
        <v>82</v>
      </c>
      <c r="AQ2" s="75" t="s">
        <v>83</v>
      </c>
      <c r="AR2" s="75" t="s">
        <v>84</v>
      </c>
      <c r="AS2" s="75" t="s">
        <v>85</v>
      </c>
      <c r="AT2" s="75" t="s">
        <v>86</v>
      </c>
      <c r="AU2" s="76" t="s">
        <v>87</v>
      </c>
      <c r="AV2" s="76" t="s">
        <v>88</v>
      </c>
      <c r="AW2" s="76" t="s">
        <v>89</v>
      </c>
      <c r="AX2" s="70"/>
      <c r="AY2" s="77" t="s">
        <v>90</v>
      </c>
      <c r="AZ2" s="69" t="s">
        <v>91</v>
      </c>
      <c r="BA2" s="72" t="s">
        <v>92</v>
      </c>
      <c r="BB2" s="69" t="s">
        <v>93</v>
      </c>
      <c r="BC2" s="69" t="s">
        <v>94</v>
      </c>
    </row>
    <row r="3" s="60" customFormat="1" ht="15" customHeight="1" spans="1:58">
      <c r="A3" s="78">
        <f>ROW()-2</f>
        <v>1</v>
      </c>
      <c r="B3" s="79">
        <v>2411</v>
      </c>
      <c r="C3" s="79" t="s">
        <v>95</v>
      </c>
      <c r="D3" s="80" t="s">
        <v>96</v>
      </c>
      <c r="E3" s="81" t="s">
        <v>97</v>
      </c>
      <c r="F3" s="82">
        <v>45444</v>
      </c>
      <c r="G3" s="82">
        <v>45808</v>
      </c>
      <c r="H3" s="78"/>
      <c r="I3" s="83" t="s">
        <v>98</v>
      </c>
      <c r="J3" s="84">
        <v>1400</v>
      </c>
      <c r="K3" s="84">
        <v>13179</v>
      </c>
      <c r="L3" s="84">
        <v>4451.7</v>
      </c>
      <c r="M3" s="84">
        <v>0</v>
      </c>
      <c r="N3" s="84">
        <v>0</v>
      </c>
      <c r="O3" s="84">
        <v>0</v>
      </c>
      <c r="P3" s="84">
        <v>0</v>
      </c>
      <c r="Q3" s="84">
        <v>630</v>
      </c>
      <c r="R3" s="84">
        <v>0</v>
      </c>
      <c r="S3" s="84">
        <v>0</v>
      </c>
      <c r="T3" s="84">
        <v>0</v>
      </c>
      <c r="U3" s="84">
        <v>0</v>
      </c>
      <c r="V3" s="84">
        <v>742</v>
      </c>
      <c r="W3" s="84">
        <v>0</v>
      </c>
      <c r="X3" s="84" t="str">
        <f>IF(SUM(J3:L3)+Y3-AG3&lt;2690,2690-(SUM(J3:L3)+Y3-AG3),"")</f>
        <v/>
      </c>
      <c r="Y3" s="84">
        <v>0</v>
      </c>
      <c r="Z3" s="85">
        <f t="shared" ref="Z3:Z39" si="0">SUM(J3:Y3)</f>
        <v>20402.7</v>
      </c>
      <c r="AA3" s="86">
        <v>13804</v>
      </c>
      <c r="AB3" s="87">
        <v>1104.32</v>
      </c>
      <c r="AC3" s="87">
        <v>276.08</v>
      </c>
      <c r="AD3" s="87">
        <v>69.02</v>
      </c>
      <c r="AE3" s="86">
        <v>13804</v>
      </c>
      <c r="AF3" s="86">
        <v>966</v>
      </c>
      <c r="AG3" s="85">
        <f t="shared" ref="AG3:AG16" si="1">AB3+AC3+AD3+AF3</f>
        <v>2415.42</v>
      </c>
      <c r="AH3" s="88"/>
      <c r="AI3" s="88"/>
      <c r="AJ3" s="88"/>
      <c r="AK3" s="85">
        <f t="shared" ref="AK3:AK39" si="2">Z3-AG3-AH3</f>
        <v>17987.28</v>
      </c>
      <c r="AL3" s="86">
        <v>13804</v>
      </c>
      <c r="AM3" s="86">
        <v>13804</v>
      </c>
      <c r="AN3" s="86">
        <f t="shared" ref="AN3:AN16" si="3">ROUND(AL3*16%,2)</f>
        <v>2208.64</v>
      </c>
      <c r="AO3" s="86">
        <f>ROUND(AL3*9%,2)</f>
        <v>1242.36</v>
      </c>
      <c r="AP3" s="86">
        <f t="shared" ref="AP3:AP37" si="4">ROUND(AL3*0.5%,2)</f>
        <v>69.02</v>
      </c>
      <c r="AQ3" s="86">
        <f t="shared" ref="AQ3:AQ37" si="5">ROUND(AL3*0.256%,2)</f>
        <v>35.34</v>
      </c>
      <c r="AR3" s="86"/>
      <c r="AS3" s="86">
        <f t="shared" ref="AS3:AS37" si="6">ROUND(AM3*7%,0)</f>
        <v>966</v>
      </c>
      <c r="AT3" s="86">
        <f t="shared" ref="AT3:AT37" si="7">ROUND(IF(AL3&lt;24366,AL3*1.5%,24366*1.5%),2)</f>
        <v>207.06</v>
      </c>
      <c r="AU3" s="85">
        <f t="shared" ref="AU3:AU37" si="8">SUM(AN3:AT3)</f>
        <v>4728.42</v>
      </c>
      <c r="AV3" s="85"/>
      <c r="AW3" s="85">
        <f t="shared" ref="AW3:AW39" si="9">AU3+Z3+AI3-AJ3+AV3</f>
        <v>25131.12</v>
      </c>
      <c r="AX3" s="89"/>
      <c r="AY3" s="90"/>
      <c r="AZ3" s="85">
        <v>255</v>
      </c>
      <c r="BA3" s="91">
        <f t="shared" ref="BA3:BA39" si="10">ROUND(AW3+AZ3+AX3,2)</f>
        <v>25386.12</v>
      </c>
      <c r="BB3" s="85">
        <f t="shared" ref="BB3:BB39" si="11">ROUND(BA3*6%,2)</f>
        <v>1523.17</v>
      </c>
      <c r="BC3" s="85">
        <f t="shared" ref="BC3:BC39" si="12">ROUND(SUM(BA3:BB3),2)</f>
        <v>26909.29</v>
      </c>
      <c r="BD3" s="92" t="s">
        <v>99</v>
      </c>
      <c r="BE3" s="60">
        <f>Z3+AU3</f>
        <v>25131.12</v>
      </c>
      <c r="BF3" s="92"/>
    </row>
    <row r="4" s="60" customFormat="1" ht="15" customHeight="1" spans="1:58">
      <c r="A4" s="78">
        <f t="shared" ref="A4:A39" si="13">ROW()-2</f>
        <v>2</v>
      </c>
      <c r="B4" s="79">
        <v>2411</v>
      </c>
      <c r="C4" s="79" t="s">
        <v>100</v>
      </c>
      <c r="D4" s="80" t="s">
        <v>101</v>
      </c>
      <c r="E4" s="81" t="s">
        <v>102</v>
      </c>
      <c r="F4" s="82">
        <v>45444</v>
      </c>
      <c r="G4" s="82">
        <v>45808</v>
      </c>
      <c r="H4" s="78"/>
      <c r="I4" s="83" t="s">
        <v>98</v>
      </c>
      <c r="J4" s="84">
        <v>1030</v>
      </c>
      <c r="K4" s="84">
        <v>8408</v>
      </c>
      <c r="L4" s="84">
        <v>2034.4</v>
      </c>
      <c r="M4" s="84">
        <v>0</v>
      </c>
      <c r="N4" s="84">
        <v>0</v>
      </c>
      <c r="O4" s="84">
        <v>0</v>
      </c>
      <c r="P4" s="84">
        <v>0</v>
      </c>
      <c r="Q4" s="84">
        <v>630</v>
      </c>
      <c r="R4" s="84">
        <v>0</v>
      </c>
      <c r="S4" s="84">
        <v>0</v>
      </c>
      <c r="T4" s="84">
        <v>0</v>
      </c>
      <c r="U4" s="84">
        <v>0</v>
      </c>
      <c r="V4" s="84">
        <v>0</v>
      </c>
      <c r="W4" s="84">
        <v>0</v>
      </c>
      <c r="X4" s="84" t="str">
        <f t="shared" ref="X4:X39" si="14">IF(SUM(J4:L4)+Y4-AG4&lt;2690,2690-(SUM(J4:L4)+Y4-AG4),"")</f>
        <v/>
      </c>
      <c r="Y4" s="84">
        <v>0</v>
      </c>
      <c r="Z4" s="85">
        <f t="shared" si="0"/>
        <v>12102.4</v>
      </c>
      <c r="AA4" s="86">
        <v>10363</v>
      </c>
      <c r="AB4" s="87">
        <v>829.04</v>
      </c>
      <c r="AC4" s="87">
        <v>207.26</v>
      </c>
      <c r="AD4" s="87">
        <v>51.82</v>
      </c>
      <c r="AE4" s="86">
        <v>10363</v>
      </c>
      <c r="AF4" s="86">
        <v>725</v>
      </c>
      <c r="AG4" s="85">
        <f t="shared" si="1"/>
        <v>1813.12</v>
      </c>
      <c r="AH4" s="88"/>
      <c r="AI4" s="88"/>
      <c r="AJ4" s="88"/>
      <c r="AK4" s="85">
        <f t="shared" si="2"/>
        <v>10289.28</v>
      </c>
      <c r="AL4" s="86">
        <v>10363</v>
      </c>
      <c r="AM4" s="86">
        <v>10363</v>
      </c>
      <c r="AN4" s="86">
        <f t="shared" si="3"/>
        <v>1658.08</v>
      </c>
      <c r="AO4" s="86">
        <v>932.68</v>
      </c>
      <c r="AP4" s="86">
        <f t="shared" si="4"/>
        <v>51.82</v>
      </c>
      <c r="AQ4" s="86">
        <f t="shared" si="5"/>
        <v>26.53</v>
      </c>
      <c r="AR4" s="86"/>
      <c r="AS4" s="86">
        <f t="shared" si="6"/>
        <v>725</v>
      </c>
      <c r="AT4" s="86">
        <f t="shared" si="7"/>
        <v>155.45</v>
      </c>
      <c r="AU4" s="85">
        <f t="shared" si="8"/>
        <v>3549.56</v>
      </c>
      <c r="AV4" s="85"/>
      <c r="AW4" s="85">
        <f t="shared" si="9"/>
        <v>15651.96</v>
      </c>
      <c r="AX4" s="89"/>
      <c r="AY4" s="90"/>
      <c r="AZ4" s="85">
        <v>255</v>
      </c>
      <c r="BA4" s="91">
        <f t="shared" si="10"/>
        <v>15906.96</v>
      </c>
      <c r="BB4" s="85">
        <f t="shared" si="11"/>
        <v>954.42</v>
      </c>
      <c r="BC4" s="85">
        <f t="shared" si="12"/>
        <v>16861.38</v>
      </c>
      <c r="BD4" s="92" t="s">
        <v>99</v>
      </c>
      <c r="BE4" s="60">
        <f t="shared" ref="BE4:BE39" si="15">Z4+AU4</f>
        <v>15651.96</v>
      </c>
      <c r="BF4" s="92"/>
    </row>
    <row r="5" s="60" customFormat="1" ht="15" customHeight="1" spans="1:58">
      <c r="A5" s="78">
        <f t="shared" si="13"/>
        <v>3</v>
      </c>
      <c r="B5" s="79">
        <v>2411</v>
      </c>
      <c r="C5" s="79" t="s">
        <v>103</v>
      </c>
      <c r="D5" s="80" t="s">
        <v>104</v>
      </c>
      <c r="E5" s="81" t="s">
        <v>105</v>
      </c>
      <c r="F5" s="82">
        <v>45444</v>
      </c>
      <c r="G5" s="82">
        <v>45808</v>
      </c>
      <c r="H5" s="78"/>
      <c r="I5" s="83" t="s">
        <v>98</v>
      </c>
      <c r="J5" s="84">
        <v>1200</v>
      </c>
      <c r="K5" s="84">
        <v>9458</v>
      </c>
      <c r="L5" s="84">
        <v>2633.8</v>
      </c>
      <c r="M5" s="84">
        <v>0</v>
      </c>
      <c r="N5" s="84">
        <v>0</v>
      </c>
      <c r="O5" s="84">
        <v>0</v>
      </c>
      <c r="P5" s="84">
        <v>0</v>
      </c>
      <c r="Q5" s="84">
        <v>630</v>
      </c>
      <c r="R5" s="84">
        <v>0</v>
      </c>
      <c r="S5" s="84">
        <v>0</v>
      </c>
      <c r="T5" s="84">
        <v>0</v>
      </c>
      <c r="U5" s="84">
        <v>0</v>
      </c>
      <c r="V5" s="84">
        <v>742</v>
      </c>
      <c r="W5" s="84">
        <v>0</v>
      </c>
      <c r="X5" s="84" t="str">
        <f t="shared" si="14"/>
        <v/>
      </c>
      <c r="Y5" s="84">
        <v>0</v>
      </c>
      <c r="Z5" s="85">
        <f t="shared" si="0"/>
        <v>14663.8</v>
      </c>
      <c r="AA5" s="86">
        <v>11829</v>
      </c>
      <c r="AB5" s="87">
        <v>946.32</v>
      </c>
      <c r="AC5" s="87">
        <v>236.58</v>
      </c>
      <c r="AD5" s="87">
        <v>59.15</v>
      </c>
      <c r="AE5" s="86">
        <v>11829</v>
      </c>
      <c r="AF5" s="86">
        <v>828</v>
      </c>
      <c r="AG5" s="85">
        <f t="shared" si="1"/>
        <v>2070.05</v>
      </c>
      <c r="AH5" s="88"/>
      <c r="AI5" s="88"/>
      <c r="AJ5" s="88"/>
      <c r="AK5" s="85">
        <f t="shared" si="2"/>
        <v>12593.75</v>
      </c>
      <c r="AL5" s="86">
        <v>11829</v>
      </c>
      <c r="AM5" s="86">
        <v>11829</v>
      </c>
      <c r="AN5" s="86">
        <f t="shared" si="3"/>
        <v>1892.64</v>
      </c>
      <c r="AO5" s="86">
        <v>1064.62</v>
      </c>
      <c r="AP5" s="86">
        <f t="shared" si="4"/>
        <v>59.15</v>
      </c>
      <c r="AQ5" s="86">
        <f t="shared" si="5"/>
        <v>30.28</v>
      </c>
      <c r="AR5" s="86"/>
      <c r="AS5" s="86">
        <f t="shared" si="6"/>
        <v>828</v>
      </c>
      <c r="AT5" s="86">
        <f t="shared" si="7"/>
        <v>177.44</v>
      </c>
      <c r="AU5" s="85">
        <f t="shared" si="8"/>
        <v>4052.13</v>
      </c>
      <c r="AV5" s="85"/>
      <c r="AW5" s="85">
        <f t="shared" si="9"/>
        <v>18715.93</v>
      </c>
      <c r="AX5" s="89"/>
      <c r="AY5" s="90"/>
      <c r="AZ5" s="85">
        <v>255</v>
      </c>
      <c r="BA5" s="91">
        <f t="shared" si="10"/>
        <v>18970.93</v>
      </c>
      <c r="BB5" s="85">
        <f t="shared" si="11"/>
        <v>1138.26</v>
      </c>
      <c r="BC5" s="85">
        <f t="shared" si="12"/>
        <v>20109.19</v>
      </c>
      <c r="BD5" s="92" t="s">
        <v>99</v>
      </c>
      <c r="BE5" s="60">
        <f t="shared" si="15"/>
        <v>18715.93</v>
      </c>
      <c r="BF5" s="92"/>
    </row>
    <row r="6" s="60" customFormat="1" ht="15" customHeight="1" spans="1:58">
      <c r="A6" s="78">
        <f t="shared" si="13"/>
        <v>4</v>
      </c>
      <c r="B6" s="79">
        <v>2411</v>
      </c>
      <c r="C6" s="79" t="s">
        <v>106</v>
      </c>
      <c r="D6" s="80" t="s">
        <v>107</v>
      </c>
      <c r="E6" s="81" t="s">
        <v>108</v>
      </c>
      <c r="F6" s="82">
        <v>45444</v>
      </c>
      <c r="G6" s="82">
        <v>45808</v>
      </c>
      <c r="H6" s="78"/>
      <c r="I6" s="83" t="s">
        <v>98</v>
      </c>
      <c r="J6" s="84">
        <v>1030</v>
      </c>
      <c r="K6" s="84">
        <v>8668</v>
      </c>
      <c r="L6" s="84">
        <v>1447.5</v>
      </c>
      <c r="M6" s="84">
        <v>0</v>
      </c>
      <c r="N6" s="84">
        <v>0</v>
      </c>
      <c r="O6" s="84">
        <v>0</v>
      </c>
      <c r="P6" s="84">
        <v>0</v>
      </c>
      <c r="Q6" s="84">
        <v>630</v>
      </c>
      <c r="R6" s="84">
        <v>0</v>
      </c>
      <c r="S6" s="84">
        <v>0</v>
      </c>
      <c r="T6" s="84">
        <v>0</v>
      </c>
      <c r="U6" s="84">
        <v>0</v>
      </c>
      <c r="V6" s="84">
        <v>0</v>
      </c>
      <c r="W6" s="84">
        <v>0</v>
      </c>
      <c r="X6" s="84" t="str">
        <f t="shared" si="14"/>
        <v/>
      </c>
      <c r="Y6" s="84">
        <v>0</v>
      </c>
      <c r="Z6" s="85">
        <f t="shared" si="0"/>
        <v>11775.5</v>
      </c>
      <c r="AA6" s="86">
        <v>11367</v>
      </c>
      <c r="AB6" s="87">
        <v>909.36</v>
      </c>
      <c r="AC6" s="87">
        <v>227.34</v>
      </c>
      <c r="AD6" s="87">
        <v>56.84</v>
      </c>
      <c r="AE6" s="86">
        <v>11367</v>
      </c>
      <c r="AF6" s="86">
        <v>796</v>
      </c>
      <c r="AG6" s="85">
        <f t="shared" si="1"/>
        <v>1989.54</v>
      </c>
      <c r="AH6" s="88"/>
      <c r="AI6" s="88"/>
      <c r="AJ6" s="88"/>
      <c r="AK6" s="85">
        <f t="shared" si="2"/>
        <v>9785.96</v>
      </c>
      <c r="AL6" s="86">
        <v>11367</v>
      </c>
      <c r="AM6" s="86">
        <v>11367</v>
      </c>
      <c r="AN6" s="86">
        <f t="shared" si="3"/>
        <v>1818.72</v>
      </c>
      <c r="AO6" s="86">
        <v>1023.04</v>
      </c>
      <c r="AP6" s="86">
        <f t="shared" si="4"/>
        <v>56.84</v>
      </c>
      <c r="AQ6" s="86">
        <f t="shared" si="5"/>
        <v>29.1</v>
      </c>
      <c r="AR6" s="86"/>
      <c r="AS6" s="86">
        <f t="shared" si="6"/>
        <v>796</v>
      </c>
      <c r="AT6" s="86">
        <f t="shared" si="7"/>
        <v>170.51</v>
      </c>
      <c r="AU6" s="85">
        <f t="shared" si="8"/>
        <v>3894.21</v>
      </c>
      <c r="AV6" s="85"/>
      <c r="AW6" s="85">
        <f t="shared" si="9"/>
        <v>15669.71</v>
      </c>
      <c r="AX6" s="89"/>
      <c r="AY6" s="90"/>
      <c r="AZ6" s="85">
        <v>255</v>
      </c>
      <c r="BA6" s="91">
        <f t="shared" si="10"/>
        <v>15924.71</v>
      </c>
      <c r="BB6" s="85">
        <f t="shared" si="11"/>
        <v>955.48</v>
      </c>
      <c r="BC6" s="85">
        <f t="shared" si="12"/>
        <v>16880.19</v>
      </c>
      <c r="BD6" s="92" t="s">
        <v>99</v>
      </c>
      <c r="BE6" s="60">
        <f t="shared" si="15"/>
        <v>15669.71</v>
      </c>
      <c r="BF6" s="92"/>
    </row>
    <row r="7" s="60" customFormat="1" ht="15" customHeight="1" spans="1:58">
      <c r="A7" s="78">
        <f t="shared" si="13"/>
        <v>5</v>
      </c>
      <c r="B7" s="79">
        <v>2411</v>
      </c>
      <c r="C7" s="79" t="s">
        <v>109</v>
      </c>
      <c r="D7" s="80" t="s">
        <v>110</v>
      </c>
      <c r="E7" s="81" t="s">
        <v>111</v>
      </c>
      <c r="F7" s="82">
        <v>45444</v>
      </c>
      <c r="G7" s="82">
        <v>45808</v>
      </c>
      <c r="H7" s="78"/>
      <c r="I7" s="83" t="s">
        <v>98</v>
      </c>
      <c r="J7" s="84">
        <v>950</v>
      </c>
      <c r="K7" s="84">
        <v>10018</v>
      </c>
      <c r="L7" s="84">
        <v>2655.6</v>
      </c>
      <c r="M7" s="84">
        <v>0</v>
      </c>
      <c r="N7" s="84">
        <v>0</v>
      </c>
      <c r="O7" s="84">
        <v>0</v>
      </c>
      <c r="P7" s="84">
        <v>0</v>
      </c>
      <c r="Q7" s="84">
        <v>630</v>
      </c>
      <c r="R7" s="84">
        <v>0</v>
      </c>
      <c r="S7" s="84">
        <v>0</v>
      </c>
      <c r="T7" s="84">
        <v>0</v>
      </c>
      <c r="U7" s="84">
        <v>0</v>
      </c>
      <c r="V7" s="84">
        <v>742</v>
      </c>
      <c r="W7" s="84">
        <v>0</v>
      </c>
      <c r="X7" s="84" t="str">
        <f t="shared" si="14"/>
        <v/>
      </c>
      <c r="Y7" s="84">
        <v>0</v>
      </c>
      <c r="Z7" s="85">
        <f t="shared" si="0"/>
        <v>14995.6</v>
      </c>
      <c r="AA7" s="86">
        <v>11730</v>
      </c>
      <c r="AB7" s="87">
        <v>938.4</v>
      </c>
      <c r="AC7" s="87">
        <v>234.6</v>
      </c>
      <c r="AD7" s="87">
        <v>58.65</v>
      </c>
      <c r="AE7" s="86">
        <v>11730</v>
      </c>
      <c r="AF7" s="86">
        <v>821</v>
      </c>
      <c r="AG7" s="85">
        <f t="shared" si="1"/>
        <v>2052.65</v>
      </c>
      <c r="AH7" s="88"/>
      <c r="AI7" s="88"/>
      <c r="AJ7" s="88"/>
      <c r="AK7" s="85">
        <f t="shared" si="2"/>
        <v>12942.95</v>
      </c>
      <c r="AL7" s="86">
        <v>11730</v>
      </c>
      <c r="AM7" s="86">
        <v>11730</v>
      </c>
      <c r="AN7" s="86">
        <f t="shared" si="3"/>
        <v>1876.8</v>
      </c>
      <c r="AO7" s="86">
        <f t="shared" ref="AO7:AO39" si="16">ROUND(AL7*9%,2)</f>
        <v>1055.7</v>
      </c>
      <c r="AP7" s="86">
        <f t="shared" si="4"/>
        <v>58.65</v>
      </c>
      <c r="AQ7" s="86">
        <f t="shared" si="5"/>
        <v>30.03</v>
      </c>
      <c r="AR7" s="86"/>
      <c r="AS7" s="86">
        <f t="shared" si="6"/>
        <v>821</v>
      </c>
      <c r="AT7" s="86">
        <f t="shared" si="7"/>
        <v>175.95</v>
      </c>
      <c r="AU7" s="85">
        <f t="shared" si="8"/>
        <v>4018.13</v>
      </c>
      <c r="AV7" s="85"/>
      <c r="AW7" s="85">
        <f t="shared" si="9"/>
        <v>19013.73</v>
      </c>
      <c r="AX7" s="89"/>
      <c r="AY7" s="90"/>
      <c r="AZ7" s="85">
        <v>255</v>
      </c>
      <c r="BA7" s="91">
        <f t="shared" si="10"/>
        <v>19268.73</v>
      </c>
      <c r="BB7" s="85">
        <f t="shared" si="11"/>
        <v>1156.12</v>
      </c>
      <c r="BC7" s="85">
        <f t="shared" si="12"/>
        <v>20424.85</v>
      </c>
      <c r="BD7" s="92" t="s">
        <v>99</v>
      </c>
      <c r="BE7" s="60">
        <f t="shared" si="15"/>
        <v>19013.73</v>
      </c>
      <c r="BF7" s="92"/>
    </row>
    <row r="8" s="60" customFormat="1" ht="15" customHeight="1" spans="1:58">
      <c r="A8" s="78">
        <f t="shared" si="13"/>
        <v>6</v>
      </c>
      <c r="B8" s="79">
        <v>2411</v>
      </c>
      <c r="C8" s="79" t="s">
        <v>112</v>
      </c>
      <c r="D8" s="80" t="s">
        <v>113</v>
      </c>
      <c r="E8" s="81" t="s">
        <v>114</v>
      </c>
      <c r="F8" s="82">
        <v>45444</v>
      </c>
      <c r="G8" s="82">
        <v>45808</v>
      </c>
      <c r="H8" s="78"/>
      <c r="I8" s="83" t="s">
        <v>98</v>
      </c>
      <c r="J8" s="84">
        <v>860</v>
      </c>
      <c r="K8" s="84">
        <v>3505</v>
      </c>
      <c r="L8" s="84">
        <v>1158</v>
      </c>
      <c r="M8" s="84">
        <v>0</v>
      </c>
      <c r="N8" s="84">
        <v>0</v>
      </c>
      <c r="O8" s="84">
        <v>0</v>
      </c>
      <c r="P8" s="84">
        <v>0</v>
      </c>
      <c r="Q8" s="84">
        <v>630</v>
      </c>
      <c r="R8" s="84">
        <v>0</v>
      </c>
      <c r="S8" s="84">
        <v>0</v>
      </c>
      <c r="T8" s="84">
        <v>0</v>
      </c>
      <c r="U8" s="84">
        <v>0</v>
      </c>
      <c r="V8" s="84">
        <v>1113</v>
      </c>
      <c r="W8" s="84">
        <v>0</v>
      </c>
      <c r="X8" s="84" t="str">
        <f t="shared" si="14"/>
        <v/>
      </c>
      <c r="Y8" s="84">
        <v>-300</v>
      </c>
      <c r="Z8" s="85">
        <f t="shared" si="0"/>
        <v>6966</v>
      </c>
      <c r="AA8" s="86">
        <v>7963</v>
      </c>
      <c r="AB8" s="87">
        <v>637.04</v>
      </c>
      <c r="AC8" s="87">
        <v>159.26</v>
      </c>
      <c r="AD8" s="87">
        <v>39.82</v>
      </c>
      <c r="AE8" s="86">
        <v>7963</v>
      </c>
      <c r="AF8" s="86">
        <v>557</v>
      </c>
      <c r="AG8" s="85">
        <f t="shared" si="1"/>
        <v>1393.12</v>
      </c>
      <c r="AH8" s="88"/>
      <c r="AI8" s="88"/>
      <c r="AJ8" s="88"/>
      <c r="AK8" s="85">
        <f t="shared" si="2"/>
        <v>5572.88</v>
      </c>
      <c r="AL8" s="86">
        <v>7963</v>
      </c>
      <c r="AM8" s="86">
        <v>7963</v>
      </c>
      <c r="AN8" s="86">
        <f t="shared" si="3"/>
        <v>1274.08</v>
      </c>
      <c r="AO8" s="86">
        <v>716.68</v>
      </c>
      <c r="AP8" s="86">
        <f t="shared" si="4"/>
        <v>39.82</v>
      </c>
      <c r="AQ8" s="86">
        <f t="shared" si="5"/>
        <v>20.39</v>
      </c>
      <c r="AR8" s="86"/>
      <c r="AS8" s="86">
        <f t="shared" si="6"/>
        <v>557</v>
      </c>
      <c r="AT8" s="86">
        <f t="shared" si="7"/>
        <v>119.45</v>
      </c>
      <c r="AU8" s="85">
        <f t="shared" si="8"/>
        <v>2727.42</v>
      </c>
      <c r="AV8" s="85"/>
      <c r="AW8" s="85">
        <f t="shared" si="9"/>
        <v>9693.42</v>
      </c>
      <c r="AX8" s="89"/>
      <c r="AY8" s="90"/>
      <c r="AZ8" s="85">
        <v>255</v>
      </c>
      <c r="BA8" s="91">
        <f t="shared" si="10"/>
        <v>9948.42</v>
      </c>
      <c r="BB8" s="85">
        <f t="shared" si="11"/>
        <v>596.91</v>
      </c>
      <c r="BC8" s="85">
        <f t="shared" si="12"/>
        <v>10545.33</v>
      </c>
      <c r="BD8" s="92" t="s">
        <v>99</v>
      </c>
      <c r="BE8" s="60">
        <f t="shared" si="15"/>
        <v>9693.42</v>
      </c>
      <c r="BF8" s="92"/>
    </row>
    <row r="9" s="60" customFormat="1" ht="15" customHeight="1" spans="1:58">
      <c r="A9" s="78">
        <f t="shared" si="13"/>
        <v>7</v>
      </c>
      <c r="B9" s="79">
        <v>2411</v>
      </c>
      <c r="C9" s="79" t="s">
        <v>115</v>
      </c>
      <c r="D9" s="80" t="s">
        <v>116</v>
      </c>
      <c r="E9" s="81" t="s">
        <v>117</v>
      </c>
      <c r="F9" s="82">
        <v>45444</v>
      </c>
      <c r="G9" s="82">
        <v>45808</v>
      </c>
      <c r="H9" s="78"/>
      <c r="I9" s="83" t="s">
        <v>98</v>
      </c>
      <c r="J9" s="84">
        <v>800</v>
      </c>
      <c r="K9" s="84">
        <v>9538</v>
      </c>
      <c r="L9" s="84">
        <v>2445.6</v>
      </c>
      <c r="M9" s="84">
        <v>0</v>
      </c>
      <c r="N9" s="84">
        <v>0</v>
      </c>
      <c r="O9" s="84">
        <v>0</v>
      </c>
      <c r="P9" s="84">
        <v>0</v>
      </c>
      <c r="Q9" s="84">
        <v>630</v>
      </c>
      <c r="R9" s="84">
        <v>0</v>
      </c>
      <c r="S9" s="84">
        <v>0</v>
      </c>
      <c r="T9" s="84">
        <v>0</v>
      </c>
      <c r="U9" s="84">
        <v>0</v>
      </c>
      <c r="V9" s="84">
        <v>0</v>
      </c>
      <c r="W9" s="84">
        <v>0</v>
      </c>
      <c r="X9" s="84" t="str">
        <f t="shared" si="14"/>
        <v/>
      </c>
      <c r="Y9" s="84">
        <v>0</v>
      </c>
      <c r="Z9" s="85">
        <f t="shared" si="0"/>
        <v>13413.6</v>
      </c>
      <c r="AA9" s="86">
        <v>11386</v>
      </c>
      <c r="AB9" s="87">
        <v>910.88</v>
      </c>
      <c r="AC9" s="87">
        <v>227.72</v>
      </c>
      <c r="AD9" s="87">
        <v>56.93</v>
      </c>
      <c r="AE9" s="86">
        <v>11386</v>
      </c>
      <c r="AF9" s="86">
        <v>797</v>
      </c>
      <c r="AG9" s="85">
        <f t="shared" si="1"/>
        <v>1992.53</v>
      </c>
      <c r="AH9" s="88"/>
      <c r="AI9" s="88"/>
      <c r="AJ9" s="88"/>
      <c r="AK9" s="85">
        <f t="shared" si="2"/>
        <v>11421.07</v>
      </c>
      <c r="AL9" s="86">
        <v>11386</v>
      </c>
      <c r="AM9" s="86">
        <v>11386</v>
      </c>
      <c r="AN9" s="86">
        <f t="shared" si="3"/>
        <v>1821.76</v>
      </c>
      <c r="AO9" s="86">
        <f t="shared" si="16"/>
        <v>1024.74</v>
      </c>
      <c r="AP9" s="86">
        <f t="shared" si="4"/>
        <v>56.93</v>
      </c>
      <c r="AQ9" s="86">
        <f t="shared" si="5"/>
        <v>29.15</v>
      </c>
      <c r="AR9" s="86"/>
      <c r="AS9" s="86">
        <f t="shared" si="6"/>
        <v>797</v>
      </c>
      <c r="AT9" s="86">
        <f t="shared" si="7"/>
        <v>170.79</v>
      </c>
      <c r="AU9" s="85">
        <f t="shared" si="8"/>
        <v>3900.37</v>
      </c>
      <c r="AV9" s="85"/>
      <c r="AW9" s="85">
        <f t="shared" si="9"/>
        <v>17313.97</v>
      </c>
      <c r="AX9" s="89"/>
      <c r="AY9" s="90"/>
      <c r="AZ9" s="85">
        <v>255</v>
      </c>
      <c r="BA9" s="91">
        <f t="shared" si="10"/>
        <v>17568.97</v>
      </c>
      <c r="BB9" s="85">
        <f t="shared" si="11"/>
        <v>1054.14</v>
      </c>
      <c r="BC9" s="85">
        <f t="shared" si="12"/>
        <v>18623.11</v>
      </c>
      <c r="BD9" s="92" t="s">
        <v>99</v>
      </c>
      <c r="BE9" s="60">
        <f t="shared" si="15"/>
        <v>17313.97</v>
      </c>
      <c r="BF9" s="92"/>
    </row>
    <row r="10" s="60" customFormat="1" ht="15" customHeight="1" spans="1:58">
      <c r="A10" s="78">
        <f t="shared" si="13"/>
        <v>8</v>
      </c>
      <c r="B10" s="79">
        <v>2411</v>
      </c>
      <c r="C10" s="79" t="s">
        <v>118</v>
      </c>
      <c r="D10" s="80" t="s">
        <v>119</v>
      </c>
      <c r="E10" s="81" t="s">
        <v>120</v>
      </c>
      <c r="F10" s="82">
        <v>45444</v>
      </c>
      <c r="G10" s="82">
        <v>45808</v>
      </c>
      <c r="H10" s="78"/>
      <c r="I10" s="83" t="s">
        <v>98</v>
      </c>
      <c r="J10" s="84">
        <v>900</v>
      </c>
      <c r="K10" s="84">
        <v>4100</v>
      </c>
      <c r="L10" s="84">
        <v>1228.3</v>
      </c>
      <c r="M10" s="84">
        <v>0</v>
      </c>
      <c r="N10" s="84">
        <v>0</v>
      </c>
      <c r="O10" s="84">
        <v>0</v>
      </c>
      <c r="P10" s="84">
        <v>0</v>
      </c>
      <c r="Q10" s="84">
        <v>630</v>
      </c>
      <c r="R10" s="84">
        <v>0</v>
      </c>
      <c r="S10" s="84">
        <v>0</v>
      </c>
      <c r="T10" s="84">
        <v>0</v>
      </c>
      <c r="U10" s="84">
        <v>0</v>
      </c>
      <c r="V10" s="84">
        <v>0</v>
      </c>
      <c r="W10" s="84">
        <v>0</v>
      </c>
      <c r="X10" s="84" t="str">
        <f t="shared" si="14"/>
        <v/>
      </c>
      <c r="Y10" s="84">
        <v>-1195</v>
      </c>
      <c r="Z10" s="85">
        <f t="shared" si="0"/>
        <v>5663.3</v>
      </c>
      <c r="AA10" s="86">
        <v>7546</v>
      </c>
      <c r="AB10" s="87">
        <v>603.68</v>
      </c>
      <c r="AC10" s="87">
        <v>150.92</v>
      </c>
      <c r="AD10" s="87">
        <v>37.73</v>
      </c>
      <c r="AE10" s="86">
        <v>7546</v>
      </c>
      <c r="AF10" s="86">
        <v>528</v>
      </c>
      <c r="AG10" s="85">
        <f t="shared" si="1"/>
        <v>1320.33</v>
      </c>
      <c r="AH10" s="88"/>
      <c r="AI10" s="88"/>
      <c r="AJ10" s="88"/>
      <c r="AK10" s="85">
        <f t="shared" si="2"/>
        <v>4342.97</v>
      </c>
      <c r="AL10" s="86">
        <v>7546</v>
      </c>
      <c r="AM10" s="86">
        <v>7546</v>
      </c>
      <c r="AN10" s="86">
        <f t="shared" si="3"/>
        <v>1207.36</v>
      </c>
      <c r="AO10" s="86">
        <f t="shared" si="16"/>
        <v>679.14</v>
      </c>
      <c r="AP10" s="86">
        <f t="shared" si="4"/>
        <v>37.73</v>
      </c>
      <c r="AQ10" s="86">
        <f t="shared" si="5"/>
        <v>19.32</v>
      </c>
      <c r="AR10" s="86"/>
      <c r="AS10" s="86">
        <f t="shared" si="6"/>
        <v>528</v>
      </c>
      <c r="AT10" s="86">
        <f t="shared" si="7"/>
        <v>113.19</v>
      </c>
      <c r="AU10" s="85">
        <f t="shared" si="8"/>
        <v>2584.74</v>
      </c>
      <c r="AV10" s="85"/>
      <c r="AW10" s="85">
        <f t="shared" si="9"/>
        <v>8248.04</v>
      </c>
      <c r="AX10" s="89"/>
      <c r="AY10" s="93"/>
      <c r="AZ10" s="85">
        <v>255</v>
      </c>
      <c r="BA10" s="91">
        <f t="shared" si="10"/>
        <v>8503.04</v>
      </c>
      <c r="BB10" s="85">
        <f t="shared" si="11"/>
        <v>510.18</v>
      </c>
      <c r="BC10" s="85">
        <f t="shared" si="12"/>
        <v>9013.22</v>
      </c>
      <c r="BD10" s="92" t="s">
        <v>99</v>
      </c>
      <c r="BE10" s="60">
        <f t="shared" si="15"/>
        <v>8248.04</v>
      </c>
      <c r="BF10" s="92"/>
    </row>
    <row r="11" s="60" customFormat="1" ht="15" customHeight="1" spans="1:58">
      <c r="A11" s="78">
        <f t="shared" si="13"/>
        <v>9</v>
      </c>
      <c r="B11" s="79">
        <v>2411</v>
      </c>
      <c r="C11" s="79" t="s">
        <v>121</v>
      </c>
      <c r="D11" s="80" t="s">
        <v>122</v>
      </c>
      <c r="E11" s="81" t="s">
        <v>123</v>
      </c>
      <c r="F11" s="82">
        <v>45444</v>
      </c>
      <c r="G11" s="82">
        <v>45808</v>
      </c>
      <c r="H11" s="78"/>
      <c r="I11" s="83" t="s">
        <v>98</v>
      </c>
      <c r="J11" s="84">
        <v>900</v>
      </c>
      <c r="K11" s="84">
        <v>7051</v>
      </c>
      <c r="L11" s="84">
        <v>757.3</v>
      </c>
      <c r="M11" s="84">
        <v>0</v>
      </c>
      <c r="N11" s="84">
        <v>0</v>
      </c>
      <c r="O11" s="84">
        <v>0</v>
      </c>
      <c r="P11" s="84">
        <v>0</v>
      </c>
      <c r="Q11" s="84">
        <v>630</v>
      </c>
      <c r="R11" s="84">
        <v>0</v>
      </c>
      <c r="S11" s="84">
        <v>0</v>
      </c>
      <c r="T11" s="84">
        <v>0</v>
      </c>
      <c r="U11" s="84">
        <v>0</v>
      </c>
      <c r="V11" s="84">
        <v>1113</v>
      </c>
      <c r="W11" s="84">
        <v>0</v>
      </c>
      <c r="X11" s="84" t="str">
        <f t="shared" si="14"/>
        <v/>
      </c>
      <c r="Y11" s="84">
        <v>-1230</v>
      </c>
      <c r="Z11" s="85">
        <f t="shared" si="0"/>
        <v>9221.3</v>
      </c>
      <c r="AA11" s="86">
        <v>7594</v>
      </c>
      <c r="AB11" s="87">
        <v>607.52</v>
      </c>
      <c r="AC11" s="87">
        <v>151.88</v>
      </c>
      <c r="AD11" s="87">
        <v>37.97</v>
      </c>
      <c r="AE11" s="86">
        <v>7594</v>
      </c>
      <c r="AF11" s="86">
        <v>532</v>
      </c>
      <c r="AG11" s="85">
        <f t="shared" si="1"/>
        <v>1329.37</v>
      </c>
      <c r="AH11" s="88"/>
      <c r="AI11" s="88"/>
      <c r="AJ11" s="88"/>
      <c r="AK11" s="85">
        <f t="shared" si="2"/>
        <v>7891.93</v>
      </c>
      <c r="AL11" s="86">
        <v>7594</v>
      </c>
      <c r="AM11" s="86">
        <v>7594</v>
      </c>
      <c r="AN11" s="86">
        <f t="shared" si="3"/>
        <v>1215.04</v>
      </c>
      <c r="AO11" s="86">
        <f t="shared" si="16"/>
        <v>683.46</v>
      </c>
      <c r="AP11" s="86">
        <f t="shared" si="4"/>
        <v>37.97</v>
      </c>
      <c r="AQ11" s="86">
        <f t="shared" si="5"/>
        <v>19.44</v>
      </c>
      <c r="AR11" s="86"/>
      <c r="AS11" s="86">
        <f t="shared" si="6"/>
        <v>532</v>
      </c>
      <c r="AT11" s="86">
        <f t="shared" si="7"/>
        <v>113.91</v>
      </c>
      <c r="AU11" s="85">
        <f t="shared" si="8"/>
        <v>2601.82</v>
      </c>
      <c r="AV11" s="85"/>
      <c r="AW11" s="85">
        <f t="shared" si="9"/>
        <v>11823.12</v>
      </c>
      <c r="AX11" s="89"/>
      <c r="AY11" s="93"/>
      <c r="AZ11" s="85">
        <v>255</v>
      </c>
      <c r="BA11" s="91">
        <f t="shared" si="10"/>
        <v>12078.12</v>
      </c>
      <c r="BB11" s="85">
        <f t="shared" si="11"/>
        <v>724.69</v>
      </c>
      <c r="BC11" s="85">
        <f t="shared" si="12"/>
        <v>12802.81</v>
      </c>
      <c r="BD11" s="92" t="s">
        <v>99</v>
      </c>
      <c r="BE11" s="60">
        <f t="shared" si="15"/>
        <v>11823.12</v>
      </c>
      <c r="BF11" s="92"/>
    </row>
    <row r="12" s="60" customFormat="1" ht="15" customHeight="1" spans="1:58">
      <c r="A12" s="78">
        <f t="shared" si="13"/>
        <v>10</v>
      </c>
      <c r="B12" s="79">
        <v>2411</v>
      </c>
      <c r="C12" s="79" t="s">
        <v>124</v>
      </c>
      <c r="D12" s="80" t="s">
        <v>125</v>
      </c>
      <c r="E12" s="81" t="s">
        <v>126</v>
      </c>
      <c r="F12" s="82">
        <v>45444</v>
      </c>
      <c r="G12" s="82">
        <v>45808</v>
      </c>
      <c r="H12" s="78"/>
      <c r="I12" s="83" t="s">
        <v>98</v>
      </c>
      <c r="J12" s="84">
        <v>900</v>
      </c>
      <c r="K12" s="84">
        <v>12099</v>
      </c>
      <c r="L12" s="84">
        <v>2134.8</v>
      </c>
      <c r="M12" s="84">
        <v>0</v>
      </c>
      <c r="N12" s="84">
        <v>0</v>
      </c>
      <c r="O12" s="84">
        <v>0</v>
      </c>
      <c r="P12" s="84">
        <v>0</v>
      </c>
      <c r="Q12" s="84">
        <v>630</v>
      </c>
      <c r="R12" s="84">
        <v>0</v>
      </c>
      <c r="S12" s="84">
        <v>0</v>
      </c>
      <c r="T12" s="84">
        <v>0</v>
      </c>
      <c r="U12" s="84">
        <v>0</v>
      </c>
      <c r="V12" s="84">
        <v>0</v>
      </c>
      <c r="W12" s="84">
        <v>0</v>
      </c>
      <c r="X12" s="84" t="str">
        <f t="shared" si="14"/>
        <v/>
      </c>
      <c r="Y12" s="84">
        <v>0</v>
      </c>
      <c r="Z12" s="85">
        <f t="shared" si="0"/>
        <v>15763.8</v>
      </c>
      <c r="AA12" s="86">
        <v>11264</v>
      </c>
      <c r="AB12" s="87">
        <v>901.12</v>
      </c>
      <c r="AC12" s="87">
        <v>225.28</v>
      </c>
      <c r="AD12" s="87">
        <v>56.32</v>
      </c>
      <c r="AE12" s="86">
        <v>11264</v>
      </c>
      <c r="AF12" s="86">
        <v>788</v>
      </c>
      <c r="AG12" s="85">
        <f t="shared" si="1"/>
        <v>1970.72</v>
      </c>
      <c r="AH12" s="88"/>
      <c r="AI12" s="88"/>
      <c r="AJ12" s="88"/>
      <c r="AK12" s="85">
        <f t="shared" si="2"/>
        <v>13793.08</v>
      </c>
      <c r="AL12" s="86">
        <v>11264</v>
      </c>
      <c r="AM12" s="86">
        <v>11264</v>
      </c>
      <c r="AN12" s="86">
        <f t="shared" si="3"/>
        <v>1802.24</v>
      </c>
      <c r="AO12" s="86">
        <f t="shared" si="16"/>
        <v>1013.76</v>
      </c>
      <c r="AP12" s="86">
        <f t="shared" si="4"/>
        <v>56.32</v>
      </c>
      <c r="AQ12" s="86">
        <f t="shared" si="5"/>
        <v>28.84</v>
      </c>
      <c r="AR12" s="86"/>
      <c r="AS12" s="86">
        <f t="shared" si="6"/>
        <v>788</v>
      </c>
      <c r="AT12" s="86">
        <f t="shared" si="7"/>
        <v>168.96</v>
      </c>
      <c r="AU12" s="85">
        <f t="shared" si="8"/>
        <v>3858.12</v>
      </c>
      <c r="AV12" s="85"/>
      <c r="AW12" s="85">
        <f t="shared" si="9"/>
        <v>19621.92</v>
      </c>
      <c r="AX12" s="89"/>
      <c r="AY12" s="93"/>
      <c r="AZ12" s="85">
        <v>255</v>
      </c>
      <c r="BA12" s="91">
        <f t="shared" si="10"/>
        <v>19876.92</v>
      </c>
      <c r="BB12" s="85">
        <f t="shared" si="11"/>
        <v>1192.62</v>
      </c>
      <c r="BC12" s="85">
        <f t="shared" si="12"/>
        <v>21069.54</v>
      </c>
      <c r="BD12" s="92" t="s">
        <v>99</v>
      </c>
      <c r="BE12" s="60">
        <f t="shared" si="15"/>
        <v>19621.92</v>
      </c>
      <c r="BF12" s="92"/>
    </row>
    <row r="13" s="60" customFormat="1" ht="15" customHeight="1" spans="1:58">
      <c r="A13" s="78">
        <f t="shared" si="13"/>
        <v>11</v>
      </c>
      <c r="B13" s="79">
        <v>2411</v>
      </c>
      <c r="C13" s="79" t="s">
        <v>127</v>
      </c>
      <c r="D13" s="80" t="s">
        <v>128</v>
      </c>
      <c r="E13" s="81" t="s">
        <v>129</v>
      </c>
      <c r="F13" s="82">
        <v>45444</v>
      </c>
      <c r="G13" s="82">
        <v>45808</v>
      </c>
      <c r="H13" s="78"/>
      <c r="I13" s="83" t="s">
        <v>98</v>
      </c>
      <c r="J13" s="84">
        <v>900</v>
      </c>
      <c r="K13" s="84">
        <v>15168</v>
      </c>
      <c r="L13" s="84">
        <v>2422.8</v>
      </c>
      <c r="M13" s="84">
        <v>0</v>
      </c>
      <c r="N13" s="84">
        <v>0</v>
      </c>
      <c r="O13" s="84">
        <v>0</v>
      </c>
      <c r="P13" s="84">
        <v>0</v>
      </c>
      <c r="Q13" s="84">
        <v>630</v>
      </c>
      <c r="R13" s="84">
        <v>0</v>
      </c>
      <c r="S13" s="84">
        <v>0</v>
      </c>
      <c r="T13" s="84">
        <v>0</v>
      </c>
      <c r="U13" s="84">
        <v>0</v>
      </c>
      <c r="V13" s="84">
        <v>0</v>
      </c>
      <c r="W13" s="84">
        <v>0</v>
      </c>
      <c r="X13" s="84" t="str">
        <f t="shared" si="14"/>
        <v/>
      </c>
      <c r="Y13" s="84">
        <v>0</v>
      </c>
      <c r="Z13" s="85">
        <f t="shared" si="0"/>
        <v>19120.8</v>
      </c>
      <c r="AA13" s="86">
        <v>11463</v>
      </c>
      <c r="AB13" s="87">
        <v>917.04</v>
      </c>
      <c r="AC13" s="87">
        <v>229.26</v>
      </c>
      <c r="AD13" s="87">
        <v>57.32</v>
      </c>
      <c r="AE13" s="86">
        <v>11463</v>
      </c>
      <c r="AF13" s="86">
        <v>802</v>
      </c>
      <c r="AG13" s="85">
        <f t="shared" si="1"/>
        <v>2005.62</v>
      </c>
      <c r="AH13" s="88"/>
      <c r="AI13" s="88"/>
      <c r="AJ13" s="88"/>
      <c r="AK13" s="85">
        <f t="shared" si="2"/>
        <v>17115.18</v>
      </c>
      <c r="AL13" s="86">
        <v>11463</v>
      </c>
      <c r="AM13" s="86">
        <v>11463</v>
      </c>
      <c r="AN13" s="86">
        <f t="shared" si="3"/>
        <v>1834.08</v>
      </c>
      <c r="AO13" s="86">
        <v>1031.68</v>
      </c>
      <c r="AP13" s="86">
        <f t="shared" si="4"/>
        <v>57.32</v>
      </c>
      <c r="AQ13" s="86">
        <f t="shared" si="5"/>
        <v>29.35</v>
      </c>
      <c r="AR13" s="86"/>
      <c r="AS13" s="86">
        <f t="shared" si="6"/>
        <v>802</v>
      </c>
      <c r="AT13" s="86">
        <f t="shared" si="7"/>
        <v>171.95</v>
      </c>
      <c r="AU13" s="85">
        <f t="shared" si="8"/>
        <v>3926.38</v>
      </c>
      <c r="AV13" s="85"/>
      <c r="AW13" s="85">
        <f t="shared" si="9"/>
        <v>23047.18</v>
      </c>
      <c r="AX13" s="89"/>
      <c r="AY13" s="93"/>
      <c r="AZ13" s="85">
        <v>255</v>
      </c>
      <c r="BA13" s="91">
        <f t="shared" si="10"/>
        <v>23302.18</v>
      </c>
      <c r="BB13" s="85">
        <f t="shared" si="11"/>
        <v>1398.13</v>
      </c>
      <c r="BC13" s="85">
        <f t="shared" si="12"/>
        <v>24700.31</v>
      </c>
      <c r="BD13" s="92" t="s">
        <v>99</v>
      </c>
      <c r="BE13" s="60">
        <f t="shared" si="15"/>
        <v>23047.18</v>
      </c>
      <c r="BF13" s="92"/>
    </row>
    <row r="14" s="60" customFormat="1" ht="15" customHeight="1" spans="1:58">
      <c r="A14" s="78">
        <f t="shared" si="13"/>
        <v>12</v>
      </c>
      <c r="B14" s="79">
        <v>2411</v>
      </c>
      <c r="C14" s="79" t="s">
        <v>130</v>
      </c>
      <c r="D14" s="80" t="s">
        <v>131</v>
      </c>
      <c r="E14" s="81" t="s">
        <v>132</v>
      </c>
      <c r="F14" s="82">
        <v>45444</v>
      </c>
      <c r="G14" s="82">
        <v>45808</v>
      </c>
      <c r="H14" s="78"/>
      <c r="I14" s="83" t="s">
        <v>98</v>
      </c>
      <c r="J14" s="84">
        <v>900</v>
      </c>
      <c r="K14" s="84">
        <v>9339</v>
      </c>
      <c r="L14" s="84">
        <v>1183.6</v>
      </c>
      <c r="M14" s="84">
        <v>0</v>
      </c>
      <c r="N14" s="84">
        <v>0</v>
      </c>
      <c r="O14" s="84">
        <v>0</v>
      </c>
      <c r="P14" s="84">
        <v>0</v>
      </c>
      <c r="Q14" s="84">
        <v>630</v>
      </c>
      <c r="R14" s="84">
        <v>0</v>
      </c>
      <c r="S14" s="84">
        <v>0</v>
      </c>
      <c r="T14" s="84">
        <v>0</v>
      </c>
      <c r="U14" s="84">
        <v>-3786.6</v>
      </c>
      <c r="V14" s="84">
        <v>742</v>
      </c>
      <c r="W14" s="84">
        <v>0</v>
      </c>
      <c r="X14" s="84" t="str">
        <f t="shared" si="14"/>
        <v/>
      </c>
      <c r="Y14" s="84">
        <v>0</v>
      </c>
      <c r="Z14" s="85">
        <f t="shared" si="0"/>
        <v>9008</v>
      </c>
      <c r="AA14" s="86">
        <v>8179</v>
      </c>
      <c r="AB14" s="87">
        <v>654.32</v>
      </c>
      <c r="AC14" s="87">
        <v>163.58</v>
      </c>
      <c r="AD14" s="87">
        <v>40.9</v>
      </c>
      <c r="AE14" s="86">
        <v>8179</v>
      </c>
      <c r="AF14" s="86">
        <v>573</v>
      </c>
      <c r="AG14" s="85">
        <f t="shared" si="1"/>
        <v>1431.8</v>
      </c>
      <c r="AH14" s="88"/>
      <c r="AI14" s="88"/>
      <c r="AJ14" s="88"/>
      <c r="AK14" s="85">
        <f t="shared" si="2"/>
        <v>7576.2</v>
      </c>
      <c r="AL14" s="86">
        <v>8179</v>
      </c>
      <c r="AM14" s="86">
        <v>8179</v>
      </c>
      <c r="AN14" s="86">
        <f t="shared" si="3"/>
        <v>1308.64</v>
      </c>
      <c r="AO14" s="86">
        <v>736.12</v>
      </c>
      <c r="AP14" s="86">
        <f t="shared" si="4"/>
        <v>40.9</v>
      </c>
      <c r="AQ14" s="86">
        <f t="shared" si="5"/>
        <v>20.94</v>
      </c>
      <c r="AR14" s="86"/>
      <c r="AS14" s="86">
        <f t="shared" si="6"/>
        <v>573</v>
      </c>
      <c r="AT14" s="86">
        <f t="shared" si="7"/>
        <v>122.69</v>
      </c>
      <c r="AU14" s="85">
        <f t="shared" si="8"/>
        <v>2802.29</v>
      </c>
      <c r="AV14" s="85"/>
      <c r="AW14" s="85">
        <f t="shared" si="9"/>
        <v>11810.29</v>
      </c>
      <c r="AX14" s="89"/>
      <c r="AY14" s="93"/>
      <c r="AZ14" s="85">
        <v>255</v>
      </c>
      <c r="BA14" s="91">
        <f t="shared" si="10"/>
        <v>12065.29</v>
      </c>
      <c r="BB14" s="85">
        <f t="shared" si="11"/>
        <v>723.92</v>
      </c>
      <c r="BC14" s="85">
        <f t="shared" si="12"/>
        <v>12789.21</v>
      </c>
      <c r="BD14" s="92" t="s">
        <v>99</v>
      </c>
      <c r="BE14" s="60">
        <f t="shared" si="15"/>
        <v>11810.29</v>
      </c>
      <c r="BF14" s="92"/>
    </row>
    <row r="15" s="60" customFormat="1" ht="15" customHeight="1" spans="1:58">
      <c r="A15" s="78">
        <f t="shared" si="13"/>
        <v>13</v>
      </c>
      <c r="B15" s="79">
        <v>2411</v>
      </c>
      <c r="C15" s="79" t="s">
        <v>133</v>
      </c>
      <c r="D15" s="80" t="s">
        <v>134</v>
      </c>
      <c r="E15" s="81" t="s">
        <v>135</v>
      </c>
      <c r="F15" s="82">
        <v>45444</v>
      </c>
      <c r="G15" s="82">
        <v>45808</v>
      </c>
      <c r="H15" s="78"/>
      <c r="I15" s="83" t="s">
        <v>98</v>
      </c>
      <c r="J15" s="84">
        <v>800</v>
      </c>
      <c r="K15" s="84">
        <v>3990</v>
      </c>
      <c r="L15" s="84">
        <v>1022.4</v>
      </c>
      <c r="M15" s="84">
        <v>0</v>
      </c>
      <c r="N15" s="84">
        <v>0</v>
      </c>
      <c r="O15" s="84">
        <v>0</v>
      </c>
      <c r="P15" s="84">
        <v>0</v>
      </c>
      <c r="Q15" s="84">
        <v>630</v>
      </c>
      <c r="R15" s="84">
        <v>0</v>
      </c>
      <c r="S15" s="84">
        <v>0</v>
      </c>
      <c r="T15" s="84">
        <v>0</v>
      </c>
      <c r="U15" s="84">
        <v>2858.8</v>
      </c>
      <c r="V15" s="84">
        <v>0</v>
      </c>
      <c r="W15" s="84">
        <v>0</v>
      </c>
      <c r="X15" s="84" t="str">
        <f t="shared" si="14"/>
        <v/>
      </c>
      <c r="Y15" s="84">
        <v>-792</v>
      </c>
      <c r="Z15" s="85">
        <f t="shared" si="0"/>
        <v>8509.2</v>
      </c>
      <c r="AA15" s="86">
        <v>7384</v>
      </c>
      <c r="AB15" s="87">
        <v>590.72</v>
      </c>
      <c r="AC15" s="87">
        <v>147.68</v>
      </c>
      <c r="AD15" s="87">
        <v>36.92</v>
      </c>
      <c r="AE15" s="86">
        <v>4848</v>
      </c>
      <c r="AF15" s="86">
        <v>339</v>
      </c>
      <c r="AG15" s="85">
        <f t="shared" si="1"/>
        <v>1114.32</v>
      </c>
      <c r="AH15" s="88"/>
      <c r="AI15" s="88"/>
      <c r="AJ15" s="88"/>
      <c r="AK15" s="85">
        <f t="shared" si="2"/>
        <v>7394.88</v>
      </c>
      <c r="AL15" s="86">
        <v>7384</v>
      </c>
      <c r="AM15" s="86">
        <v>4848</v>
      </c>
      <c r="AN15" s="86">
        <f t="shared" si="3"/>
        <v>1181.44</v>
      </c>
      <c r="AO15" s="86">
        <f t="shared" si="16"/>
        <v>664.56</v>
      </c>
      <c r="AP15" s="86">
        <f t="shared" si="4"/>
        <v>36.92</v>
      </c>
      <c r="AQ15" s="86">
        <f t="shared" si="5"/>
        <v>18.9</v>
      </c>
      <c r="AR15" s="86"/>
      <c r="AS15" s="86">
        <f t="shared" si="6"/>
        <v>339</v>
      </c>
      <c r="AT15" s="86">
        <f t="shared" si="7"/>
        <v>110.76</v>
      </c>
      <c r="AU15" s="85">
        <f t="shared" si="8"/>
        <v>2351.58</v>
      </c>
      <c r="AV15" s="85"/>
      <c r="AW15" s="85">
        <f t="shared" si="9"/>
        <v>10860.78</v>
      </c>
      <c r="AX15" s="94"/>
      <c r="AY15" s="95"/>
      <c r="AZ15" s="85">
        <v>255</v>
      </c>
      <c r="BA15" s="91">
        <f t="shared" si="10"/>
        <v>11115.78</v>
      </c>
      <c r="BB15" s="85">
        <f t="shared" si="11"/>
        <v>666.95</v>
      </c>
      <c r="BC15" s="85">
        <f t="shared" si="12"/>
        <v>11782.73</v>
      </c>
      <c r="BD15" s="92" t="s">
        <v>99</v>
      </c>
      <c r="BE15" s="60">
        <f t="shared" si="15"/>
        <v>10860.78</v>
      </c>
      <c r="BF15" s="92"/>
    </row>
    <row r="16" s="60" customFormat="1" ht="15" customHeight="1" spans="1:58">
      <c r="A16" s="78">
        <f t="shared" si="13"/>
        <v>14</v>
      </c>
      <c r="B16" s="79">
        <v>2411</v>
      </c>
      <c r="C16" s="79" t="s">
        <v>136</v>
      </c>
      <c r="D16" s="80" t="s">
        <v>137</v>
      </c>
      <c r="E16" s="81" t="s">
        <v>138</v>
      </c>
      <c r="F16" s="82">
        <v>45444</v>
      </c>
      <c r="G16" s="82">
        <v>45808</v>
      </c>
      <c r="H16" s="78"/>
      <c r="I16" s="83" t="s">
        <v>98</v>
      </c>
      <c r="J16" s="84">
        <v>900</v>
      </c>
      <c r="K16" s="84">
        <v>10419</v>
      </c>
      <c r="L16" s="84">
        <v>3256.1</v>
      </c>
      <c r="M16" s="84">
        <v>0</v>
      </c>
      <c r="N16" s="84">
        <v>0</v>
      </c>
      <c r="O16" s="84">
        <v>0</v>
      </c>
      <c r="P16" s="84">
        <v>0</v>
      </c>
      <c r="Q16" s="84">
        <v>630</v>
      </c>
      <c r="R16" s="84">
        <v>0</v>
      </c>
      <c r="S16" s="84">
        <v>0</v>
      </c>
      <c r="T16" s="84">
        <v>0</v>
      </c>
      <c r="U16" s="84">
        <v>927.8</v>
      </c>
      <c r="V16" s="84">
        <v>0</v>
      </c>
      <c r="W16" s="84">
        <v>0</v>
      </c>
      <c r="X16" s="84" t="str">
        <f t="shared" si="14"/>
        <v/>
      </c>
      <c r="Y16" s="84">
        <v>0</v>
      </c>
      <c r="Z16" s="85">
        <f t="shared" si="0"/>
        <v>16132.9</v>
      </c>
      <c r="AA16" s="86">
        <v>7384</v>
      </c>
      <c r="AB16" s="87">
        <v>590.72</v>
      </c>
      <c r="AC16" s="87">
        <v>147.68</v>
      </c>
      <c r="AD16" s="87">
        <v>36.92</v>
      </c>
      <c r="AE16" s="86">
        <v>6573</v>
      </c>
      <c r="AF16" s="86">
        <v>460</v>
      </c>
      <c r="AG16" s="85">
        <f t="shared" si="1"/>
        <v>1235.32</v>
      </c>
      <c r="AH16" s="88"/>
      <c r="AI16" s="88"/>
      <c r="AJ16" s="88"/>
      <c r="AK16" s="85">
        <f t="shared" si="2"/>
        <v>14897.58</v>
      </c>
      <c r="AL16" s="86">
        <v>7384</v>
      </c>
      <c r="AM16" s="86">
        <v>6573</v>
      </c>
      <c r="AN16" s="86">
        <f t="shared" si="3"/>
        <v>1181.44</v>
      </c>
      <c r="AO16" s="86">
        <f t="shared" si="16"/>
        <v>664.56</v>
      </c>
      <c r="AP16" s="86">
        <f t="shared" si="4"/>
        <v>36.92</v>
      </c>
      <c r="AQ16" s="86">
        <f t="shared" si="5"/>
        <v>18.9</v>
      </c>
      <c r="AR16" s="86"/>
      <c r="AS16" s="86">
        <f t="shared" si="6"/>
        <v>460</v>
      </c>
      <c r="AT16" s="86">
        <f t="shared" si="7"/>
        <v>110.76</v>
      </c>
      <c r="AU16" s="85">
        <f t="shared" si="8"/>
        <v>2472.58</v>
      </c>
      <c r="AV16" s="85"/>
      <c r="AW16" s="85">
        <f t="shared" si="9"/>
        <v>18605.48</v>
      </c>
      <c r="AX16" s="94"/>
      <c r="AY16" s="95"/>
      <c r="AZ16" s="85">
        <v>255</v>
      </c>
      <c r="BA16" s="91">
        <f t="shared" si="10"/>
        <v>18860.48</v>
      </c>
      <c r="BB16" s="85">
        <f t="shared" si="11"/>
        <v>1131.63</v>
      </c>
      <c r="BC16" s="85">
        <f t="shared" si="12"/>
        <v>19992.11</v>
      </c>
      <c r="BD16" s="92" t="s">
        <v>99</v>
      </c>
      <c r="BE16" s="60">
        <f t="shared" si="15"/>
        <v>18605.48</v>
      </c>
      <c r="BF16" s="92"/>
    </row>
    <row r="17" s="60" customFormat="1" ht="15" customHeight="1" spans="1:58">
      <c r="A17" s="78">
        <f t="shared" si="13"/>
        <v>15</v>
      </c>
      <c r="B17" s="79">
        <v>2411</v>
      </c>
      <c r="C17" s="79" t="s">
        <v>139</v>
      </c>
      <c r="D17" s="78" t="s">
        <v>140</v>
      </c>
      <c r="E17" s="81" t="s">
        <v>141</v>
      </c>
      <c r="F17" s="82">
        <v>45413</v>
      </c>
      <c r="G17" s="82">
        <v>45777</v>
      </c>
      <c r="H17" s="78"/>
      <c r="I17" s="83" t="s">
        <v>98</v>
      </c>
      <c r="J17" s="84">
        <v>800</v>
      </c>
      <c r="K17" s="84">
        <v>5340</v>
      </c>
      <c r="L17" s="84">
        <v>3114.4</v>
      </c>
      <c r="M17" s="84">
        <v>0</v>
      </c>
      <c r="N17" s="84">
        <v>0</v>
      </c>
      <c r="O17" s="84">
        <v>0</v>
      </c>
      <c r="P17" s="84">
        <v>0</v>
      </c>
      <c r="Q17" s="84">
        <v>630</v>
      </c>
      <c r="R17" s="84">
        <v>0</v>
      </c>
      <c r="S17" s="84">
        <v>0</v>
      </c>
      <c r="T17" s="84">
        <v>0</v>
      </c>
      <c r="U17" s="84">
        <v>0</v>
      </c>
      <c r="V17" s="84">
        <v>0</v>
      </c>
      <c r="W17" s="84">
        <v>0</v>
      </c>
      <c r="X17" s="84" t="str">
        <f t="shared" si="14"/>
        <v/>
      </c>
      <c r="Y17" s="84">
        <v>0</v>
      </c>
      <c r="Z17" s="85">
        <f t="shared" si="0"/>
        <v>9884.4</v>
      </c>
      <c r="AA17" s="86">
        <v>9889</v>
      </c>
      <c r="AB17" s="87">
        <v>791.12</v>
      </c>
      <c r="AC17" s="87">
        <v>197.78</v>
      </c>
      <c r="AD17" s="87">
        <v>49.45</v>
      </c>
      <c r="AE17" s="86">
        <v>9889</v>
      </c>
      <c r="AF17" s="86">
        <v>692</v>
      </c>
      <c r="AG17" s="85">
        <f t="shared" ref="AG17" si="17">AB17+AC17+AD17+AF17</f>
        <v>1730.35</v>
      </c>
      <c r="AH17" s="88"/>
      <c r="AI17" s="88"/>
      <c r="AJ17" s="88"/>
      <c r="AK17" s="85">
        <f t="shared" si="2"/>
        <v>8154.05</v>
      </c>
      <c r="AL17" s="86">
        <v>9889</v>
      </c>
      <c r="AM17" s="86">
        <v>9889</v>
      </c>
      <c r="AN17" s="86">
        <f t="shared" ref="AN17" si="18">ROUND(AL17*16%,2)</f>
        <v>1582.24</v>
      </c>
      <c r="AO17" s="86">
        <v>890.02</v>
      </c>
      <c r="AP17" s="86">
        <f t="shared" si="4"/>
        <v>49.45</v>
      </c>
      <c r="AQ17" s="86">
        <f t="shared" si="5"/>
        <v>25.32</v>
      </c>
      <c r="AR17" s="86"/>
      <c r="AS17" s="86">
        <f t="shared" si="6"/>
        <v>692</v>
      </c>
      <c r="AT17" s="86">
        <f t="shared" si="7"/>
        <v>148.34</v>
      </c>
      <c r="AU17" s="85">
        <f t="shared" si="8"/>
        <v>3387.37</v>
      </c>
      <c r="AV17" s="85"/>
      <c r="AW17" s="85">
        <f t="shared" si="9"/>
        <v>13271.77</v>
      </c>
      <c r="AX17" s="89"/>
      <c r="AY17" s="95"/>
      <c r="AZ17" s="85">
        <v>255</v>
      </c>
      <c r="BA17" s="91">
        <f t="shared" si="10"/>
        <v>13526.77</v>
      </c>
      <c r="BB17" s="85">
        <f t="shared" si="11"/>
        <v>811.61</v>
      </c>
      <c r="BC17" s="85">
        <f t="shared" si="12"/>
        <v>14338.38</v>
      </c>
      <c r="BE17" s="60">
        <f t="shared" si="15"/>
        <v>13271.77</v>
      </c>
      <c r="BF17" s="92"/>
    </row>
    <row r="18" s="60" customFormat="1" ht="15" customHeight="1" spans="1:58">
      <c r="A18" s="78">
        <f t="shared" si="13"/>
        <v>16</v>
      </c>
      <c r="B18" s="79">
        <v>2411</v>
      </c>
      <c r="C18" s="79" t="s">
        <v>142</v>
      </c>
      <c r="D18" s="78" t="s">
        <v>143</v>
      </c>
      <c r="E18" s="81" t="s">
        <v>144</v>
      </c>
      <c r="F18" s="82">
        <v>45413</v>
      </c>
      <c r="G18" s="82">
        <v>45777</v>
      </c>
      <c r="H18" s="78"/>
      <c r="I18" s="83" t="s">
        <v>98</v>
      </c>
      <c r="J18" s="84">
        <v>1030</v>
      </c>
      <c r="K18" s="84">
        <v>8858</v>
      </c>
      <c r="L18" s="84">
        <v>2468.1</v>
      </c>
      <c r="M18" s="84">
        <v>0</v>
      </c>
      <c r="N18" s="84">
        <v>0</v>
      </c>
      <c r="O18" s="84">
        <v>0</v>
      </c>
      <c r="P18" s="84">
        <v>0</v>
      </c>
      <c r="Q18" s="84">
        <v>630</v>
      </c>
      <c r="R18" s="84">
        <v>0</v>
      </c>
      <c r="S18" s="84">
        <v>0</v>
      </c>
      <c r="T18" s="84">
        <v>0</v>
      </c>
      <c r="U18" s="84">
        <v>0</v>
      </c>
      <c r="V18" s="84">
        <v>0</v>
      </c>
      <c r="W18" s="84">
        <v>0</v>
      </c>
      <c r="X18" s="84" t="str">
        <f t="shared" si="14"/>
        <v/>
      </c>
      <c r="Y18" s="84">
        <v>-600</v>
      </c>
      <c r="Z18" s="85">
        <f t="shared" si="0"/>
        <v>12386.1</v>
      </c>
      <c r="AA18" s="86">
        <v>7788</v>
      </c>
      <c r="AB18" s="87">
        <v>623.04</v>
      </c>
      <c r="AC18" s="87">
        <v>155.76</v>
      </c>
      <c r="AD18" s="87">
        <v>38.94</v>
      </c>
      <c r="AE18" s="86">
        <v>7788</v>
      </c>
      <c r="AF18" s="86">
        <v>545</v>
      </c>
      <c r="AG18" s="85">
        <f t="shared" ref="AG18:AG37" si="19">AB18+AC18+AD18+AF18</f>
        <v>1362.74</v>
      </c>
      <c r="AH18" s="88"/>
      <c r="AI18" s="88"/>
      <c r="AJ18" s="88"/>
      <c r="AK18" s="85">
        <f t="shared" si="2"/>
        <v>11023.36</v>
      </c>
      <c r="AL18" s="86">
        <v>7788</v>
      </c>
      <c r="AM18" s="86">
        <v>7788</v>
      </c>
      <c r="AN18" s="86">
        <f t="shared" ref="AN18:AN19" si="20">ROUND(AL18*16%,2)</f>
        <v>1246.08</v>
      </c>
      <c r="AO18" s="86">
        <f t="shared" si="16"/>
        <v>700.92</v>
      </c>
      <c r="AP18" s="86">
        <f t="shared" si="4"/>
        <v>38.94</v>
      </c>
      <c r="AQ18" s="86">
        <f t="shared" si="5"/>
        <v>19.94</v>
      </c>
      <c r="AR18" s="86"/>
      <c r="AS18" s="86">
        <f t="shared" si="6"/>
        <v>545</v>
      </c>
      <c r="AT18" s="86">
        <f t="shared" si="7"/>
        <v>116.82</v>
      </c>
      <c r="AU18" s="85">
        <f t="shared" si="8"/>
        <v>2667.7</v>
      </c>
      <c r="AV18" s="85"/>
      <c r="AW18" s="85">
        <f t="shared" si="9"/>
        <v>15053.8</v>
      </c>
      <c r="AX18" s="89"/>
      <c r="AY18" s="95"/>
      <c r="AZ18" s="85">
        <v>255</v>
      </c>
      <c r="BA18" s="91">
        <f t="shared" si="10"/>
        <v>15308.8</v>
      </c>
      <c r="BB18" s="85">
        <f t="shared" si="11"/>
        <v>918.53</v>
      </c>
      <c r="BC18" s="85">
        <f t="shared" si="12"/>
        <v>16227.33</v>
      </c>
      <c r="BE18" s="60">
        <f t="shared" si="15"/>
        <v>15053.8</v>
      </c>
      <c r="BF18" s="92"/>
    </row>
    <row r="19" s="60" customFormat="1" ht="15" customHeight="1" spans="1:58">
      <c r="A19" s="78">
        <f t="shared" si="13"/>
        <v>17</v>
      </c>
      <c r="B19" s="79">
        <v>2411</v>
      </c>
      <c r="C19" s="79" t="s">
        <v>145</v>
      </c>
      <c r="D19" s="78" t="s">
        <v>146</v>
      </c>
      <c r="E19" s="81" t="s">
        <v>147</v>
      </c>
      <c r="F19" s="82">
        <v>45427</v>
      </c>
      <c r="G19" s="82">
        <v>46521</v>
      </c>
      <c r="H19" s="78"/>
      <c r="I19" s="83" t="s">
        <v>98</v>
      </c>
      <c r="J19" s="84">
        <v>800</v>
      </c>
      <c r="K19" s="84">
        <v>16992</v>
      </c>
      <c r="L19" s="84">
        <v>6233.15</v>
      </c>
      <c r="M19" s="84">
        <v>0</v>
      </c>
      <c r="N19" s="84">
        <v>0</v>
      </c>
      <c r="O19" s="84">
        <v>0</v>
      </c>
      <c r="P19" s="84">
        <v>0</v>
      </c>
      <c r="Q19" s="84">
        <v>630</v>
      </c>
      <c r="R19" s="84">
        <v>0</v>
      </c>
      <c r="S19" s="84">
        <v>0</v>
      </c>
      <c r="T19" s="84">
        <v>0</v>
      </c>
      <c r="U19" s="84">
        <v>0</v>
      </c>
      <c r="V19" s="84">
        <v>0</v>
      </c>
      <c r="W19" s="84">
        <v>0</v>
      </c>
      <c r="X19" s="84" t="str">
        <f t="shared" si="14"/>
        <v/>
      </c>
      <c r="Y19" s="84">
        <v>0</v>
      </c>
      <c r="Z19" s="85">
        <f t="shared" si="0"/>
        <v>24655.15</v>
      </c>
      <c r="AA19" s="86">
        <v>7384</v>
      </c>
      <c r="AB19" s="87">
        <v>590.72</v>
      </c>
      <c r="AC19" s="87">
        <v>147.68</v>
      </c>
      <c r="AD19" s="87">
        <v>36.92</v>
      </c>
      <c r="AE19" s="96">
        <v>2690</v>
      </c>
      <c r="AF19" s="86">
        <v>188</v>
      </c>
      <c r="AG19" s="85">
        <f t="shared" si="19"/>
        <v>963.32</v>
      </c>
      <c r="AH19" s="88"/>
      <c r="AI19" s="88"/>
      <c r="AJ19" s="88"/>
      <c r="AK19" s="85">
        <f t="shared" si="2"/>
        <v>23691.83</v>
      </c>
      <c r="AL19" s="86">
        <v>7384</v>
      </c>
      <c r="AM19" s="86">
        <v>2690</v>
      </c>
      <c r="AN19" s="86">
        <f t="shared" si="20"/>
        <v>1181.44</v>
      </c>
      <c r="AO19" s="86">
        <f t="shared" si="16"/>
        <v>664.56</v>
      </c>
      <c r="AP19" s="86">
        <f t="shared" si="4"/>
        <v>36.92</v>
      </c>
      <c r="AQ19" s="86">
        <f t="shared" si="5"/>
        <v>18.9</v>
      </c>
      <c r="AR19" s="86"/>
      <c r="AS19" s="86">
        <f t="shared" si="6"/>
        <v>188</v>
      </c>
      <c r="AT19" s="86">
        <f t="shared" si="7"/>
        <v>110.76</v>
      </c>
      <c r="AU19" s="85">
        <f t="shared" si="8"/>
        <v>2200.58</v>
      </c>
      <c r="AV19" s="85"/>
      <c r="AW19" s="85">
        <f t="shared" si="9"/>
        <v>26855.73</v>
      </c>
      <c r="AX19" s="94"/>
      <c r="AY19" s="97"/>
      <c r="AZ19" s="85">
        <v>255</v>
      </c>
      <c r="BA19" s="91">
        <f t="shared" si="10"/>
        <v>27110.73</v>
      </c>
      <c r="BB19" s="85">
        <f t="shared" si="11"/>
        <v>1626.64</v>
      </c>
      <c r="BC19" s="85">
        <f t="shared" si="12"/>
        <v>28737.37</v>
      </c>
      <c r="BE19" s="60">
        <f t="shared" si="15"/>
        <v>26855.73</v>
      </c>
      <c r="BF19" s="92"/>
    </row>
    <row r="20" s="60" customFormat="1" ht="15" customHeight="1" spans="1:58">
      <c r="A20" s="78">
        <f t="shared" si="13"/>
        <v>18</v>
      </c>
      <c r="B20" s="79">
        <v>2411</v>
      </c>
      <c r="C20" s="79" t="s">
        <v>148</v>
      </c>
      <c r="D20" s="78" t="s">
        <v>149</v>
      </c>
      <c r="E20" s="81" t="s">
        <v>150</v>
      </c>
      <c r="F20" s="82">
        <v>45444</v>
      </c>
      <c r="G20" s="82">
        <v>45808</v>
      </c>
      <c r="H20" s="78"/>
      <c r="I20" s="83" t="s">
        <v>98</v>
      </c>
      <c r="J20" s="84">
        <v>1200</v>
      </c>
      <c r="K20" s="84">
        <v>4895.1</v>
      </c>
      <c r="L20" s="84">
        <v>3628.2</v>
      </c>
      <c r="M20" s="84">
        <v>0</v>
      </c>
      <c r="N20" s="84">
        <v>0</v>
      </c>
      <c r="O20" s="84">
        <v>0</v>
      </c>
      <c r="P20" s="84">
        <v>0</v>
      </c>
      <c r="Q20" s="84">
        <v>630</v>
      </c>
      <c r="R20" s="84">
        <v>0</v>
      </c>
      <c r="S20" s="84">
        <v>0</v>
      </c>
      <c r="T20" s="84">
        <v>0</v>
      </c>
      <c r="U20" s="84">
        <v>0</v>
      </c>
      <c r="V20" s="84">
        <v>742</v>
      </c>
      <c r="W20" s="84">
        <v>0</v>
      </c>
      <c r="X20" s="84" t="str">
        <f t="shared" si="14"/>
        <v/>
      </c>
      <c r="Y20" s="84">
        <v>-500</v>
      </c>
      <c r="Z20" s="85">
        <f t="shared" si="0"/>
        <v>10595.3</v>
      </c>
      <c r="AA20" s="86">
        <v>7661</v>
      </c>
      <c r="AB20" s="87">
        <v>612.88</v>
      </c>
      <c r="AC20" s="87">
        <v>153.22</v>
      </c>
      <c r="AD20" s="87">
        <v>38.31</v>
      </c>
      <c r="AE20" s="86">
        <v>7661</v>
      </c>
      <c r="AF20" s="86">
        <v>536</v>
      </c>
      <c r="AG20" s="85">
        <f t="shared" si="19"/>
        <v>1340.41</v>
      </c>
      <c r="AH20" s="88"/>
      <c r="AI20" s="88"/>
      <c r="AJ20" s="88"/>
      <c r="AK20" s="85">
        <f t="shared" si="2"/>
        <v>9254.89</v>
      </c>
      <c r="AL20" s="86">
        <v>7661</v>
      </c>
      <c r="AM20" s="86">
        <v>7661</v>
      </c>
      <c r="AN20" s="86">
        <f t="shared" ref="AN20:AN37" si="21">ROUND(AL20*16%,2)</f>
        <v>1225.76</v>
      </c>
      <c r="AO20" s="86">
        <v>689.5</v>
      </c>
      <c r="AP20" s="86">
        <f t="shared" si="4"/>
        <v>38.31</v>
      </c>
      <c r="AQ20" s="86">
        <f t="shared" si="5"/>
        <v>19.61</v>
      </c>
      <c r="AR20" s="86"/>
      <c r="AS20" s="86">
        <f t="shared" si="6"/>
        <v>536</v>
      </c>
      <c r="AT20" s="86">
        <f t="shared" si="7"/>
        <v>114.92</v>
      </c>
      <c r="AU20" s="85">
        <f t="shared" si="8"/>
        <v>2624.1</v>
      </c>
      <c r="AV20" s="85"/>
      <c r="AW20" s="85">
        <f t="shared" si="9"/>
        <v>13219.4</v>
      </c>
      <c r="AX20" s="89"/>
      <c r="AY20" s="95"/>
      <c r="AZ20" s="85">
        <v>255</v>
      </c>
      <c r="BA20" s="91">
        <f t="shared" si="10"/>
        <v>13474.4</v>
      </c>
      <c r="BB20" s="85">
        <f t="shared" si="11"/>
        <v>808.46</v>
      </c>
      <c r="BC20" s="85">
        <f t="shared" si="12"/>
        <v>14282.86</v>
      </c>
      <c r="BE20" s="60">
        <f t="shared" si="15"/>
        <v>13219.4</v>
      </c>
      <c r="BF20" s="92"/>
    </row>
    <row r="21" s="60" customFormat="1" ht="15" customHeight="1" spans="1:58">
      <c r="A21" s="78">
        <f t="shared" si="13"/>
        <v>19</v>
      </c>
      <c r="B21" s="79">
        <v>2411</v>
      </c>
      <c r="C21" s="79" t="s">
        <v>151</v>
      </c>
      <c r="D21" s="78" t="s">
        <v>152</v>
      </c>
      <c r="E21" s="81" t="s">
        <v>153</v>
      </c>
      <c r="F21" s="82">
        <v>45444</v>
      </c>
      <c r="G21" s="82">
        <v>45808</v>
      </c>
      <c r="H21" s="78"/>
      <c r="I21" s="83" t="s">
        <v>98</v>
      </c>
      <c r="J21" s="84">
        <v>1300</v>
      </c>
      <c r="K21" s="84">
        <v>11453.4</v>
      </c>
      <c r="L21" s="84">
        <v>7271.11</v>
      </c>
      <c r="M21" s="84">
        <v>0</v>
      </c>
      <c r="N21" s="84">
        <v>0</v>
      </c>
      <c r="O21" s="84">
        <v>0</v>
      </c>
      <c r="P21" s="84">
        <v>0</v>
      </c>
      <c r="Q21" s="84">
        <v>630</v>
      </c>
      <c r="R21" s="84">
        <v>0</v>
      </c>
      <c r="S21" s="84">
        <v>0</v>
      </c>
      <c r="T21" s="84">
        <v>0</v>
      </c>
      <c r="U21" s="84">
        <v>0</v>
      </c>
      <c r="V21" s="84">
        <v>1113</v>
      </c>
      <c r="W21" s="84">
        <v>0</v>
      </c>
      <c r="X21" s="84" t="str">
        <f t="shared" si="14"/>
        <v/>
      </c>
      <c r="Y21" s="84">
        <v>-800</v>
      </c>
      <c r="Z21" s="85">
        <f t="shared" si="0"/>
        <v>20967.51</v>
      </c>
      <c r="AA21" s="86">
        <v>17497</v>
      </c>
      <c r="AB21" s="87">
        <v>1399.76</v>
      </c>
      <c r="AC21" s="87">
        <v>349.94</v>
      </c>
      <c r="AD21" s="87">
        <v>87.49</v>
      </c>
      <c r="AE21" s="86">
        <v>17497</v>
      </c>
      <c r="AF21" s="86">
        <v>1225</v>
      </c>
      <c r="AG21" s="85">
        <f t="shared" si="19"/>
        <v>3062.19</v>
      </c>
      <c r="AH21" s="88"/>
      <c r="AI21" s="88"/>
      <c r="AJ21" s="88"/>
      <c r="AK21" s="85">
        <f t="shared" si="2"/>
        <v>17905.32</v>
      </c>
      <c r="AL21" s="86">
        <v>17497</v>
      </c>
      <c r="AM21" s="86">
        <v>17497</v>
      </c>
      <c r="AN21" s="86">
        <f t="shared" si="21"/>
        <v>2799.52</v>
      </c>
      <c r="AO21" s="86">
        <v>1574.74</v>
      </c>
      <c r="AP21" s="86">
        <f t="shared" si="4"/>
        <v>87.49</v>
      </c>
      <c r="AQ21" s="86">
        <f t="shared" si="5"/>
        <v>44.79</v>
      </c>
      <c r="AR21" s="86"/>
      <c r="AS21" s="86">
        <f t="shared" si="6"/>
        <v>1225</v>
      </c>
      <c r="AT21" s="86">
        <f t="shared" si="7"/>
        <v>262.46</v>
      </c>
      <c r="AU21" s="85">
        <f t="shared" si="8"/>
        <v>5994</v>
      </c>
      <c r="AV21" s="85"/>
      <c r="AW21" s="85">
        <f t="shared" si="9"/>
        <v>26961.51</v>
      </c>
      <c r="AX21" s="89"/>
      <c r="AY21" s="95"/>
      <c r="AZ21" s="85">
        <v>255</v>
      </c>
      <c r="BA21" s="91">
        <f t="shared" si="10"/>
        <v>27216.51</v>
      </c>
      <c r="BB21" s="85">
        <f t="shared" si="11"/>
        <v>1632.99</v>
      </c>
      <c r="BC21" s="85">
        <f t="shared" si="12"/>
        <v>28849.5</v>
      </c>
      <c r="BE21" s="60">
        <f t="shared" si="15"/>
        <v>26961.51</v>
      </c>
      <c r="BF21" s="92"/>
    </row>
    <row r="22" s="60" customFormat="1" ht="15" customHeight="1" spans="1:58">
      <c r="A22" s="78">
        <f t="shared" si="13"/>
        <v>20</v>
      </c>
      <c r="B22" s="79">
        <v>2411</v>
      </c>
      <c r="C22" s="79" t="s">
        <v>154</v>
      </c>
      <c r="D22" s="78" t="s">
        <v>155</v>
      </c>
      <c r="E22" s="81" t="s">
        <v>156</v>
      </c>
      <c r="F22" s="82">
        <v>45444</v>
      </c>
      <c r="G22" s="82">
        <v>45808</v>
      </c>
      <c r="H22" s="78"/>
      <c r="I22" s="83" t="s">
        <v>98</v>
      </c>
      <c r="J22" s="84">
        <v>1030</v>
      </c>
      <c r="K22" s="84">
        <v>3976.8</v>
      </c>
      <c r="L22" s="84">
        <v>3157.45</v>
      </c>
      <c r="M22" s="84">
        <v>0</v>
      </c>
      <c r="N22" s="84">
        <v>0</v>
      </c>
      <c r="O22" s="84">
        <v>0</v>
      </c>
      <c r="P22" s="84">
        <v>0</v>
      </c>
      <c r="Q22" s="84">
        <v>630</v>
      </c>
      <c r="R22" s="84">
        <v>0</v>
      </c>
      <c r="S22" s="84">
        <v>0</v>
      </c>
      <c r="T22" s="84">
        <v>0</v>
      </c>
      <c r="U22" s="84">
        <v>0</v>
      </c>
      <c r="V22" s="84">
        <v>371</v>
      </c>
      <c r="W22" s="84">
        <v>0</v>
      </c>
      <c r="X22" s="84" t="str">
        <f t="shared" si="14"/>
        <v/>
      </c>
      <c r="Y22" s="84">
        <v>0</v>
      </c>
      <c r="Z22" s="85">
        <f t="shared" si="0"/>
        <v>9165.25</v>
      </c>
      <c r="AA22" s="86">
        <v>10038</v>
      </c>
      <c r="AB22" s="87">
        <v>803.04</v>
      </c>
      <c r="AC22" s="87">
        <v>200.76</v>
      </c>
      <c r="AD22" s="87">
        <v>50.19</v>
      </c>
      <c r="AE22" s="86">
        <v>10038</v>
      </c>
      <c r="AF22" s="86">
        <v>703</v>
      </c>
      <c r="AG22" s="85">
        <f t="shared" si="19"/>
        <v>1756.99</v>
      </c>
      <c r="AH22" s="88"/>
      <c r="AI22" s="88"/>
      <c r="AJ22" s="88"/>
      <c r="AK22" s="85">
        <f t="shared" si="2"/>
        <v>7408.26</v>
      </c>
      <c r="AL22" s="86">
        <v>10038</v>
      </c>
      <c r="AM22" s="86">
        <v>10038</v>
      </c>
      <c r="AN22" s="86">
        <f t="shared" si="21"/>
        <v>1606.08</v>
      </c>
      <c r="AO22" s="86">
        <f t="shared" si="16"/>
        <v>903.42</v>
      </c>
      <c r="AP22" s="86">
        <f t="shared" si="4"/>
        <v>50.19</v>
      </c>
      <c r="AQ22" s="86">
        <f t="shared" si="5"/>
        <v>25.7</v>
      </c>
      <c r="AR22" s="86"/>
      <c r="AS22" s="86">
        <f t="shared" si="6"/>
        <v>703</v>
      </c>
      <c r="AT22" s="86">
        <f t="shared" si="7"/>
        <v>150.57</v>
      </c>
      <c r="AU22" s="85">
        <f t="shared" si="8"/>
        <v>3438.96</v>
      </c>
      <c r="AV22" s="85"/>
      <c r="AW22" s="85">
        <f t="shared" si="9"/>
        <v>12604.21</v>
      </c>
      <c r="AX22" s="89"/>
      <c r="AY22" s="95"/>
      <c r="AZ22" s="85">
        <v>255</v>
      </c>
      <c r="BA22" s="91">
        <f t="shared" si="10"/>
        <v>12859.21</v>
      </c>
      <c r="BB22" s="85">
        <f t="shared" si="11"/>
        <v>771.55</v>
      </c>
      <c r="BC22" s="85">
        <f t="shared" si="12"/>
        <v>13630.76</v>
      </c>
      <c r="BE22" s="60">
        <f t="shared" si="15"/>
        <v>12604.21</v>
      </c>
      <c r="BF22" s="92"/>
    </row>
    <row r="23" s="60" customFormat="1" ht="15" customHeight="1" spans="1:58">
      <c r="A23" s="78">
        <f t="shared" si="13"/>
        <v>21</v>
      </c>
      <c r="B23" s="79">
        <v>2411</v>
      </c>
      <c r="C23" s="79" t="s">
        <v>157</v>
      </c>
      <c r="D23" s="98" t="s">
        <v>158</v>
      </c>
      <c r="E23" s="81" t="s">
        <v>159</v>
      </c>
      <c r="F23" s="82">
        <v>45444</v>
      </c>
      <c r="G23" s="82">
        <v>45808</v>
      </c>
      <c r="H23" s="78"/>
      <c r="I23" s="83" t="s">
        <v>98</v>
      </c>
      <c r="J23" s="84">
        <v>900</v>
      </c>
      <c r="K23" s="84">
        <v>3530.8</v>
      </c>
      <c r="L23" s="84">
        <v>4100.05</v>
      </c>
      <c r="M23" s="84">
        <v>0</v>
      </c>
      <c r="N23" s="84">
        <v>0</v>
      </c>
      <c r="O23" s="84">
        <v>0</v>
      </c>
      <c r="P23" s="84">
        <v>0</v>
      </c>
      <c r="Q23" s="84">
        <v>630</v>
      </c>
      <c r="R23" s="84">
        <v>0</v>
      </c>
      <c r="S23" s="84">
        <v>0</v>
      </c>
      <c r="T23" s="84">
        <v>0</v>
      </c>
      <c r="U23" s="84">
        <v>0</v>
      </c>
      <c r="V23" s="84">
        <v>371</v>
      </c>
      <c r="W23" s="84">
        <v>0</v>
      </c>
      <c r="X23" s="84" t="str">
        <f t="shared" si="14"/>
        <v/>
      </c>
      <c r="Y23" s="84">
        <v>-452.5</v>
      </c>
      <c r="Z23" s="85">
        <f t="shared" si="0"/>
        <v>9079.35</v>
      </c>
      <c r="AA23" s="86">
        <v>7384</v>
      </c>
      <c r="AB23" s="87">
        <v>590.72</v>
      </c>
      <c r="AC23" s="87">
        <v>147.68</v>
      </c>
      <c r="AD23" s="87">
        <v>36.92</v>
      </c>
      <c r="AE23" s="86">
        <v>7375</v>
      </c>
      <c r="AF23" s="86">
        <v>516</v>
      </c>
      <c r="AG23" s="85">
        <f t="shared" si="19"/>
        <v>1291.32</v>
      </c>
      <c r="AH23" s="88"/>
      <c r="AI23" s="88"/>
      <c r="AJ23" s="88"/>
      <c r="AK23" s="85">
        <f t="shared" si="2"/>
        <v>7788.03</v>
      </c>
      <c r="AL23" s="86">
        <v>7384</v>
      </c>
      <c r="AM23" s="86">
        <v>7375</v>
      </c>
      <c r="AN23" s="86">
        <f t="shared" si="21"/>
        <v>1181.44</v>
      </c>
      <c r="AO23" s="86">
        <v>664.56</v>
      </c>
      <c r="AP23" s="86">
        <f t="shared" si="4"/>
        <v>36.92</v>
      </c>
      <c r="AQ23" s="86">
        <f t="shared" si="5"/>
        <v>18.9</v>
      </c>
      <c r="AR23" s="86"/>
      <c r="AS23" s="86">
        <f t="shared" si="6"/>
        <v>516</v>
      </c>
      <c r="AT23" s="86">
        <f t="shared" si="7"/>
        <v>110.76</v>
      </c>
      <c r="AU23" s="85">
        <f t="shared" si="8"/>
        <v>2528.58</v>
      </c>
      <c r="AV23" s="85"/>
      <c r="AW23" s="85">
        <f t="shared" si="9"/>
        <v>11607.93</v>
      </c>
      <c r="AX23" s="94"/>
      <c r="AY23" s="99"/>
      <c r="AZ23" s="85">
        <v>255</v>
      </c>
      <c r="BA23" s="91">
        <f t="shared" si="10"/>
        <v>11862.93</v>
      </c>
      <c r="BB23" s="85">
        <f t="shared" si="11"/>
        <v>711.78</v>
      </c>
      <c r="BC23" s="85">
        <f t="shared" si="12"/>
        <v>12574.71</v>
      </c>
      <c r="BE23" s="60">
        <f t="shared" si="15"/>
        <v>11607.93</v>
      </c>
      <c r="BF23" s="92"/>
    </row>
    <row r="24" s="60" customFormat="1" ht="15" customHeight="1" spans="1:58">
      <c r="A24" s="78">
        <f t="shared" si="13"/>
        <v>22</v>
      </c>
      <c r="B24" s="79">
        <v>2411</v>
      </c>
      <c r="C24" s="79" t="s">
        <v>160</v>
      </c>
      <c r="D24" s="78" t="s">
        <v>161</v>
      </c>
      <c r="E24" s="81" t="s">
        <v>162</v>
      </c>
      <c r="F24" s="82">
        <v>45444</v>
      </c>
      <c r="G24" s="82">
        <v>45808</v>
      </c>
      <c r="H24" s="78"/>
      <c r="I24" s="83" t="s">
        <v>98</v>
      </c>
      <c r="J24" s="84">
        <v>970</v>
      </c>
      <c r="K24" s="84">
        <v>15080</v>
      </c>
      <c r="L24" s="84">
        <v>4879.85</v>
      </c>
      <c r="M24" s="84">
        <v>0</v>
      </c>
      <c r="N24" s="84">
        <v>0</v>
      </c>
      <c r="O24" s="84">
        <v>0</v>
      </c>
      <c r="P24" s="84">
        <v>0</v>
      </c>
      <c r="Q24" s="84">
        <v>630</v>
      </c>
      <c r="R24" s="84">
        <v>0</v>
      </c>
      <c r="S24" s="84">
        <v>0</v>
      </c>
      <c r="T24" s="84">
        <v>0</v>
      </c>
      <c r="U24" s="84">
        <v>0</v>
      </c>
      <c r="V24" s="84">
        <v>742</v>
      </c>
      <c r="W24" s="84">
        <v>0</v>
      </c>
      <c r="X24" s="84" t="str">
        <f t="shared" si="14"/>
        <v/>
      </c>
      <c r="Y24" s="84">
        <v>-1000</v>
      </c>
      <c r="Z24" s="85">
        <f t="shared" si="0"/>
        <v>21301.85</v>
      </c>
      <c r="AA24" s="86">
        <v>12999</v>
      </c>
      <c r="AB24" s="87">
        <v>1039.92</v>
      </c>
      <c r="AC24" s="87">
        <v>259.98</v>
      </c>
      <c r="AD24" s="87">
        <v>65</v>
      </c>
      <c r="AE24" s="86">
        <v>12999</v>
      </c>
      <c r="AF24" s="86">
        <v>910</v>
      </c>
      <c r="AG24" s="85">
        <f t="shared" si="19"/>
        <v>2274.9</v>
      </c>
      <c r="AH24" s="88"/>
      <c r="AI24" s="88"/>
      <c r="AJ24" s="88"/>
      <c r="AK24" s="85">
        <f t="shared" si="2"/>
        <v>19026.95</v>
      </c>
      <c r="AL24" s="86">
        <v>12999</v>
      </c>
      <c r="AM24" s="86">
        <v>12999</v>
      </c>
      <c r="AN24" s="86">
        <f t="shared" si="21"/>
        <v>2079.84</v>
      </c>
      <c r="AO24" s="86">
        <v>1169.92</v>
      </c>
      <c r="AP24" s="86">
        <f t="shared" si="4"/>
        <v>65</v>
      </c>
      <c r="AQ24" s="86">
        <f t="shared" si="5"/>
        <v>33.28</v>
      </c>
      <c r="AR24" s="86"/>
      <c r="AS24" s="86">
        <f t="shared" si="6"/>
        <v>910</v>
      </c>
      <c r="AT24" s="86">
        <f t="shared" si="7"/>
        <v>194.99</v>
      </c>
      <c r="AU24" s="85">
        <f t="shared" si="8"/>
        <v>4453.03</v>
      </c>
      <c r="AV24" s="85"/>
      <c r="AW24" s="85">
        <f t="shared" si="9"/>
        <v>25754.88</v>
      </c>
      <c r="AX24" s="89"/>
      <c r="AY24" s="100"/>
      <c r="AZ24" s="85">
        <v>255</v>
      </c>
      <c r="BA24" s="91">
        <f t="shared" si="10"/>
        <v>26009.88</v>
      </c>
      <c r="BB24" s="85">
        <f t="shared" si="11"/>
        <v>1560.59</v>
      </c>
      <c r="BC24" s="85">
        <f t="shared" si="12"/>
        <v>27570.47</v>
      </c>
      <c r="BE24" s="60">
        <f t="shared" si="15"/>
        <v>25754.88</v>
      </c>
      <c r="BF24" s="92"/>
    </row>
    <row r="25" s="60" customFormat="1" ht="15" customHeight="1" spans="1:58">
      <c r="A25" s="78">
        <f t="shared" si="13"/>
        <v>23</v>
      </c>
      <c r="B25" s="79">
        <v>2411</v>
      </c>
      <c r="C25" s="79" t="s">
        <v>163</v>
      </c>
      <c r="D25" s="78" t="s">
        <v>164</v>
      </c>
      <c r="E25" s="81" t="s">
        <v>165</v>
      </c>
      <c r="F25" s="82">
        <v>45444</v>
      </c>
      <c r="G25" s="82">
        <v>45808</v>
      </c>
      <c r="H25" s="78"/>
      <c r="I25" s="83" t="s">
        <v>98</v>
      </c>
      <c r="J25" s="84">
        <v>800</v>
      </c>
      <c r="K25" s="84">
        <v>2975.8</v>
      </c>
      <c r="L25" s="84">
        <v>1412.4</v>
      </c>
      <c r="M25" s="84">
        <v>0</v>
      </c>
      <c r="N25" s="84">
        <v>0</v>
      </c>
      <c r="O25" s="84">
        <v>0</v>
      </c>
      <c r="P25" s="84">
        <v>0</v>
      </c>
      <c r="Q25" s="84">
        <v>630</v>
      </c>
      <c r="R25" s="84">
        <v>0</v>
      </c>
      <c r="S25" s="84">
        <v>0</v>
      </c>
      <c r="T25" s="84">
        <v>0</v>
      </c>
      <c r="U25" s="84">
        <v>0</v>
      </c>
      <c r="V25" s="84">
        <v>0</v>
      </c>
      <c r="W25" s="84">
        <v>0</v>
      </c>
      <c r="X25" s="84" t="str">
        <f t="shared" si="14"/>
        <v/>
      </c>
      <c r="Y25" s="84">
        <v>-730</v>
      </c>
      <c r="Z25" s="85">
        <f t="shared" si="0"/>
        <v>5088.2</v>
      </c>
      <c r="AA25" s="86">
        <v>7384</v>
      </c>
      <c r="AB25" s="87">
        <v>590.72</v>
      </c>
      <c r="AC25" s="87">
        <v>147.68</v>
      </c>
      <c r="AD25" s="87">
        <v>36.92</v>
      </c>
      <c r="AE25" s="86">
        <v>3607</v>
      </c>
      <c r="AF25" s="86">
        <v>252</v>
      </c>
      <c r="AG25" s="85">
        <f t="shared" si="19"/>
        <v>1027.32</v>
      </c>
      <c r="AH25" s="88"/>
      <c r="AI25" s="88"/>
      <c r="AJ25" s="88"/>
      <c r="AK25" s="85">
        <f t="shared" si="2"/>
        <v>4060.88</v>
      </c>
      <c r="AL25" s="86">
        <v>7384</v>
      </c>
      <c r="AM25" s="86">
        <v>3607</v>
      </c>
      <c r="AN25" s="86">
        <f t="shared" si="21"/>
        <v>1181.44</v>
      </c>
      <c r="AO25" s="86">
        <f t="shared" si="16"/>
        <v>664.56</v>
      </c>
      <c r="AP25" s="86">
        <f t="shared" si="4"/>
        <v>36.92</v>
      </c>
      <c r="AQ25" s="86">
        <f t="shared" si="5"/>
        <v>18.9</v>
      </c>
      <c r="AR25" s="86"/>
      <c r="AS25" s="86">
        <f t="shared" si="6"/>
        <v>252</v>
      </c>
      <c r="AT25" s="86">
        <f t="shared" si="7"/>
        <v>110.76</v>
      </c>
      <c r="AU25" s="85">
        <f t="shared" si="8"/>
        <v>2264.58</v>
      </c>
      <c r="AV25" s="85"/>
      <c r="AW25" s="85">
        <f t="shared" si="9"/>
        <v>7352.78</v>
      </c>
      <c r="AX25" s="94"/>
      <c r="AY25" s="99"/>
      <c r="AZ25" s="85">
        <v>255</v>
      </c>
      <c r="BA25" s="91">
        <f t="shared" si="10"/>
        <v>7607.78</v>
      </c>
      <c r="BB25" s="85">
        <f t="shared" si="11"/>
        <v>456.47</v>
      </c>
      <c r="BC25" s="85">
        <f t="shared" si="12"/>
        <v>8064.25</v>
      </c>
      <c r="BE25" s="60">
        <f t="shared" si="15"/>
        <v>7352.78</v>
      </c>
      <c r="BF25" s="92"/>
    </row>
    <row r="26" s="60" customFormat="1" ht="15" customHeight="1" spans="1:58">
      <c r="A26" s="78">
        <f t="shared" si="13"/>
        <v>24</v>
      </c>
      <c r="B26" s="79">
        <v>2411</v>
      </c>
      <c r="C26" s="79" t="s">
        <v>166</v>
      </c>
      <c r="D26" s="78" t="s">
        <v>167</v>
      </c>
      <c r="E26" s="81" t="s">
        <v>168</v>
      </c>
      <c r="F26" s="82">
        <v>45444</v>
      </c>
      <c r="G26" s="82">
        <v>45808</v>
      </c>
      <c r="H26" s="78"/>
      <c r="I26" s="83" t="s">
        <v>98</v>
      </c>
      <c r="J26" s="84">
        <v>1030</v>
      </c>
      <c r="K26" s="84">
        <v>1704</v>
      </c>
      <c r="L26" s="84">
        <v>2110</v>
      </c>
      <c r="M26" s="84">
        <v>0</v>
      </c>
      <c r="N26" s="84">
        <v>0</v>
      </c>
      <c r="O26" s="84">
        <v>0</v>
      </c>
      <c r="P26" s="84">
        <v>0</v>
      </c>
      <c r="Q26" s="84">
        <v>630</v>
      </c>
      <c r="R26" s="84">
        <v>0</v>
      </c>
      <c r="S26" s="84">
        <v>0</v>
      </c>
      <c r="T26" s="84">
        <v>0</v>
      </c>
      <c r="U26" s="84">
        <v>0</v>
      </c>
      <c r="V26" s="84">
        <v>742</v>
      </c>
      <c r="W26" s="84">
        <v>0</v>
      </c>
      <c r="X26" s="101">
        <f t="shared" si="14"/>
        <v>855.32</v>
      </c>
      <c r="Y26" s="84">
        <v>-1800</v>
      </c>
      <c r="Z26" s="85">
        <f t="shared" si="0"/>
        <v>5271.32</v>
      </c>
      <c r="AA26" s="86">
        <v>7384</v>
      </c>
      <c r="AB26" s="87">
        <v>590.72</v>
      </c>
      <c r="AC26" s="87">
        <v>147.68</v>
      </c>
      <c r="AD26" s="87">
        <v>36.92</v>
      </c>
      <c r="AE26" s="86">
        <v>6207</v>
      </c>
      <c r="AF26" s="86">
        <v>434</v>
      </c>
      <c r="AG26" s="85">
        <f t="shared" si="19"/>
        <v>1209.32</v>
      </c>
      <c r="AH26" s="88"/>
      <c r="AI26" s="88"/>
      <c r="AJ26" s="88"/>
      <c r="AK26" s="85">
        <f t="shared" si="2"/>
        <v>4062</v>
      </c>
      <c r="AL26" s="86">
        <v>7384</v>
      </c>
      <c r="AM26" s="86">
        <v>6207</v>
      </c>
      <c r="AN26" s="86">
        <f t="shared" si="21"/>
        <v>1181.44</v>
      </c>
      <c r="AO26" s="86">
        <f t="shared" si="16"/>
        <v>664.56</v>
      </c>
      <c r="AP26" s="86">
        <f t="shared" si="4"/>
        <v>36.92</v>
      </c>
      <c r="AQ26" s="86">
        <f t="shared" si="5"/>
        <v>18.9</v>
      </c>
      <c r="AR26" s="86"/>
      <c r="AS26" s="86">
        <f t="shared" si="6"/>
        <v>434</v>
      </c>
      <c r="AT26" s="86">
        <f t="shared" si="7"/>
        <v>110.76</v>
      </c>
      <c r="AU26" s="85">
        <f t="shared" si="8"/>
        <v>2446.58</v>
      </c>
      <c r="AV26" s="85"/>
      <c r="AW26" s="85">
        <f t="shared" si="9"/>
        <v>7717.9</v>
      </c>
      <c r="AX26" s="94">
        <f>-X26</f>
        <v>-855.32</v>
      </c>
      <c r="AY26" s="95" t="s">
        <v>169</v>
      </c>
      <c r="AZ26" s="85">
        <v>255</v>
      </c>
      <c r="BA26" s="91">
        <f t="shared" si="10"/>
        <v>7117.58</v>
      </c>
      <c r="BB26" s="85">
        <f t="shared" si="11"/>
        <v>427.05</v>
      </c>
      <c r="BC26" s="85">
        <f t="shared" si="12"/>
        <v>7544.63</v>
      </c>
      <c r="BE26" s="60">
        <f t="shared" si="15"/>
        <v>7717.9</v>
      </c>
      <c r="BF26" s="92"/>
    </row>
    <row r="27" s="60" customFormat="1" ht="15" customHeight="1" spans="1:58">
      <c r="A27" s="78">
        <f t="shared" si="13"/>
        <v>25</v>
      </c>
      <c r="B27" s="79">
        <v>2411</v>
      </c>
      <c r="C27" s="79" t="s">
        <v>170</v>
      </c>
      <c r="D27" s="78" t="s">
        <v>171</v>
      </c>
      <c r="E27" s="81" t="s">
        <v>172</v>
      </c>
      <c r="F27" s="82">
        <v>45444</v>
      </c>
      <c r="G27" s="82">
        <v>45808</v>
      </c>
      <c r="H27" s="78"/>
      <c r="I27" s="83" t="s">
        <v>98</v>
      </c>
      <c r="J27" s="84">
        <v>950</v>
      </c>
      <c r="K27" s="84">
        <v>1860</v>
      </c>
      <c r="L27" s="84">
        <v>1552.4</v>
      </c>
      <c r="M27" s="84">
        <v>0</v>
      </c>
      <c r="N27" s="84">
        <v>0</v>
      </c>
      <c r="O27" s="84">
        <v>0</v>
      </c>
      <c r="P27" s="84">
        <v>0</v>
      </c>
      <c r="Q27" s="84">
        <v>630</v>
      </c>
      <c r="R27" s="84">
        <v>0</v>
      </c>
      <c r="S27" s="84">
        <v>0</v>
      </c>
      <c r="T27" s="84">
        <v>0</v>
      </c>
      <c r="U27" s="84">
        <v>0</v>
      </c>
      <c r="V27" s="84">
        <v>742</v>
      </c>
      <c r="W27" s="84">
        <v>0</v>
      </c>
      <c r="X27" s="101">
        <f t="shared" si="14"/>
        <v>352.920000000001</v>
      </c>
      <c r="Y27" s="84">
        <v>-900</v>
      </c>
      <c r="Z27" s="85">
        <f t="shared" si="0"/>
        <v>5187.32</v>
      </c>
      <c r="AA27" s="86">
        <v>7384</v>
      </c>
      <c r="AB27" s="87">
        <v>590.72</v>
      </c>
      <c r="AC27" s="87">
        <v>147.68</v>
      </c>
      <c r="AD27" s="87">
        <v>36.92</v>
      </c>
      <c r="AE27" s="86">
        <v>4997</v>
      </c>
      <c r="AF27" s="86">
        <v>350</v>
      </c>
      <c r="AG27" s="85">
        <f t="shared" si="19"/>
        <v>1125.32</v>
      </c>
      <c r="AH27" s="88"/>
      <c r="AI27" s="88"/>
      <c r="AJ27" s="88"/>
      <c r="AK27" s="85">
        <f t="shared" si="2"/>
        <v>4062</v>
      </c>
      <c r="AL27" s="86">
        <v>7384</v>
      </c>
      <c r="AM27" s="86">
        <v>4997</v>
      </c>
      <c r="AN27" s="86">
        <f t="shared" si="21"/>
        <v>1181.44</v>
      </c>
      <c r="AO27" s="86">
        <f t="shared" si="16"/>
        <v>664.56</v>
      </c>
      <c r="AP27" s="86">
        <f t="shared" si="4"/>
        <v>36.92</v>
      </c>
      <c r="AQ27" s="86">
        <f t="shared" si="5"/>
        <v>18.9</v>
      </c>
      <c r="AR27" s="86"/>
      <c r="AS27" s="86">
        <f t="shared" si="6"/>
        <v>350</v>
      </c>
      <c r="AT27" s="86">
        <f t="shared" si="7"/>
        <v>110.76</v>
      </c>
      <c r="AU27" s="85">
        <f t="shared" si="8"/>
        <v>2362.58</v>
      </c>
      <c r="AV27" s="85"/>
      <c r="AW27" s="85">
        <f t="shared" si="9"/>
        <v>7549.9</v>
      </c>
      <c r="AX27" s="94">
        <f>591.62-X27</f>
        <v>238.699999999999</v>
      </c>
      <c r="AY27" s="99" t="s">
        <v>173</v>
      </c>
      <c r="AZ27" s="85">
        <v>255</v>
      </c>
      <c r="BA27" s="91">
        <f t="shared" si="10"/>
        <v>8043.6</v>
      </c>
      <c r="BB27" s="85">
        <f t="shared" si="11"/>
        <v>482.62</v>
      </c>
      <c r="BC27" s="85">
        <f t="shared" si="12"/>
        <v>8526.22</v>
      </c>
      <c r="BE27" s="60">
        <f t="shared" si="15"/>
        <v>7549.9</v>
      </c>
      <c r="BF27" s="92"/>
    </row>
    <row r="28" s="60" customFormat="1" ht="15" customHeight="1" spans="1:58">
      <c r="A28" s="78">
        <f t="shared" si="13"/>
        <v>26</v>
      </c>
      <c r="B28" s="79">
        <v>2411</v>
      </c>
      <c r="C28" s="79" t="s">
        <v>174</v>
      </c>
      <c r="D28" s="78" t="s">
        <v>175</v>
      </c>
      <c r="E28" s="81" t="s">
        <v>176</v>
      </c>
      <c r="F28" s="82">
        <v>45444</v>
      </c>
      <c r="G28" s="82">
        <v>45808</v>
      </c>
      <c r="H28" s="78"/>
      <c r="I28" s="83" t="s">
        <v>98</v>
      </c>
      <c r="J28" s="84">
        <v>1030</v>
      </c>
      <c r="K28" s="84">
        <v>1794</v>
      </c>
      <c r="L28" s="84">
        <v>2460.7</v>
      </c>
      <c r="M28" s="84">
        <v>0</v>
      </c>
      <c r="N28" s="84">
        <v>0</v>
      </c>
      <c r="O28" s="84">
        <v>0</v>
      </c>
      <c r="P28" s="84">
        <v>0</v>
      </c>
      <c r="Q28" s="84">
        <v>630</v>
      </c>
      <c r="R28" s="84">
        <v>0</v>
      </c>
      <c r="S28" s="84">
        <v>0</v>
      </c>
      <c r="T28" s="84">
        <v>0</v>
      </c>
      <c r="U28" s="84">
        <v>0</v>
      </c>
      <c r="V28" s="84">
        <v>742</v>
      </c>
      <c r="W28" s="84">
        <v>0</v>
      </c>
      <c r="X28" s="101">
        <f t="shared" si="14"/>
        <v>1399.78</v>
      </c>
      <c r="Y28" s="84">
        <v>-2000</v>
      </c>
      <c r="Z28" s="85">
        <f t="shared" si="0"/>
        <v>6056.48</v>
      </c>
      <c r="AA28" s="86">
        <v>11395</v>
      </c>
      <c r="AB28" s="87">
        <v>911.6</v>
      </c>
      <c r="AC28" s="87">
        <v>227.9</v>
      </c>
      <c r="AD28" s="87">
        <v>56.98</v>
      </c>
      <c r="AE28" s="86">
        <v>11395</v>
      </c>
      <c r="AF28" s="86">
        <v>798</v>
      </c>
      <c r="AG28" s="85">
        <f t="shared" si="19"/>
        <v>1994.48</v>
      </c>
      <c r="AH28" s="88"/>
      <c r="AI28" s="88"/>
      <c r="AJ28" s="88"/>
      <c r="AK28" s="85">
        <f t="shared" si="2"/>
        <v>4062</v>
      </c>
      <c r="AL28" s="86">
        <v>11395</v>
      </c>
      <c r="AM28" s="86">
        <v>11395</v>
      </c>
      <c r="AN28" s="86">
        <f t="shared" si="21"/>
        <v>1823.2</v>
      </c>
      <c r="AO28" s="86">
        <v>1025.56</v>
      </c>
      <c r="AP28" s="86">
        <f t="shared" si="4"/>
        <v>56.98</v>
      </c>
      <c r="AQ28" s="86">
        <f t="shared" si="5"/>
        <v>29.17</v>
      </c>
      <c r="AR28" s="86"/>
      <c r="AS28" s="86">
        <f t="shared" si="6"/>
        <v>798</v>
      </c>
      <c r="AT28" s="86">
        <f t="shared" si="7"/>
        <v>170.93</v>
      </c>
      <c r="AU28" s="85">
        <f t="shared" si="8"/>
        <v>3903.84</v>
      </c>
      <c r="AV28" s="85"/>
      <c r="AW28" s="85">
        <f t="shared" si="9"/>
        <v>9960.32</v>
      </c>
      <c r="AX28" s="89">
        <f>-X28</f>
        <v>-1399.78</v>
      </c>
      <c r="AY28" s="95" t="s">
        <v>169</v>
      </c>
      <c r="AZ28" s="85">
        <v>255</v>
      </c>
      <c r="BA28" s="91">
        <f t="shared" si="10"/>
        <v>8815.54</v>
      </c>
      <c r="BB28" s="85">
        <f t="shared" si="11"/>
        <v>528.93</v>
      </c>
      <c r="BC28" s="85">
        <f t="shared" si="12"/>
        <v>9344.47</v>
      </c>
      <c r="BE28" s="60">
        <f t="shared" si="15"/>
        <v>9960.32</v>
      </c>
      <c r="BF28" s="92"/>
    </row>
    <row r="29" s="60" customFormat="1" ht="15" customHeight="1" spans="1:58">
      <c r="A29" s="78">
        <f t="shared" si="13"/>
        <v>27</v>
      </c>
      <c r="B29" s="79">
        <v>2411</v>
      </c>
      <c r="C29" s="79" t="s">
        <v>177</v>
      </c>
      <c r="D29" s="78" t="s">
        <v>178</v>
      </c>
      <c r="E29" s="81" t="s">
        <v>179</v>
      </c>
      <c r="F29" s="82">
        <v>45444</v>
      </c>
      <c r="G29" s="82">
        <v>45808</v>
      </c>
      <c r="H29" s="78"/>
      <c r="I29" s="83" t="s">
        <v>98</v>
      </c>
      <c r="J29" s="84">
        <v>1400</v>
      </c>
      <c r="K29" s="84">
        <v>19520</v>
      </c>
      <c r="L29" s="84">
        <v>963.1</v>
      </c>
      <c r="M29" s="84">
        <v>0</v>
      </c>
      <c r="N29" s="84">
        <v>0</v>
      </c>
      <c r="O29" s="84">
        <v>0</v>
      </c>
      <c r="P29" s="84">
        <v>0</v>
      </c>
      <c r="Q29" s="84">
        <v>630</v>
      </c>
      <c r="R29" s="84">
        <v>0</v>
      </c>
      <c r="S29" s="84">
        <v>0</v>
      </c>
      <c r="T29" s="84">
        <v>0</v>
      </c>
      <c r="U29" s="84">
        <v>0</v>
      </c>
      <c r="V29" s="84">
        <v>371</v>
      </c>
      <c r="W29" s="84">
        <v>0</v>
      </c>
      <c r="X29" s="84" t="str">
        <f t="shared" si="14"/>
        <v/>
      </c>
      <c r="Y29" s="84">
        <v>-3130</v>
      </c>
      <c r="Z29" s="85">
        <f t="shared" si="0"/>
        <v>19754.1</v>
      </c>
      <c r="AA29" s="86">
        <v>7384</v>
      </c>
      <c r="AB29" s="87">
        <v>590.72</v>
      </c>
      <c r="AC29" s="87">
        <v>147.68</v>
      </c>
      <c r="AD29" s="87">
        <v>36.92</v>
      </c>
      <c r="AE29" s="86">
        <v>6844</v>
      </c>
      <c r="AF29" s="86">
        <v>479</v>
      </c>
      <c r="AG29" s="85">
        <f t="shared" si="19"/>
        <v>1254.32</v>
      </c>
      <c r="AH29" s="88"/>
      <c r="AI29" s="88"/>
      <c r="AJ29" s="88"/>
      <c r="AK29" s="85">
        <f t="shared" si="2"/>
        <v>18499.78</v>
      </c>
      <c r="AL29" s="86">
        <v>7384</v>
      </c>
      <c r="AM29" s="86">
        <v>6844</v>
      </c>
      <c r="AN29" s="86">
        <f t="shared" si="21"/>
        <v>1181.44</v>
      </c>
      <c r="AO29" s="86">
        <f t="shared" si="16"/>
        <v>664.56</v>
      </c>
      <c r="AP29" s="86">
        <f t="shared" si="4"/>
        <v>36.92</v>
      </c>
      <c r="AQ29" s="86">
        <f t="shared" si="5"/>
        <v>18.9</v>
      </c>
      <c r="AR29" s="86"/>
      <c r="AS29" s="86">
        <f t="shared" si="6"/>
        <v>479</v>
      </c>
      <c r="AT29" s="86">
        <f t="shared" si="7"/>
        <v>110.76</v>
      </c>
      <c r="AU29" s="85">
        <f t="shared" si="8"/>
        <v>2491.58</v>
      </c>
      <c r="AV29" s="85"/>
      <c r="AW29" s="85">
        <f t="shared" si="9"/>
        <v>22245.68</v>
      </c>
      <c r="AX29" s="94"/>
      <c r="AY29" s="99"/>
      <c r="AZ29" s="85">
        <v>255</v>
      </c>
      <c r="BA29" s="91">
        <f t="shared" si="10"/>
        <v>22500.68</v>
      </c>
      <c r="BB29" s="85">
        <f t="shared" si="11"/>
        <v>1350.04</v>
      </c>
      <c r="BC29" s="85">
        <f t="shared" si="12"/>
        <v>23850.72</v>
      </c>
      <c r="BE29" s="60">
        <f t="shared" si="15"/>
        <v>22245.68</v>
      </c>
      <c r="BF29" s="92"/>
    </row>
    <row r="30" s="60" customFormat="1" ht="15" customHeight="1" spans="1:58">
      <c r="A30" s="78">
        <f t="shared" si="13"/>
        <v>28</v>
      </c>
      <c r="B30" s="79">
        <v>2411</v>
      </c>
      <c r="C30" s="79" t="s">
        <v>180</v>
      </c>
      <c r="D30" s="78" t="s">
        <v>181</v>
      </c>
      <c r="E30" s="81" t="s">
        <v>182</v>
      </c>
      <c r="F30" s="82">
        <v>45444</v>
      </c>
      <c r="G30" s="82">
        <v>45808</v>
      </c>
      <c r="H30" s="78"/>
      <c r="I30" s="83" t="s">
        <v>98</v>
      </c>
      <c r="J30" s="84">
        <v>1300</v>
      </c>
      <c r="K30" s="84">
        <v>1704</v>
      </c>
      <c r="L30" s="84">
        <v>2137.4</v>
      </c>
      <c r="M30" s="84">
        <v>0</v>
      </c>
      <c r="N30" s="84">
        <v>0</v>
      </c>
      <c r="O30" s="84">
        <v>0</v>
      </c>
      <c r="P30" s="84">
        <v>0</v>
      </c>
      <c r="Q30" s="84">
        <v>630</v>
      </c>
      <c r="R30" s="84">
        <v>0</v>
      </c>
      <c r="S30" s="84">
        <v>0</v>
      </c>
      <c r="T30" s="84">
        <v>0</v>
      </c>
      <c r="U30" s="84">
        <v>0</v>
      </c>
      <c r="V30" s="84">
        <v>742</v>
      </c>
      <c r="W30" s="84">
        <v>0</v>
      </c>
      <c r="X30" s="101">
        <f t="shared" si="14"/>
        <v>1082.92</v>
      </c>
      <c r="Y30" s="84">
        <v>-2400</v>
      </c>
      <c r="Z30" s="85">
        <f t="shared" si="0"/>
        <v>5196.32</v>
      </c>
      <c r="AA30" s="86">
        <v>7384</v>
      </c>
      <c r="AB30" s="87">
        <v>590.72</v>
      </c>
      <c r="AC30" s="87">
        <v>147.68</v>
      </c>
      <c r="AD30" s="87">
        <v>36.92</v>
      </c>
      <c r="AE30" s="86">
        <v>5131</v>
      </c>
      <c r="AF30" s="86">
        <v>359</v>
      </c>
      <c r="AG30" s="85">
        <f t="shared" si="19"/>
        <v>1134.32</v>
      </c>
      <c r="AH30" s="88"/>
      <c r="AI30" s="88"/>
      <c r="AJ30" s="88"/>
      <c r="AK30" s="85">
        <f t="shared" si="2"/>
        <v>4062</v>
      </c>
      <c r="AL30" s="86">
        <v>7384</v>
      </c>
      <c r="AM30" s="86">
        <v>5131</v>
      </c>
      <c r="AN30" s="86">
        <f t="shared" si="21"/>
        <v>1181.44</v>
      </c>
      <c r="AO30" s="86">
        <f t="shared" si="16"/>
        <v>664.56</v>
      </c>
      <c r="AP30" s="86">
        <f t="shared" si="4"/>
        <v>36.92</v>
      </c>
      <c r="AQ30" s="86">
        <f t="shared" si="5"/>
        <v>18.9</v>
      </c>
      <c r="AR30" s="86"/>
      <c r="AS30" s="86">
        <f t="shared" si="6"/>
        <v>359</v>
      </c>
      <c r="AT30" s="86">
        <f t="shared" si="7"/>
        <v>110.76</v>
      </c>
      <c r="AU30" s="85">
        <f t="shared" si="8"/>
        <v>2371.58</v>
      </c>
      <c r="AV30" s="85"/>
      <c r="AW30" s="85">
        <f t="shared" si="9"/>
        <v>7567.9</v>
      </c>
      <c r="AX30" s="94">
        <f>-X30</f>
        <v>-1082.92</v>
      </c>
      <c r="AY30" s="95" t="s">
        <v>169</v>
      </c>
      <c r="AZ30" s="85">
        <v>255</v>
      </c>
      <c r="BA30" s="91">
        <f t="shared" si="10"/>
        <v>6739.98</v>
      </c>
      <c r="BB30" s="85">
        <f t="shared" si="11"/>
        <v>404.4</v>
      </c>
      <c r="BC30" s="85">
        <f t="shared" si="12"/>
        <v>7144.38</v>
      </c>
      <c r="BE30" s="60">
        <f t="shared" si="15"/>
        <v>7567.9</v>
      </c>
      <c r="BF30" s="92"/>
    </row>
    <row r="31" s="60" customFormat="1" ht="15" customHeight="1" spans="1:58">
      <c r="A31" s="78">
        <f t="shared" si="13"/>
        <v>29</v>
      </c>
      <c r="B31" s="79">
        <v>2411</v>
      </c>
      <c r="C31" s="79" t="s">
        <v>183</v>
      </c>
      <c r="D31" s="78" t="s">
        <v>184</v>
      </c>
      <c r="E31" s="81" t="s">
        <v>185</v>
      </c>
      <c r="F31" s="82">
        <v>45444</v>
      </c>
      <c r="G31" s="82">
        <v>45808</v>
      </c>
      <c r="H31" s="78"/>
      <c r="I31" s="83" t="s">
        <v>98</v>
      </c>
      <c r="J31" s="84">
        <v>1030</v>
      </c>
      <c r="K31" s="84">
        <v>2124</v>
      </c>
      <c r="L31" s="84">
        <v>1996.6</v>
      </c>
      <c r="M31" s="84">
        <v>0</v>
      </c>
      <c r="N31" s="84">
        <v>0</v>
      </c>
      <c r="O31" s="84">
        <v>0</v>
      </c>
      <c r="P31" s="84">
        <v>0</v>
      </c>
      <c r="Q31" s="84">
        <v>630</v>
      </c>
      <c r="R31" s="84">
        <v>0</v>
      </c>
      <c r="S31" s="84">
        <v>0</v>
      </c>
      <c r="T31" s="84">
        <v>0</v>
      </c>
      <c r="U31" s="84">
        <v>0</v>
      </c>
      <c r="V31" s="84">
        <v>371</v>
      </c>
      <c r="W31" s="84">
        <v>0</v>
      </c>
      <c r="X31" s="101">
        <f t="shared" si="14"/>
        <v>961.72</v>
      </c>
      <c r="Y31" s="84">
        <v>-2361</v>
      </c>
      <c r="Z31" s="85">
        <f t="shared" si="0"/>
        <v>4752.32</v>
      </c>
      <c r="AA31" s="86">
        <v>7384</v>
      </c>
      <c r="AB31" s="87">
        <v>590.72</v>
      </c>
      <c r="AC31" s="87">
        <v>147.68</v>
      </c>
      <c r="AD31" s="87">
        <v>36.92</v>
      </c>
      <c r="AE31" s="86">
        <v>4082</v>
      </c>
      <c r="AF31" s="86">
        <v>286</v>
      </c>
      <c r="AG31" s="85">
        <f t="shared" si="19"/>
        <v>1061.32</v>
      </c>
      <c r="AH31" s="88"/>
      <c r="AI31" s="88"/>
      <c r="AJ31" s="88"/>
      <c r="AK31" s="85">
        <f t="shared" si="2"/>
        <v>3691</v>
      </c>
      <c r="AL31" s="86">
        <v>7384</v>
      </c>
      <c r="AM31" s="86">
        <v>4082</v>
      </c>
      <c r="AN31" s="86">
        <f t="shared" si="21"/>
        <v>1181.44</v>
      </c>
      <c r="AO31" s="86">
        <f t="shared" si="16"/>
        <v>664.56</v>
      </c>
      <c r="AP31" s="86">
        <f t="shared" si="4"/>
        <v>36.92</v>
      </c>
      <c r="AQ31" s="86">
        <f t="shared" si="5"/>
        <v>18.9</v>
      </c>
      <c r="AR31" s="86"/>
      <c r="AS31" s="86">
        <f t="shared" si="6"/>
        <v>286</v>
      </c>
      <c r="AT31" s="86">
        <f t="shared" si="7"/>
        <v>110.76</v>
      </c>
      <c r="AU31" s="85">
        <f t="shared" si="8"/>
        <v>2298.58</v>
      </c>
      <c r="AV31" s="85"/>
      <c r="AW31" s="85">
        <f t="shared" si="9"/>
        <v>7050.9</v>
      </c>
      <c r="AX31" s="94">
        <f>-X31</f>
        <v>-961.72</v>
      </c>
      <c r="AY31" s="95" t="s">
        <v>169</v>
      </c>
      <c r="AZ31" s="85">
        <v>255</v>
      </c>
      <c r="BA31" s="91">
        <f t="shared" si="10"/>
        <v>6344.18</v>
      </c>
      <c r="BB31" s="85">
        <f t="shared" si="11"/>
        <v>380.65</v>
      </c>
      <c r="BC31" s="85">
        <f t="shared" si="12"/>
        <v>6724.83</v>
      </c>
      <c r="BE31" s="60">
        <f t="shared" si="15"/>
        <v>7050.9</v>
      </c>
      <c r="BF31" s="92"/>
    </row>
    <row r="32" s="60" customFormat="1" ht="14.4" customHeight="1" spans="1:58">
      <c r="A32" s="78">
        <f t="shared" si="13"/>
        <v>30</v>
      </c>
      <c r="B32" s="79">
        <v>2411</v>
      </c>
      <c r="C32" s="79" t="s">
        <v>186</v>
      </c>
      <c r="D32" s="78" t="s">
        <v>187</v>
      </c>
      <c r="E32" s="81" t="s">
        <v>188</v>
      </c>
      <c r="F32" s="82">
        <v>45444</v>
      </c>
      <c r="G32" s="82">
        <v>45808</v>
      </c>
      <c r="H32" s="78"/>
      <c r="I32" s="83" t="s">
        <v>98</v>
      </c>
      <c r="J32" s="84">
        <v>950</v>
      </c>
      <c r="K32" s="84">
        <v>2490</v>
      </c>
      <c r="L32" s="84">
        <v>3817.3</v>
      </c>
      <c r="M32" s="84">
        <v>0</v>
      </c>
      <c r="N32" s="84">
        <v>0</v>
      </c>
      <c r="O32" s="84">
        <v>0</v>
      </c>
      <c r="P32" s="84">
        <v>0</v>
      </c>
      <c r="Q32" s="84">
        <v>630</v>
      </c>
      <c r="R32" s="84">
        <v>0</v>
      </c>
      <c r="S32" s="84">
        <v>0</v>
      </c>
      <c r="T32" s="84">
        <v>0</v>
      </c>
      <c r="U32" s="84">
        <v>0</v>
      </c>
      <c r="V32" s="84">
        <v>742</v>
      </c>
      <c r="W32" s="84">
        <v>0</v>
      </c>
      <c r="X32" s="84" t="str">
        <f t="shared" si="14"/>
        <v/>
      </c>
      <c r="Y32" s="84">
        <v>-2200</v>
      </c>
      <c r="Z32" s="85">
        <f t="shared" si="0"/>
        <v>6429.3</v>
      </c>
      <c r="AA32" s="86">
        <v>7384</v>
      </c>
      <c r="AB32" s="87">
        <v>590.72</v>
      </c>
      <c r="AC32" s="87">
        <v>147.68</v>
      </c>
      <c r="AD32" s="87">
        <v>36.92</v>
      </c>
      <c r="AE32" s="86">
        <v>4035</v>
      </c>
      <c r="AF32" s="86">
        <v>282</v>
      </c>
      <c r="AG32" s="85">
        <f t="shared" si="19"/>
        <v>1057.32</v>
      </c>
      <c r="AH32" s="88"/>
      <c r="AI32" s="88"/>
      <c r="AJ32" s="88"/>
      <c r="AK32" s="85">
        <f t="shared" si="2"/>
        <v>5371.98</v>
      </c>
      <c r="AL32" s="86">
        <v>7384</v>
      </c>
      <c r="AM32" s="86">
        <v>4035</v>
      </c>
      <c r="AN32" s="86">
        <f t="shared" si="21"/>
        <v>1181.44</v>
      </c>
      <c r="AO32" s="86">
        <f t="shared" si="16"/>
        <v>664.56</v>
      </c>
      <c r="AP32" s="86">
        <f t="shared" si="4"/>
        <v>36.92</v>
      </c>
      <c r="AQ32" s="86">
        <f t="shared" si="5"/>
        <v>18.9</v>
      </c>
      <c r="AR32" s="86"/>
      <c r="AS32" s="86">
        <f t="shared" si="6"/>
        <v>282</v>
      </c>
      <c r="AT32" s="86">
        <f t="shared" si="7"/>
        <v>110.76</v>
      </c>
      <c r="AU32" s="85">
        <f t="shared" si="8"/>
        <v>2294.58</v>
      </c>
      <c r="AV32" s="85"/>
      <c r="AW32" s="85">
        <f t="shared" si="9"/>
        <v>8723.88</v>
      </c>
      <c r="AX32" s="94"/>
      <c r="AY32" s="95"/>
      <c r="AZ32" s="85">
        <v>255</v>
      </c>
      <c r="BA32" s="91">
        <f t="shared" si="10"/>
        <v>8978.88</v>
      </c>
      <c r="BB32" s="85">
        <f t="shared" si="11"/>
        <v>538.73</v>
      </c>
      <c r="BC32" s="85">
        <f t="shared" si="12"/>
        <v>9517.61</v>
      </c>
      <c r="BE32" s="60">
        <f t="shared" si="15"/>
        <v>8723.88</v>
      </c>
      <c r="BF32" s="92"/>
    </row>
    <row r="33" s="60" customFormat="1" ht="15" customHeight="1" spans="1:58">
      <c r="A33" s="78">
        <f t="shared" si="13"/>
        <v>31</v>
      </c>
      <c r="B33" s="79">
        <v>2411</v>
      </c>
      <c r="C33" s="79" t="s">
        <v>189</v>
      </c>
      <c r="D33" s="78" t="s">
        <v>190</v>
      </c>
      <c r="E33" s="81" t="s">
        <v>191</v>
      </c>
      <c r="F33" s="82">
        <v>45444</v>
      </c>
      <c r="G33" s="82">
        <v>45808</v>
      </c>
      <c r="H33" s="78"/>
      <c r="I33" s="83" t="s">
        <v>98</v>
      </c>
      <c r="J33" s="84">
        <v>1030</v>
      </c>
      <c r="K33" s="84">
        <v>2580</v>
      </c>
      <c r="L33" s="84">
        <v>59.2</v>
      </c>
      <c r="M33" s="84">
        <v>0</v>
      </c>
      <c r="N33" s="84">
        <v>0</v>
      </c>
      <c r="O33" s="84">
        <v>0</v>
      </c>
      <c r="P33" s="84">
        <v>0</v>
      </c>
      <c r="Q33" s="84">
        <v>630</v>
      </c>
      <c r="R33" s="84">
        <v>0</v>
      </c>
      <c r="S33" s="84">
        <v>0</v>
      </c>
      <c r="T33" s="84">
        <v>0</v>
      </c>
      <c r="U33" s="84">
        <v>0</v>
      </c>
      <c r="V33" s="84">
        <v>742</v>
      </c>
      <c r="W33" s="84">
        <v>0</v>
      </c>
      <c r="X33" s="84">
        <f t="shared" si="14"/>
        <v>253.12</v>
      </c>
      <c r="Y33" s="84">
        <v>0</v>
      </c>
      <c r="Z33" s="85">
        <f t="shared" si="0"/>
        <v>5294.32</v>
      </c>
      <c r="AA33" s="86">
        <v>7384</v>
      </c>
      <c r="AB33" s="87">
        <v>590.72</v>
      </c>
      <c r="AC33" s="87">
        <v>147.68</v>
      </c>
      <c r="AD33" s="87">
        <v>36.92</v>
      </c>
      <c r="AE33" s="86">
        <v>6529</v>
      </c>
      <c r="AF33" s="86">
        <v>457</v>
      </c>
      <c r="AG33" s="85">
        <f t="shared" si="19"/>
        <v>1232.32</v>
      </c>
      <c r="AH33" s="88"/>
      <c r="AI33" s="88"/>
      <c r="AJ33" s="88"/>
      <c r="AK33" s="85">
        <f t="shared" si="2"/>
        <v>4062</v>
      </c>
      <c r="AL33" s="86">
        <v>7384</v>
      </c>
      <c r="AM33" s="86">
        <v>6529</v>
      </c>
      <c r="AN33" s="86">
        <f t="shared" si="21"/>
        <v>1181.44</v>
      </c>
      <c r="AO33" s="86">
        <f t="shared" si="16"/>
        <v>664.56</v>
      </c>
      <c r="AP33" s="86">
        <f t="shared" si="4"/>
        <v>36.92</v>
      </c>
      <c r="AQ33" s="86">
        <f t="shared" si="5"/>
        <v>18.9</v>
      </c>
      <c r="AR33" s="86"/>
      <c r="AS33" s="86">
        <f t="shared" si="6"/>
        <v>457</v>
      </c>
      <c r="AT33" s="86">
        <f t="shared" si="7"/>
        <v>110.76</v>
      </c>
      <c r="AU33" s="85">
        <f t="shared" si="8"/>
        <v>2469.58</v>
      </c>
      <c r="AV33" s="85"/>
      <c r="AW33" s="85">
        <f t="shared" si="9"/>
        <v>7763.9</v>
      </c>
      <c r="AX33" s="94"/>
      <c r="AY33" s="95"/>
      <c r="AZ33" s="85">
        <v>255</v>
      </c>
      <c r="BA33" s="91">
        <f t="shared" si="10"/>
        <v>8018.9</v>
      </c>
      <c r="BB33" s="85">
        <f t="shared" si="11"/>
        <v>481.13</v>
      </c>
      <c r="BC33" s="85">
        <f t="shared" si="12"/>
        <v>8500.03</v>
      </c>
      <c r="BE33" s="60">
        <f t="shared" si="15"/>
        <v>7763.9</v>
      </c>
      <c r="BF33" s="92"/>
    </row>
    <row r="34" s="60" customFormat="1" ht="15" customHeight="1" spans="1:58">
      <c r="A34" s="78">
        <f t="shared" si="13"/>
        <v>32</v>
      </c>
      <c r="B34" s="79">
        <v>2411</v>
      </c>
      <c r="C34" s="79" t="s">
        <v>192</v>
      </c>
      <c r="D34" s="78" t="s">
        <v>193</v>
      </c>
      <c r="E34" s="81" t="s">
        <v>194</v>
      </c>
      <c r="F34" s="82">
        <v>45444</v>
      </c>
      <c r="G34" s="82">
        <v>45808</v>
      </c>
      <c r="H34" s="78"/>
      <c r="I34" s="83" t="s">
        <v>98</v>
      </c>
      <c r="J34" s="84">
        <v>1030</v>
      </c>
      <c r="K34" s="84">
        <v>3852</v>
      </c>
      <c r="L34" s="84">
        <v>1623</v>
      </c>
      <c r="M34" s="84">
        <v>0</v>
      </c>
      <c r="N34" s="84">
        <v>0</v>
      </c>
      <c r="O34" s="84">
        <v>0</v>
      </c>
      <c r="P34" s="84">
        <v>0</v>
      </c>
      <c r="Q34" s="84">
        <v>630</v>
      </c>
      <c r="R34" s="84">
        <v>0</v>
      </c>
      <c r="S34" s="84">
        <v>0</v>
      </c>
      <c r="T34" s="84">
        <v>0</v>
      </c>
      <c r="U34" s="84">
        <v>0</v>
      </c>
      <c r="V34" s="84">
        <v>742</v>
      </c>
      <c r="W34" s="84">
        <v>0</v>
      </c>
      <c r="X34" s="84" t="str">
        <f t="shared" si="14"/>
        <v/>
      </c>
      <c r="Y34" s="84">
        <v>-300</v>
      </c>
      <c r="Z34" s="85">
        <f t="shared" si="0"/>
        <v>7577</v>
      </c>
      <c r="AA34" s="86">
        <v>7384</v>
      </c>
      <c r="AB34" s="87">
        <v>590.72</v>
      </c>
      <c r="AC34" s="87">
        <v>147.68</v>
      </c>
      <c r="AD34" s="87">
        <v>36.92</v>
      </c>
      <c r="AE34" s="86">
        <v>7287</v>
      </c>
      <c r="AF34" s="86">
        <v>510</v>
      </c>
      <c r="AG34" s="85">
        <f t="shared" si="19"/>
        <v>1285.32</v>
      </c>
      <c r="AH34" s="88"/>
      <c r="AI34" s="88"/>
      <c r="AJ34" s="88"/>
      <c r="AK34" s="85">
        <f t="shared" si="2"/>
        <v>6291.68</v>
      </c>
      <c r="AL34" s="86">
        <v>7384</v>
      </c>
      <c r="AM34" s="86">
        <v>7287</v>
      </c>
      <c r="AN34" s="86">
        <f t="shared" si="21"/>
        <v>1181.44</v>
      </c>
      <c r="AO34" s="86">
        <f t="shared" si="16"/>
        <v>664.56</v>
      </c>
      <c r="AP34" s="86">
        <f t="shared" si="4"/>
        <v>36.92</v>
      </c>
      <c r="AQ34" s="86">
        <f t="shared" si="5"/>
        <v>18.9</v>
      </c>
      <c r="AR34" s="86"/>
      <c r="AS34" s="86">
        <f t="shared" si="6"/>
        <v>510</v>
      </c>
      <c r="AT34" s="86">
        <f t="shared" si="7"/>
        <v>110.76</v>
      </c>
      <c r="AU34" s="85">
        <f t="shared" si="8"/>
        <v>2522.58</v>
      </c>
      <c r="AV34" s="85"/>
      <c r="AW34" s="85">
        <f t="shared" si="9"/>
        <v>10099.58</v>
      </c>
      <c r="AX34" s="94"/>
      <c r="AY34" s="95"/>
      <c r="AZ34" s="85">
        <v>255</v>
      </c>
      <c r="BA34" s="91">
        <f t="shared" si="10"/>
        <v>10354.58</v>
      </c>
      <c r="BB34" s="85">
        <f t="shared" si="11"/>
        <v>621.27</v>
      </c>
      <c r="BC34" s="85">
        <f t="shared" si="12"/>
        <v>10975.85</v>
      </c>
      <c r="BE34" s="60">
        <f t="shared" si="15"/>
        <v>10099.58</v>
      </c>
      <c r="BF34" s="92"/>
    </row>
    <row r="35" s="60" customFormat="1" ht="15" customHeight="1" spans="1:58">
      <c r="A35" s="78">
        <f t="shared" si="13"/>
        <v>33</v>
      </c>
      <c r="B35" s="79">
        <v>2411</v>
      </c>
      <c r="C35" s="79" t="s">
        <v>195</v>
      </c>
      <c r="D35" s="78" t="s">
        <v>196</v>
      </c>
      <c r="E35" s="81" t="s">
        <v>197</v>
      </c>
      <c r="F35" s="82">
        <v>45444</v>
      </c>
      <c r="G35" s="82">
        <v>45808</v>
      </c>
      <c r="H35" s="78"/>
      <c r="I35" s="83" t="s">
        <v>98</v>
      </c>
      <c r="J35" s="84">
        <v>1300</v>
      </c>
      <c r="K35" s="84">
        <v>2950</v>
      </c>
      <c r="L35" s="84">
        <v>1031.1</v>
      </c>
      <c r="M35" s="84">
        <v>0</v>
      </c>
      <c r="N35" s="84">
        <v>0</v>
      </c>
      <c r="O35" s="84">
        <v>0</v>
      </c>
      <c r="P35" s="84">
        <v>0</v>
      </c>
      <c r="Q35" s="84">
        <v>630</v>
      </c>
      <c r="R35" s="84">
        <v>0</v>
      </c>
      <c r="S35" s="84">
        <v>0</v>
      </c>
      <c r="T35" s="84">
        <v>0</v>
      </c>
      <c r="U35" s="84">
        <v>0</v>
      </c>
      <c r="V35" s="84">
        <v>0</v>
      </c>
      <c r="W35" s="84">
        <v>0</v>
      </c>
      <c r="X35" s="84" t="str">
        <f t="shared" si="14"/>
        <v/>
      </c>
      <c r="Y35" s="84">
        <v>-190</v>
      </c>
      <c r="Z35" s="85">
        <f t="shared" si="0"/>
        <v>5721.1</v>
      </c>
      <c r="AA35" s="86">
        <v>7384</v>
      </c>
      <c r="AB35" s="87">
        <v>590.72</v>
      </c>
      <c r="AC35" s="87">
        <v>147.68</v>
      </c>
      <c r="AD35" s="87">
        <v>36.92</v>
      </c>
      <c r="AE35" s="86">
        <v>6558</v>
      </c>
      <c r="AF35" s="86">
        <v>459</v>
      </c>
      <c r="AG35" s="85">
        <f t="shared" si="19"/>
        <v>1234.32</v>
      </c>
      <c r="AH35" s="88"/>
      <c r="AI35" s="88"/>
      <c r="AJ35" s="88"/>
      <c r="AK35" s="85">
        <f t="shared" si="2"/>
        <v>4486.78</v>
      </c>
      <c r="AL35" s="86">
        <v>7384</v>
      </c>
      <c r="AM35" s="86">
        <v>6558</v>
      </c>
      <c r="AN35" s="86">
        <f t="shared" si="21"/>
        <v>1181.44</v>
      </c>
      <c r="AO35" s="86">
        <f t="shared" si="16"/>
        <v>664.56</v>
      </c>
      <c r="AP35" s="86">
        <f t="shared" si="4"/>
        <v>36.92</v>
      </c>
      <c r="AQ35" s="86">
        <f t="shared" si="5"/>
        <v>18.9</v>
      </c>
      <c r="AR35" s="86"/>
      <c r="AS35" s="86">
        <f t="shared" si="6"/>
        <v>459</v>
      </c>
      <c r="AT35" s="86">
        <f t="shared" si="7"/>
        <v>110.76</v>
      </c>
      <c r="AU35" s="85">
        <f t="shared" si="8"/>
        <v>2471.58</v>
      </c>
      <c r="AV35" s="85"/>
      <c r="AW35" s="85">
        <f t="shared" si="9"/>
        <v>8192.68</v>
      </c>
      <c r="AX35" s="94"/>
      <c r="AY35" s="95"/>
      <c r="AZ35" s="85">
        <v>255</v>
      </c>
      <c r="BA35" s="91">
        <f t="shared" si="10"/>
        <v>8447.68</v>
      </c>
      <c r="BB35" s="85">
        <f t="shared" si="11"/>
        <v>506.86</v>
      </c>
      <c r="BC35" s="85">
        <f t="shared" si="12"/>
        <v>8954.54</v>
      </c>
      <c r="BE35" s="60">
        <f t="shared" si="15"/>
        <v>8192.68</v>
      </c>
      <c r="BF35" s="92"/>
    </row>
    <row r="36" s="60" customFormat="1" ht="15" customHeight="1" spans="1:58">
      <c r="A36" s="78">
        <f t="shared" si="13"/>
        <v>34</v>
      </c>
      <c r="B36" s="79">
        <v>2411</v>
      </c>
      <c r="C36" s="79" t="s">
        <v>198</v>
      </c>
      <c r="D36" s="78" t="s">
        <v>199</v>
      </c>
      <c r="E36" s="81" t="s">
        <v>200</v>
      </c>
      <c r="F36" s="82">
        <v>45444</v>
      </c>
      <c r="G36" s="82">
        <v>45808</v>
      </c>
      <c r="H36" s="78"/>
      <c r="I36" s="83" t="s">
        <v>98</v>
      </c>
      <c r="J36" s="84">
        <v>1030</v>
      </c>
      <c r="K36" s="84">
        <v>3726</v>
      </c>
      <c r="L36" s="84">
        <v>1958.9</v>
      </c>
      <c r="M36" s="84">
        <v>0</v>
      </c>
      <c r="N36" s="84">
        <v>0</v>
      </c>
      <c r="O36" s="84">
        <v>0</v>
      </c>
      <c r="P36" s="84">
        <v>0</v>
      </c>
      <c r="Q36" s="84">
        <v>630</v>
      </c>
      <c r="R36" s="84">
        <v>0</v>
      </c>
      <c r="S36" s="84">
        <v>0</v>
      </c>
      <c r="T36" s="84">
        <v>0</v>
      </c>
      <c r="U36" s="84">
        <v>0</v>
      </c>
      <c r="V36" s="84">
        <v>742</v>
      </c>
      <c r="W36" s="84">
        <v>0</v>
      </c>
      <c r="X36" s="84" t="str">
        <f t="shared" si="14"/>
        <v/>
      </c>
      <c r="Y36" s="84">
        <v>-300</v>
      </c>
      <c r="Z36" s="85">
        <f t="shared" si="0"/>
        <v>7786.9</v>
      </c>
      <c r="AA36" s="86">
        <v>7399</v>
      </c>
      <c r="AB36" s="87">
        <v>591.92</v>
      </c>
      <c r="AC36" s="87">
        <v>147.98</v>
      </c>
      <c r="AD36" s="87">
        <v>37</v>
      </c>
      <c r="AE36" s="86">
        <v>7399</v>
      </c>
      <c r="AF36" s="86">
        <v>518</v>
      </c>
      <c r="AG36" s="85">
        <f t="shared" si="19"/>
        <v>1294.9</v>
      </c>
      <c r="AH36" s="88"/>
      <c r="AI36" s="88"/>
      <c r="AJ36" s="88"/>
      <c r="AK36" s="85">
        <f t="shared" si="2"/>
        <v>6492</v>
      </c>
      <c r="AL36" s="86">
        <v>7399</v>
      </c>
      <c r="AM36" s="86">
        <v>7399</v>
      </c>
      <c r="AN36" s="86">
        <f t="shared" si="21"/>
        <v>1183.84</v>
      </c>
      <c r="AO36" s="86">
        <v>665.92</v>
      </c>
      <c r="AP36" s="86">
        <f t="shared" si="4"/>
        <v>37</v>
      </c>
      <c r="AQ36" s="86">
        <f t="shared" si="5"/>
        <v>18.94</v>
      </c>
      <c r="AR36" s="86"/>
      <c r="AS36" s="86">
        <f t="shared" si="6"/>
        <v>518</v>
      </c>
      <c r="AT36" s="86">
        <f t="shared" si="7"/>
        <v>110.99</v>
      </c>
      <c r="AU36" s="85">
        <f t="shared" si="8"/>
        <v>2534.69</v>
      </c>
      <c r="AV36" s="85"/>
      <c r="AW36" s="85">
        <f t="shared" si="9"/>
        <v>10321.59</v>
      </c>
      <c r="AX36" s="89"/>
      <c r="AY36" s="95"/>
      <c r="AZ36" s="85">
        <v>255</v>
      </c>
      <c r="BA36" s="91">
        <f t="shared" si="10"/>
        <v>10576.59</v>
      </c>
      <c r="BB36" s="85">
        <f t="shared" si="11"/>
        <v>634.6</v>
      </c>
      <c r="BC36" s="85">
        <f t="shared" si="12"/>
        <v>11211.19</v>
      </c>
      <c r="BE36" s="60">
        <f t="shared" si="15"/>
        <v>10321.59</v>
      </c>
      <c r="BF36" s="92"/>
    </row>
    <row r="37" s="60" customFormat="1" ht="15" customHeight="1" spans="1:58">
      <c r="A37" s="78">
        <f t="shared" si="13"/>
        <v>35</v>
      </c>
      <c r="B37" s="79">
        <v>2411</v>
      </c>
      <c r="C37" s="79" t="s">
        <v>201</v>
      </c>
      <c r="D37" s="78" t="s">
        <v>202</v>
      </c>
      <c r="E37" s="81" t="s">
        <v>203</v>
      </c>
      <c r="F37" s="82">
        <v>45444</v>
      </c>
      <c r="G37" s="82">
        <v>45808</v>
      </c>
      <c r="H37" s="78"/>
      <c r="I37" s="83" t="s">
        <v>98</v>
      </c>
      <c r="J37" s="84">
        <v>1030</v>
      </c>
      <c r="K37" s="84">
        <v>3870</v>
      </c>
      <c r="L37" s="84">
        <v>1628.2</v>
      </c>
      <c r="M37" s="84">
        <v>0</v>
      </c>
      <c r="N37" s="84">
        <v>0</v>
      </c>
      <c r="O37" s="84">
        <v>0</v>
      </c>
      <c r="P37" s="84">
        <v>0</v>
      </c>
      <c r="Q37" s="84">
        <v>630</v>
      </c>
      <c r="R37" s="84">
        <v>0</v>
      </c>
      <c r="S37" s="84">
        <v>0</v>
      </c>
      <c r="T37" s="84">
        <v>0</v>
      </c>
      <c r="U37" s="84">
        <v>0</v>
      </c>
      <c r="V37" s="84">
        <v>742</v>
      </c>
      <c r="W37" s="84">
        <v>0</v>
      </c>
      <c r="X37" s="84" t="str">
        <f t="shared" si="14"/>
        <v/>
      </c>
      <c r="Y37" s="84">
        <v>-1000</v>
      </c>
      <c r="Z37" s="85">
        <f t="shared" si="0"/>
        <v>6900.2</v>
      </c>
      <c r="AA37" s="86">
        <v>7384</v>
      </c>
      <c r="AB37" s="87">
        <v>590.72</v>
      </c>
      <c r="AC37" s="87">
        <v>147.68</v>
      </c>
      <c r="AD37" s="87">
        <v>36.92</v>
      </c>
      <c r="AE37" s="86">
        <v>7155</v>
      </c>
      <c r="AF37" s="86">
        <v>501</v>
      </c>
      <c r="AG37" s="85">
        <f t="shared" si="19"/>
        <v>1276.32</v>
      </c>
      <c r="AH37" s="88"/>
      <c r="AI37" s="88"/>
      <c r="AJ37" s="88"/>
      <c r="AK37" s="85">
        <f t="shared" si="2"/>
        <v>5623.88</v>
      </c>
      <c r="AL37" s="86">
        <v>7384</v>
      </c>
      <c r="AM37" s="86">
        <v>7155</v>
      </c>
      <c r="AN37" s="86">
        <f t="shared" si="21"/>
        <v>1181.44</v>
      </c>
      <c r="AO37" s="86">
        <f t="shared" si="16"/>
        <v>664.56</v>
      </c>
      <c r="AP37" s="86">
        <f t="shared" si="4"/>
        <v>36.92</v>
      </c>
      <c r="AQ37" s="86">
        <f t="shared" si="5"/>
        <v>18.9</v>
      </c>
      <c r="AR37" s="86"/>
      <c r="AS37" s="86">
        <f t="shared" si="6"/>
        <v>501</v>
      </c>
      <c r="AT37" s="86">
        <f t="shared" si="7"/>
        <v>110.76</v>
      </c>
      <c r="AU37" s="85">
        <f t="shared" si="8"/>
        <v>2513.58</v>
      </c>
      <c r="AV37" s="85"/>
      <c r="AW37" s="85">
        <f t="shared" si="9"/>
        <v>9413.78</v>
      </c>
      <c r="AX37" s="94"/>
      <c r="AY37" s="95"/>
      <c r="AZ37" s="85">
        <v>255</v>
      </c>
      <c r="BA37" s="91">
        <f t="shared" si="10"/>
        <v>9668.78</v>
      </c>
      <c r="BB37" s="85">
        <f t="shared" si="11"/>
        <v>580.13</v>
      </c>
      <c r="BC37" s="85">
        <f t="shared" si="12"/>
        <v>10248.91</v>
      </c>
      <c r="BE37" s="60">
        <f t="shared" si="15"/>
        <v>9413.78</v>
      </c>
      <c r="BF37" s="92"/>
    </row>
    <row r="38" s="60" customFormat="1" ht="15" customHeight="1" spans="1:58">
      <c r="A38" s="78">
        <f t="shared" si="13"/>
        <v>36</v>
      </c>
      <c r="B38" s="79">
        <v>2411</v>
      </c>
      <c r="C38" s="79" t="s">
        <v>204</v>
      </c>
      <c r="D38" s="78" t="s">
        <v>205</v>
      </c>
      <c r="E38" s="81" t="s">
        <v>206</v>
      </c>
      <c r="F38" s="82">
        <v>45444</v>
      </c>
      <c r="G38" s="82">
        <v>45808</v>
      </c>
      <c r="H38" s="78"/>
      <c r="I38" s="83" t="s">
        <v>98</v>
      </c>
      <c r="J38" s="84">
        <v>1300</v>
      </c>
      <c r="K38" s="84">
        <v>9416</v>
      </c>
      <c r="L38" s="84">
        <v>2008.9</v>
      </c>
      <c r="M38" s="84">
        <v>0</v>
      </c>
      <c r="N38" s="84">
        <v>0</v>
      </c>
      <c r="O38" s="84">
        <v>0</v>
      </c>
      <c r="P38" s="84">
        <v>0</v>
      </c>
      <c r="Q38" s="84">
        <v>630</v>
      </c>
      <c r="R38" s="84">
        <v>0</v>
      </c>
      <c r="S38" s="84">
        <v>0</v>
      </c>
      <c r="T38" s="84">
        <v>0</v>
      </c>
      <c r="U38" s="84">
        <v>0</v>
      </c>
      <c r="V38" s="84">
        <v>1113</v>
      </c>
      <c r="W38" s="84">
        <v>0</v>
      </c>
      <c r="X38" s="84" t="str">
        <f t="shared" si="14"/>
        <v/>
      </c>
      <c r="Y38" s="84">
        <v>0</v>
      </c>
      <c r="Z38" s="85">
        <f t="shared" si="0"/>
        <v>14467.9</v>
      </c>
      <c r="AA38" s="86">
        <v>13189</v>
      </c>
      <c r="AB38" s="87">
        <v>1055.12</v>
      </c>
      <c r="AC38" s="87">
        <v>263.78</v>
      </c>
      <c r="AD38" s="87">
        <v>65.95</v>
      </c>
      <c r="AE38" s="86">
        <v>13189</v>
      </c>
      <c r="AF38" s="86">
        <v>923</v>
      </c>
      <c r="AG38" s="85">
        <f t="shared" ref="AG38:AG39" si="22">AB38+AC38+AD38+AF38</f>
        <v>2307.85</v>
      </c>
      <c r="AH38" s="88"/>
      <c r="AI38" s="88"/>
      <c r="AJ38" s="88"/>
      <c r="AK38" s="85">
        <f t="shared" si="2"/>
        <v>12160.05</v>
      </c>
      <c r="AL38" s="86">
        <v>13189</v>
      </c>
      <c r="AM38" s="86">
        <v>13189</v>
      </c>
      <c r="AN38" s="86">
        <f t="shared" ref="AN38" si="23">ROUND(AL38*16%,2)</f>
        <v>2110.24</v>
      </c>
      <c r="AO38" s="86">
        <v>1187.02</v>
      </c>
      <c r="AP38" s="86">
        <f t="shared" ref="AP38" si="24">ROUND(AL38*0.5%,2)</f>
        <v>65.95</v>
      </c>
      <c r="AQ38" s="86">
        <f t="shared" ref="AQ38" si="25">ROUND(AL38*0.256%,2)</f>
        <v>33.76</v>
      </c>
      <c r="AR38" s="86"/>
      <c r="AS38" s="86">
        <f t="shared" ref="AS38" si="26">ROUND(AM38*7%,0)</f>
        <v>923</v>
      </c>
      <c r="AT38" s="86">
        <f t="shared" ref="AT38" si="27">ROUND(IF(AL38&lt;24366,AL38*1.5%,24366*1.5%),2)</f>
        <v>197.84</v>
      </c>
      <c r="AU38" s="85">
        <f t="shared" ref="AU38:AU39" si="28">SUM(AN38:AT38)</f>
        <v>4517.81</v>
      </c>
      <c r="AV38" s="85"/>
      <c r="AW38" s="85">
        <f t="shared" si="9"/>
        <v>18985.71</v>
      </c>
      <c r="AX38" s="89"/>
      <c r="AY38" s="95"/>
      <c r="AZ38" s="85">
        <v>255</v>
      </c>
      <c r="BA38" s="91">
        <f t="shared" si="10"/>
        <v>19240.71</v>
      </c>
      <c r="BB38" s="85">
        <f t="shared" si="11"/>
        <v>1154.44</v>
      </c>
      <c r="BC38" s="85">
        <f t="shared" si="12"/>
        <v>20395.15</v>
      </c>
      <c r="BE38" s="60">
        <f t="shared" si="15"/>
        <v>18985.71</v>
      </c>
      <c r="BF38" s="92"/>
    </row>
    <row r="39" s="60" customFormat="1" ht="15" customHeight="1" spans="1:58">
      <c r="A39" s="78">
        <f t="shared" si="13"/>
        <v>37</v>
      </c>
      <c r="B39" s="79">
        <v>2411</v>
      </c>
      <c r="C39" s="79" t="s">
        <v>207</v>
      </c>
      <c r="D39" s="78" t="s">
        <v>208</v>
      </c>
      <c r="E39" s="81" t="s">
        <v>209</v>
      </c>
      <c r="F39" s="82">
        <v>45444</v>
      </c>
      <c r="G39" s="82">
        <v>45808</v>
      </c>
      <c r="H39" s="78"/>
      <c r="I39" s="83" t="s">
        <v>98</v>
      </c>
      <c r="J39" s="84">
        <v>1080</v>
      </c>
      <c r="K39" s="84">
        <v>0</v>
      </c>
      <c r="L39" s="84">
        <v>9031.16</v>
      </c>
      <c r="M39" s="84">
        <v>0</v>
      </c>
      <c r="N39" s="84">
        <v>0</v>
      </c>
      <c r="O39" s="84">
        <v>0</v>
      </c>
      <c r="P39" s="84">
        <v>0</v>
      </c>
      <c r="Q39" s="84">
        <v>0</v>
      </c>
      <c r="R39" s="84">
        <v>0</v>
      </c>
      <c r="S39" s="84">
        <v>0</v>
      </c>
      <c r="T39" s="84">
        <v>0</v>
      </c>
      <c r="U39" s="84">
        <v>0</v>
      </c>
      <c r="V39" s="84">
        <v>0</v>
      </c>
      <c r="W39" s="84">
        <v>0</v>
      </c>
      <c r="X39" s="84" t="str">
        <f t="shared" si="14"/>
        <v/>
      </c>
      <c r="Y39" s="84">
        <v>0</v>
      </c>
      <c r="Z39" s="85">
        <f t="shared" si="0"/>
        <v>10111.16</v>
      </c>
      <c r="AA39" s="86">
        <v>9758</v>
      </c>
      <c r="AB39" s="87">
        <v>780.64</v>
      </c>
      <c r="AC39" s="87">
        <v>195.16</v>
      </c>
      <c r="AD39" s="87">
        <v>48.79</v>
      </c>
      <c r="AE39" s="86">
        <v>9758</v>
      </c>
      <c r="AF39" s="86">
        <v>683</v>
      </c>
      <c r="AG39" s="85">
        <f t="shared" si="22"/>
        <v>1707.59</v>
      </c>
      <c r="AH39" s="88"/>
      <c r="AI39" s="88"/>
      <c r="AJ39" s="88"/>
      <c r="AK39" s="85">
        <f t="shared" si="2"/>
        <v>8403.57</v>
      </c>
      <c r="AL39" s="86">
        <v>9758</v>
      </c>
      <c r="AM39" s="86">
        <v>9758</v>
      </c>
      <c r="AN39" s="86">
        <f t="shared" ref="AN39" si="29">ROUND(AL39*16%,2)</f>
        <v>1561.28</v>
      </c>
      <c r="AO39" s="86">
        <f t="shared" si="16"/>
        <v>878.22</v>
      </c>
      <c r="AP39" s="86">
        <f t="shared" ref="AP39" si="30">ROUND(AL39*0.5%,2)</f>
        <v>48.79</v>
      </c>
      <c r="AQ39" s="86">
        <f t="shared" ref="AQ39" si="31">ROUND(AL39*0.256%,2)</f>
        <v>24.98</v>
      </c>
      <c r="AR39" s="86"/>
      <c r="AS39" s="86">
        <f t="shared" ref="AS39" si="32">ROUND(AM39*7%,0)</f>
        <v>683</v>
      </c>
      <c r="AT39" s="86">
        <f t="shared" ref="AT39" si="33">ROUND(IF(AL39&lt;24366,AL39*1.5%,24366*1.5%),2)</f>
        <v>146.37</v>
      </c>
      <c r="AU39" s="85">
        <f t="shared" si="28"/>
        <v>3342.64</v>
      </c>
      <c r="AV39" s="85"/>
      <c r="AW39" s="85">
        <f t="shared" si="9"/>
        <v>13453.8</v>
      </c>
      <c r="AX39" s="89"/>
      <c r="AY39" s="95"/>
      <c r="AZ39" s="85">
        <v>60</v>
      </c>
      <c r="BA39" s="91">
        <f t="shared" si="10"/>
        <v>13513.8</v>
      </c>
      <c r="BB39" s="85">
        <f t="shared" si="11"/>
        <v>810.83</v>
      </c>
      <c r="BC39" s="85">
        <f t="shared" si="12"/>
        <v>14324.63</v>
      </c>
      <c r="BE39" s="60">
        <f t="shared" si="15"/>
        <v>13453.8</v>
      </c>
      <c r="BF39" s="92"/>
    </row>
    <row r="40" ht="15" customHeight="1"/>
    <row r="41" ht="15" customHeight="1"/>
    <row r="42" ht="15" customHeight="1" spans="1:58">
      <c r="A42" s="61" t="s">
        <v>210</v>
      </c>
      <c r="Z42" s="102">
        <f>SUBTOTAL(9,Z3:Z16)</f>
        <v>177738.9</v>
      </c>
      <c r="AG42" s="102">
        <f>SUBTOTAL(9,AG3:AG16)</f>
        <v>24133.91</v>
      </c>
      <c r="AK42" s="102">
        <f>SUBTOTAL(9,AK3:AK16)</f>
        <v>153604.99</v>
      </c>
      <c r="AU42" s="102">
        <f>SUBTOTAL(9,AU3:AU16)</f>
        <v>47467.75</v>
      </c>
      <c r="AV42" s="102">
        <f>SUBTOTAL(9,AV3:AV16)</f>
        <v>0</v>
      </c>
      <c r="AW42" s="102">
        <f>SUBTOTAL(9,AW3:AW16)</f>
        <v>225206.65</v>
      </c>
      <c r="AX42" s="61">
        <f>SUBTOTAL(9,AX3:AX16)</f>
        <v>0</v>
      </c>
      <c r="AZ42" s="102">
        <f>SUBTOTAL(9,AZ3:AZ16)</f>
        <v>3570</v>
      </c>
      <c r="BA42" s="103">
        <f>SUBTOTAL(9,BA3:BA16)</f>
        <v>228776.65</v>
      </c>
      <c r="BB42" s="102">
        <f>SUBTOTAL(9,BB3:BB16)</f>
        <v>13726.62</v>
      </c>
      <c r="BC42" s="102">
        <f>SUBTOTAL(9,BC3:BC16)</f>
        <v>242503.27</v>
      </c>
    </row>
    <row r="43" ht="15" customHeight="1" spans="1:58">
      <c r="A43" s="61" t="s">
        <v>211</v>
      </c>
      <c r="Z43" s="102">
        <f>SUBTOTAL(9,Z17:Z39)</f>
        <v>233628.85</v>
      </c>
      <c r="AG43" s="102">
        <f>SUBTOTAL(9,AG17:AG39)</f>
        <v>33984.56</v>
      </c>
      <c r="AK43" s="102">
        <f>SUBTOTAL(9,AK17:AK39)</f>
        <v>199644.29</v>
      </c>
      <c r="AU43" s="102">
        <f>SUBTOTAL(9,AU17:AU39)</f>
        <v>68100.68</v>
      </c>
      <c r="AV43" s="102">
        <f>SUBTOTAL(9,AV17:AV39)</f>
        <v>0</v>
      </c>
      <c r="AW43" s="102">
        <f>SUBTOTAL(9,AW17:AW39)</f>
        <v>301729.53</v>
      </c>
      <c r="AX43" s="61">
        <f>SUBTOTAL(9,AX17:AX39)</f>
        <v>-4061.04</v>
      </c>
      <c r="AY43" s="102"/>
      <c r="AZ43" s="102">
        <f>SUBTOTAL(9,AZ17:AZ39)</f>
        <v>5670</v>
      </c>
      <c r="BA43" s="103">
        <f>SUBTOTAL(9,BA17:BA39)</f>
        <v>303338.49</v>
      </c>
      <c r="BB43" s="102">
        <f>SUBTOTAL(9,BB17:BB39)</f>
        <v>18200.3</v>
      </c>
      <c r="BC43" s="102">
        <f>SUBTOTAL(9,BC17:BC39)</f>
        <v>321538.79</v>
      </c>
    </row>
    <row r="44" ht="15" customHeight="1" spans="1:58">
      <c r="A44" s="61" t="s">
        <v>42</v>
      </c>
      <c r="Z44" s="102">
        <f>Z43+Z42</f>
        <v>411367.75</v>
      </c>
      <c r="AG44" s="104">
        <f>AG43+AG42</f>
        <v>58118.47</v>
      </c>
      <c r="AK44" s="102">
        <f>AK43+AK42</f>
        <v>353249.28</v>
      </c>
      <c r="AU44" s="104">
        <f>SUM(AU3:AU39)</f>
        <v>115568.43</v>
      </c>
      <c r="AV44" s="102">
        <f>AV43+AV42</f>
        <v>0</v>
      </c>
      <c r="AW44" s="102">
        <f>AW43+AW42</f>
        <v>526936.18</v>
      </c>
      <c r="AX44" s="61">
        <f>AX42+AX43</f>
        <v>-4061.04</v>
      </c>
      <c r="AZ44" s="102">
        <f>AZ43+AZ42</f>
        <v>9240</v>
      </c>
      <c r="BA44" s="103">
        <f>BA43+BA42</f>
        <v>532115.14</v>
      </c>
      <c r="BB44" s="102">
        <f>BB43+BB42</f>
        <v>31926.92</v>
      </c>
      <c r="BC44" s="102">
        <f>BC43+BC42</f>
        <v>564042.06</v>
      </c>
    </row>
    <row r="45" ht="15" customHeight="1" spans="1:58">
      <c r="Z45" s="105"/>
      <c r="AB45" s="105"/>
    </row>
    <row r="46" s="58" customFormat="1" ht="25.5" spans="1:58">
      <c r="A46" s="106" t="s">
        <v>212</v>
      </c>
      <c r="B46" s="61"/>
      <c r="C46" s="61"/>
      <c r="D46" s="61"/>
      <c r="E46" s="61"/>
      <c r="F46" s="61"/>
      <c r="G46" s="61"/>
      <c r="H46" s="61"/>
      <c r="I46" s="107"/>
      <c r="J46" s="107"/>
      <c r="K46" s="107"/>
      <c r="L46" s="107"/>
      <c r="M46" s="107"/>
      <c r="N46" s="107"/>
      <c r="O46" s="107"/>
      <c r="P46" s="107"/>
      <c r="Q46" s="107"/>
      <c r="R46" s="107"/>
      <c r="S46" s="107"/>
      <c r="T46" s="107"/>
      <c r="U46" s="107"/>
      <c r="V46" s="107"/>
      <c r="W46" s="107"/>
      <c r="X46" s="107"/>
      <c r="Y46" s="61"/>
      <c r="Z46" s="108"/>
      <c r="AA46" s="61"/>
      <c r="AB46" s="61"/>
      <c r="AC46" s="61"/>
      <c r="AD46" s="61"/>
      <c r="AE46" s="61"/>
      <c r="AF46" s="61"/>
      <c r="AG46" s="61"/>
      <c r="AH46" s="61"/>
      <c r="AI46" s="61"/>
      <c r="AJ46" s="61"/>
      <c r="AK46" s="61"/>
      <c r="AL46" s="61"/>
      <c r="AM46" s="61"/>
      <c r="AN46" s="61"/>
      <c r="AO46" s="61"/>
      <c r="AP46" s="61"/>
      <c r="AQ46" s="61"/>
      <c r="AR46" s="61"/>
      <c r="AS46" s="61"/>
      <c r="AT46" s="61"/>
      <c r="AU46" s="61"/>
      <c r="AV46" s="61"/>
      <c r="AW46" s="61"/>
      <c r="AX46" s="61"/>
      <c r="AY46" s="61"/>
      <c r="AZ46" s="61"/>
      <c r="BA46" s="61"/>
      <c r="BB46" s="61"/>
      <c r="BC46" s="61"/>
    </row>
    <row r="47" s="59" customFormat="1" ht="24" spans="1:58">
      <c r="A47" s="62" t="s">
        <v>0</v>
      </c>
      <c r="B47" s="63" t="s">
        <v>1</v>
      </c>
      <c r="C47" s="64" t="s">
        <v>2</v>
      </c>
      <c r="D47" s="64" t="s">
        <v>3</v>
      </c>
      <c r="E47" s="64" t="s">
        <v>4</v>
      </c>
      <c r="F47" s="62" t="s">
        <v>5</v>
      </c>
      <c r="G47" s="62" t="s">
        <v>6</v>
      </c>
      <c r="H47" s="62" t="s">
        <v>7</v>
      </c>
      <c r="I47" s="62" t="s">
        <v>8</v>
      </c>
      <c r="J47" s="109" t="s">
        <v>9</v>
      </c>
      <c r="K47" s="63" t="s">
        <v>10</v>
      </c>
      <c r="L47" s="63" t="s">
        <v>11</v>
      </c>
      <c r="M47" s="110" t="s">
        <v>12</v>
      </c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2"/>
      <c r="Z47" s="68" t="s">
        <v>13</v>
      </c>
      <c r="AA47" s="65" t="s">
        <v>14</v>
      </c>
      <c r="AB47" s="65" t="s">
        <v>15</v>
      </c>
      <c r="AC47" s="65" t="s">
        <v>16</v>
      </c>
      <c r="AD47" s="65" t="s">
        <v>17</v>
      </c>
      <c r="AE47" s="65" t="s">
        <v>18</v>
      </c>
      <c r="AF47" s="65" t="s">
        <v>19</v>
      </c>
      <c r="AG47" s="68" t="s">
        <v>20</v>
      </c>
      <c r="AH47" s="65" t="s">
        <v>21</v>
      </c>
      <c r="AI47" s="65" t="s">
        <v>22</v>
      </c>
      <c r="AJ47" s="65" t="s">
        <v>23</v>
      </c>
      <c r="AK47" s="68" t="s">
        <v>24</v>
      </c>
      <c r="AL47" s="65" t="s">
        <v>25</v>
      </c>
      <c r="AM47" s="65" t="s">
        <v>26</v>
      </c>
      <c r="AN47" s="65" t="s">
        <v>27</v>
      </c>
      <c r="AO47" s="65" t="s">
        <v>28</v>
      </c>
      <c r="AP47" s="65" t="s">
        <v>29</v>
      </c>
      <c r="AQ47" s="65" t="s">
        <v>30</v>
      </c>
      <c r="AR47" s="65" t="s">
        <v>31</v>
      </c>
      <c r="AS47" s="65" t="s">
        <v>32</v>
      </c>
      <c r="AT47" s="65" t="s">
        <v>33</v>
      </c>
      <c r="AU47" s="68" t="s">
        <v>34</v>
      </c>
      <c r="AV47" s="68" t="s">
        <v>35</v>
      </c>
      <c r="AW47" s="69" t="s">
        <v>36</v>
      </c>
      <c r="AX47" s="70" t="s">
        <v>37</v>
      </c>
      <c r="AY47" s="71" t="s">
        <v>38</v>
      </c>
      <c r="AZ47" s="69" t="s">
        <v>39</v>
      </c>
      <c r="BA47" s="72" t="s">
        <v>40</v>
      </c>
      <c r="BB47" s="69" t="s">
        <v>41</v>
      </c>
      <c r="BC47" s="69" t="s">
        <v>42</v>
      </c>
    </row>
    <row r="48" ht="40" spans="1:58">
      <c r="A48" s="73" t="s">
        <v>43</v>
      </c>
      <c r="B48" s="74" t="s">
        <v>44</v>
      </c>
      <c r="C48" s="73" t="s">
        <v>45</v>
      </c>
      <c r="D48" s="73" t="s">
        <v>46</v>
      </c>
      <c r="E48" s="73" t="s">
        <v>47</v>
      </c>
      <c r="F48" s="73" t="s">
        <v>48</v>
      </c>
      <c r="G48" s="73" t="s">
        <v>49</v>
      </c>
      <c r="H48" s="73" t="s">
        <v>50</v>
      </c>
      <c r="I48" s="73" t="s">
        <v>51</v>
      </c>
      <c r="J48" s="113" t="s">
        <v>52</v>
      </c>
      <c r="K48" s="74" t="s">
        <v>53</v>
      </c>
      <c r="L48" s="74" t="s">
        <v>54</v>
      </c>
      <c r="M48" s="74" t="s">
        <v>55</v>
      </c>
      <c r="N48" s="74" t="s">
        <v>56</v>
      </c>
      <c r="O48" s="74" t="s">
        <v>213</v>
      </c>
      <c r="P48" s="74" t="s">
        <v>58</v>
      </c>
      <c r="Q48" s="74" t="s">
        <v>60</v>
      </c>
      <c r="R48" s="74" t="s">
        <v>59</v>
      </c>
      <c r="S48" s="74" t="s">
        <v>61</v>
      </c>
      <c r="T48" s="74" t="s">
        <v>62</v>
      </c>
      <c r="U48" s="74" t="s">
        <v>63</v>
      </c>
      <c r="V48" s="74" t="s">
        <v>64</v>
      </c>
      <c r="W48" s="74" t="s">
        <v>65</v>
      </c>
      <c r="X48" s="74" t="s">
        <v>66</v>
      </c>
      <c r="Y48" s="74" t="s">
        <v>67</v>
      </c>
      <c r="Z48" s="76" t="s">
        <v>68</v>
      </c>
      <c r="AA48" s="75" t="s">
        <v>69</v>
      </c>
      <c r="AB48" s="75" t="s">
        <v>70</v>
      </c>
      <c r="AC48" s="75" t="s">
        <v>71</v>
      </c>
      <c r="AD48" s="75" t="s">
        <v>72</v>
      </c>
      <c r="AE48" s="75" t="s">
        <v>73</v>
      </c>
      <c r="AF48" s="75" t="s">
        <v>74</v>
      </c>
      <c r="AG48" s="76" t="s">
        <v>75</v>
      </c>
      <c r="AH48" s="75" t="s">
        <v>76</v>
      </c>
      <c r="AI48" s="75" t="s">
        <v>77</v>
      </c>
      <c r="AJ48" s="75" t="s">
        <v>78</v>
      </c>
      <c r="AK48" s="76" t="s">
        <v>79</v>
      </c>
      <c r="AL48" s="75" t="s">
        <v>69</v>
      </c>
      <c r="AM48" s="75" t="s">
        <v>73</v>
      </c>
      <c r="AN48" s="75" t="s">
        <v>80</v>
      </c>
      <c r="AO48" s="75" t="s">
        <v>81</v>
      </c>
      <c r="AP48" s="75" t="s">
        <v>82</v>
      </c>
      <c r="AQ48" s="75" t="s">
        <v>83</v>
      </c>
      <c r="AR48" s="75" t="s">
        <v>84</v>
      </c>
      <c r="AS48" s="75" t="s">
        <v>85</v>
      </c>
      <c r="AT48" s="75" t="s">
        <v>86</v>
      </c>
      <c r="AU48" s="76" t="s">
        <v>87</v>
      </c>
      <c r="AV48" s="76" t="s">
        <v>88</v>
      </c>
      <c r="AW48" s="76" t="s">
        <v>89</v>
      </c>
      <c r="AX48" s="70"/>
      <c r="AY48" s="77" t="s">
        <v>90</v>
      </c>
      <c r="AZ48" s="69" t="s">
        <v>91</v>
      </c>
      <c r="BA48" s="72" t="s">
        <v>92</v>
      </c>
      <c r="BB48" s="69" t="s">
        <v>93</v>
      </c>
      <c r="BC48" s="69" t="s">
        <v>94</v>
      </c>
    </row>
    <row r="49" s="60" customFormat="1" ht="15" customHeight="1" spans="1:58">
      <c r="A49" s="78">
        <f t="shared" ref="A49:A53" si="34">ROW()-2</f>
        <v>47</v>
      </c>
      <c r="B49" s="79">
        <v>2411</v>
      </c>
      <c r="C49" s="79" t="s">
        <v>166</v>
      </c>
      <c r="D49" s="78" t="s">
        <v>167</v>
      </c>
      <c r="E49" s="81" t="s">
        <v>168</v>
      </c>
      <c r="F49" s="82">
        <v>45444</v>
      </c>
      <c r="G49" s="82">
        <v>45808</v>
      </c>
      <c r="H49" s="78"/>
      <c r="I49" s="83" t="s">
        <v>98</v>
      </c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101"/>
      <c r="Y49" s="84"/>
      <c r="Z49" s="85">
        <f>SUM(J49:Y49)</f>
        <v>0</v>
      </c>
      <c r="AA49" s="86"/>
      <c r="AB49" s="87"/>
      <c r="AC49" s="87"/>
      <c r="AD49" s="87"/>
      <c r="AE49" s="86"/>
      <c r="AF49" s="86"/>
      <c r="AG49" s="85">
        <f t="shared" ref="AG49:AG53" si="35">AB49+AC49+AD49+AF49</f>
        <v>0</v>
      </c>
      <c r="AH49" s="88"/>
      <c r="AI49" s="88"/>
      <c r="AJ49" s="88"/>
      <c r="AK49" s="85">
        <f t="shared" ref="AK49:AK53" si="36">Z49-AG49-AH49</f>
        <v>0</v>
      </c>
      <c r="AL49" s="86"/>
      <c r="AM49" s="86"/>
      <c r="AN49" s="86"/>
      <c r="AO49" s="86"/>
      <c r="AP49" s="86"/>
      <c r="AQ49" s="86"/>
      <c r="AR49" s="86"/>
      <c r="AS49" s="86"/>
      <c r="AT49" s="86"/>
      <c r="AU49" s="85">
        <f t="shared" ref="AU49:AU53" si="37">SUM(AN49:AT49)</f>
        <v>0</v>
      </c>
      <c r="AV49" s="85"/>
      <c r="AW49" s="85">
        <f t="shared" ref="AW49:AW53" si="38">AU49+Z49+AI49-AJ49+AV49</f>
        <v>0</v>
      </c>
      <c r="AX49" s="114">
        <f>-855.32</f>
        <v>-855.32</v>
      </c>
      <c r="AY49" s="95" t="s">
        <v>169</v>
      </c>
      <c r="AZ49" s="85">
        <v>255</v>
      </c>
      <c r="BA49" s="91">
        <f t="shared" ref="BA49:BA53" si="39">ROUND(AW49+AZ49+AX49,2)</f>
        <v>-600.32</v>
      </c>
      <c r="BB49" s="85">
        <f t="shared" ref="BB49:BB53" si="40">ROUND(BA49*6%,2)</f>
        <v>-36.02</v>
      </c>
      <c r="BC49" s="85">
        <f t="shared" ref="BC49:BC53" si="41">ROUND(SUM(BA49:BB49),2)</f>
        <v>-636.34</v>
      </c>
      <c r="BF49" s="92"/>
    </row>
    <row r="50" s="60" customFormat="1" ht="15" customHeight="1" spans="1:58">
      <c r="A50" s="78">
        <f t="shared" si="34"/>
        <v>48</v>
      </c>
      <c r="B50" s="79">
        <v>2411</v>
      </c>
      <c r="C50" s="79" t="s">
        <v>170</v>
      </c>
      <c r="D50" s="78" t="s">
        <v>171</v>
      </c>
      <c r="E50" s="81" t="s">
        <v>172</v>
      </c>
      <c r="F50" s="82">
        <v>45444</v>
      </c>
      <c r="G50" s="82">
        <v>45808</v>
      </c>
      <c r="H50" s="78"/>
      <c r="I50" s="83" t="s">
        <v>98</v>
      </c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101"/>
      <c r="Y50" s="84"/>
      <c r="Z50" s="85">
        <f t="shared" ref="Z50:Z53" si="42">SUM(J50:Y50)</f>
        <v>0</v>
      </c>
      <c r="AA50" s="86"/>
      <c r="AB50" s="87"/>
      <c r="AC50" s="87"/>
      <c r="AD50" s="87"/>
      <c r="AE50" s="86"/>
      <c r="AF50" s="86"/>
      <c r="AG50" s="85">
        <f t="shared" si="35"/>
        <v>0</v>
      </c>
      <c r="AH50" s="88"/>
      <c r="AI50" s="88"/>
      <c r="AJ50" s="88"/>
      <c r="AK50" s="85">
        <f t="shared" si="36"/>
        <v>0</v>
      </c>
      <c r="AL50" s="86"/>
      <c r="AM50" s="86"/>
      <c r="AN50" s="86"/>
      <c r="AO50" s="86"/>
      <c r="AP50" s="86"/>
      <c r="AQ50" s="86"/>
      <c r="AR50" s="86"/>
      <c r="AS50" s="86"/>
      <c r="AT50" s="86"/>
      <c r="AU50" s="85">
        <f t="shared" si="37"/>
        <v>0</v>
      </c>
      <c r="AV50" s="85"/>
      <c r="AW50" s="85">
        <f t="shared" si="38"/>
        <v>0</v>
      </c>
      <c r="AX50" s="114">
        <f>-352.920000000001</f>
        <v>-352.920000000001</v>
      </c>
      <c r="AY50" s="95" t="s">
        <v>169</v>
      </c>
      <c r="AZ50" s="85">
        <v>255</v>
      </c>
      <c r="BA50" s="91">
        <f t="shared" si="39"/>
        <v>-97.92</v>
      </c>
      <c r="BB50" s="85">
        <f t="shared" si="40"/>
        <v>-5.88</v>
      </c>
      <c r="BC50" s="85">
        <f t="shared" si="41"/>
        <v>-103.8</v>
      </c>
      <c r="BF50" s="92"/>
    </row>
    <row r="51" s="60" customFormat="1" ht="15" customHeight="1" spans="1:58">
      <c r="A51" s="78">
        <f t="shared" si="34"/>
        <v>49</v>
      </c>
      <c r="B51" s="79">
        <v>2411</v>
      </c>
      <c r="C51" s="79" t="s">
        <v>174</v>
      </c>
      <c r="D51" s="78" t="s">
        <v>175</v>
      </c>
      <c r="E51" s="81" t="s">
        <v>176</v>
      </c>
      <c r="F51" s="82">
        <v>45444</v>
      </c>
      <c r="G51" s="82">
        <v>45808</v>
      </c>
      <c r="H51" s="78"/>
      <c r="I51" s="83" t="s">
        <v>98</v>
      </c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101"/>
      <c r="Y51" s="84"/>
      <c r="Z51" s="85">
        <f t="shared" si="42"/>
        <v>0</v>
      </c>
      <c r="AA51" s="86"/>
      <c r="AB51" s="87"/>
      <c r="AC51" s="87"/>
      <c r="AD51" s="87"/>
      <c r="AE51" s="86"/>
      <c r="AF51" s="86"/>
      <c r="AG51" s="85">
        <f t="shared" si="35"/>
        <v>0</v>
      </c>
      <c r="AH51" s="88"/>
      <c r="AI51" s="88"/>
      <c r="AJ51" s="88"/>
      <c r="AK51" s="85">
        <f t="shared" si="36"/>
        <v>0</v>
      </c>
      <c r="AL51" s="86"/>
      <c r="AM51" s="86"/>
      <c r="AN51" s="86"/>
      <c r="AO51" s="86"/>
      <c r="AP51" s="86"/>
      <c r="AQ51" s="86"/>
      <c r="AR51" s="86"/>
      <c r="AS51" s="86"/>
      <c r="AT51" s="86"/>
      <c r="AU51" s="85">
        <f t="shared" si="37"/>
        <v>0</v>
      </c>
      <c r="AV51" s="85"/>
      <c r="AW51" s="85">
        <f t="shared" si="38"/>
        <v>0</v>
      </c>
      <c r="AX51" s="114">
        <f>-1399.78</f>
        <v>-1399.78</v>
      </c>
      <c r="AY51" s="95" t="s">
        <v>169</v>
      </c>
      <c r="AZ51" s="85">
        <v>255</v>
      </c>
      <c r="BA51" s="91">
        <f t="shared" si="39"/>
        <v>-1144.78</v>
      </c>
      <c r="BB51" s="85">
        <f t="shared" si="40"/>
        <v>-68.69</v>
      </c>
      <c r="BC51" s="85">
        <f t="shared" si="41"/>
        <v>-1213.47</v>
      </c>
      <c r="BF51" s="92"/>
    </row>
    <row r="52" s="60" customFormat="1" ht="15" customHeight="1" spans="1:58">
      <c r="A52" s="78">
        <f t="shared" si="34"/>
        <v>50</v>
      </c>
      <c r="B52" s="79">
        <v>2411</v>
      </c>
      <c r="C52" s="79" t="s">
        <v>180</v>
      </c>
      <c r="D52" s="78" t="s">
        <v>181</v>
      </c>
      <c r="E52" s="81" t="s">
        <v>182</v>
      </c>
      <c r="F52" s="82">
        <v>45444</v>
      </c>
      <c r="G52" s="82">
        <v>45808</v>
      </c>
      <c r="H52" s="78"/>
      <c r="I52" s="83" t="s">
        <v>98</v>
      </c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101"/>
      <c r="Y52" s="84"/>
      <c r="Z52" s="85">
        <f t="shared" si="42"/>
        <v>0</v>
      </c>
      <c r="AA52" s="86"/>
      <c r="AB52" s="87"/>
      <c r="AC52" s="87"/>
      <c r="AD52" s="87"/>
      <c r="AE52" s="86"/>
      <c r="AF52" s="86"/>
      <c r="AG52" s="85">
        <f t="shared" si="35"/>
        <v>0</v>
      </c>
      <c r="AH52" s="88"/>
      <c r="AI52" s="88"/>
      <c r="AJ52" s="88"/>
      <c r="AK52" s="85">
        <f t="shared" si="36"/>
        <v>0</v>
      </c>
      <c r="AL52" s="86"/>
      <c r="AM52" s="86"/>
      <c r="AN52" s="86"/>
      <c r="AO52" s="86"/>
      <c r="AP52" s="86"/>
      <c r="AQ52" s="86"/>
      <c r="AR52" s="86"/>
      <c r="AS52" s="86"/>
      <c r="AT52" s="86"/>
      <c r="AU52" s="85">
        <f t="shared" si="37"/>
        <v>0</v>
      </c>
      <c r="AV52" s="85"/>
      <c r="AW52" s="85">
        <f t="shared" si="38"/>
        <v>0</v>
      </c>
      <c r="AX52" s="114">
        <f>-1082.92</f>
        <v>-1082.92</v>
      </c>
      <c r="AY52" s="95" t="s">
        <v>169</v>
      </c>
      <c r="AZ52" s="85">
        <v>255</v>
      </c>
      <c r="BA52" s="91">
        <f t="shared" si="39"/>
        <v>-827.92</v>
      </c>
      <c r="BB52" s="85">
        <f t="shared" si="40"/>
        <v>-49.68</v>
      </c>
      <c r="BC52" s="85">
        <f t="shared" si="41"/>
        <v>-877.6</v>
      </c>
      <c r="BF52" s="92"/>
    </row>
    <row r="53" s="60" customFormat="1" ht="15" customHeight="1" spans="1:58">
      <c r="A53" s="78">
        <f t="shared" si="34"/>
        <v>51</v>
      </c>
      <c r="B53" s="79">
        <v>2411</v>
      </c>
      <c r="C53" s="79" t="s">
        <v>183</v>
      </c>
      <c r="D53" s="78" t="s">
        <v>184</v>
      </c>
      <c r="E53" s="81" t="s">
        <v>185</v>
      </c>
      <c r="F53" s="82">
        <v>45444</v>
      </c>
      <c r="G53" s="82">
        <v>45808</v>
      </c>
      <c r="H53" s="78"/>
      <c r="I53" s="83" t="s">
        <v>98</v>
      </c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101"/>
      <c r="Y53" s="84"/>
      <c r="Z53" s="85">
        <f t="shared" si="42"/>
        <v>0</v>
      </c>
      <c r="AA53" s="86"/>
      <c r="AB53" s="87"/>
      <c r="AC53" s="87"/>
      <c r="AD53" s="87"/>
      <c r="AE53" s="86"/>
      <c r="AF53" s="86"/>
      <c r="AG53" s="85">
        <f t="shared" si="35"/>
        <v>0</v>
      </c>
      <c r="AH53" s="88"/>
      <c r="AI53" s="88"/>
      <c r="AJ53" s="88"/>
      <c r="AK53" s="85">
        <f t="shared" si="36"/>
        <v>0</v>
      </c>
      <c r="AL53" s="86"/>
      <c r="AM53" s="86"/>
      <c r="AN53" s="86"/>
      <c r="AO53" s="86"/>
      <c r="AP53" s="86"/>
      <c r="AQ53" s="86"/>
      <c r="AR53" s="86"/>
      <c r="AS53" s="86"/>
      <c r="AT53" s="86"/>
      <c r="AU53" s="85">
        <f t="shared" si="37"/>
        <v>0</v>
      </c>
      <c r="AV53" s="85"/>
      <c r="AW53" s="85">
        <f t="shared" si="38"/>
        <v>0</v>
      </c>
      <c r="AX53" s="114">
        <f>-961.72</f>
        <v>-961.72</v>
      </c>
      <c r="AY53" s="95" t="s">
        <v>169</v>
      </c>
      <c r="AZ53" s="85">
        <v>255</v>
      </c>
      <c r="BA53" s="91">
        <f t="shared" si="39"/>
        <v>-706.72</v>
      </c>
      <c r="BB53" s="85">
        <f t="shared" si="40"/>
        <v>-42.4</v>
      </c>
      <c r="BC53" s="85">
        <f t="shared" si="41"/>
        <v>-749.12</v>
      </c>
      <c r="BF53" s="92"/>
    </row>
    <row r="54" spans="1:58">
      <c r="AX54" s="108">
        <f>SUM(AX49:AX53)</f>
        <v>-4652.66</v>
      </c>
    </row>
  </sheetData>
  <autoFilter xmlns:etc="http://www.wps.cn/officeDocument/2017/etCustomData" ref="A1:BF39" etc:filterBottomFollowUsedRange="0">
    <extLst/>
  </autoFilter>
  <mergeCells count="2">
    <mergeCell ref="M1:Y1"/>
    <mergeCell ref="M47:Y47"/>
  </mergeCells>
  <conditionalFormatting sqref="C1">
    <cfRule type="duplicateValues" dxfId="0" priority="156"/>
  </conditionalFormatting>
  <conditionalFormatting sqref="D1">
    <cfRule type="duplicateValues" dxfId="0" priority="184"/>
  </conditionalFormatting>
  <conditionalFormatting sqref="C2">
    <cfRule type="duplicateValues" dxfId="0" priority="153"/>
  </conditionalFormatting>
  <conditionalFormatting sqref="D2">
    <cfRule type="duplicateValues" dxfId="0" priority="181"/>
  </conditionalFormatting>
  <conditionalFormatting sqref="C47">
    <cfRule type="duplicateValues" dxfId="0" priority="7"/>
  </conditionalFormatting>
  <conditionalFormatting sqref="E47">
    <cfRule type="duplicateValues" dxfId="0" priority="13"/>
  </conditionalFormatting>
  <conditionalFormatting sqref="C48">
    <cfRule type="duplicateValues" dxfId="0" priority="4"/>
  </conditionalFormatting>
  <conditionalFormatting sqref="E48">
    <cfRule type="duplicateValues" dxfId="0" priority="16"/>
  </conditionalFormatting>
  <conditionalFormatting sqref="AL3:AL39">
    <cfRule type="cellIs" dxfId="1" priority="95" operator="lessThan">
      <formula>7384</formula>
    </cfRule>
  </conditionalFormatting>
  <conditionalFormatting sqref="AL49:AL51">
    <cfRule type="cellIs" dxfId="1" priority="2" operator="lessThan">
      <formula>7384</formula>
    </cfRule>
  </conditionalFormatting>
  <conditionalFormatting sqref="AL52:AL53">
    <cfRule type="cellIs" dxfId="1" priority="1" operator="lessThan">
      <formula>7384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"/>
  <sheetViews>
    <sheetView workbookViewId="0">
      <selection activeCell="E24" sqref="E24"/>
    </sheetView>
  </sheetViews>
  <sheetFormatPr defaultColWidth="9" defaultRowHeight="14"/>
  <cols>
    <col min="1" max="1" width="22.6666666666667" customWidth="1"/>
    <col min="2" max="2" width="12.6666666666667" customWidth="1"/>
    <col min="3" max="3" width="14" customWidth="1"/>
    <col min="4" max="4" width="10.2166666666667" customWidth="1"/>
    <col min="5" max="5" width="30.4416666666667" customWidth="1"/>
    <col min="6" max="7" width="19.4416666666667" customWidth="1"/>
    <col min="8" max="8" width="12.6666666666667" customWidth="1"/>
    <col min="9" max="9" width="11.6666666666667" customWidth="1"/>
    <col min="10" max="10" width="9.55833333333333" customWidth="1"/>
  </cols>
  <sheetData>
    <row r="1" spans="1:11">
      <c r="A1" s="50" t="s">
        <v>214</v>
      </c>
      <c r="B1" s="51" t="s">
        <v>215</v>
      </c>
      <c r="C1" s="51" t="s">
        <v>216</v>
      </c>
      <c r="D1" s="51">
        <v>155</v>
      </c>
      <c r="E1" s="51" t="s">
        <v>217</v>
      </c>
      <c r="F1" s="51" t="s">
        <v>218</v>
      </c>
      <c r="G1" s="51" t="s">
        <v>219</v>
      </c>
      <c r="H1" s="51" t="s">
        <v>220</v>
      </c>
      <c r="I1" s="52" t="s">
        <v>221</v>
      </c>
    </row>
    <row r="2" spans="1:11">
      <c r="A2" s="50" t="s">
        <v>222</v>
      </c>
      <c r="B2" s="51">
        <f>'202411'!BB44</f>
        <v>31926.92</v>
      </c>
      <c r="C2" s="51">
        <f>系统!E53</f>
        <v>35495.71</v>
      </c>
      <c r="D2" s="51">
        <f>36*155+0.07</f>
        <v>5580.07</v>
      </c>
      <c r="E2" s="51"/>
      <c r="F2" s="51"/>
      <c r="G2" s="51"/>
      <c r="H2" s="51">
        <f>SUM(C2:G2)</f>
        <v>41075.78</v>
      </c>
      <c r="I2" s="53">
        <f t="shared" ref="I2:I10" si="0">B2-C2</f>
        <v>-3568.79</v>
      </c>
    </row>
    <row r="3" spans="1:11">
      <c r="A3" s="50" t="s">
        <v>223</v>
      </c>
      <c r="B3" s="51">
        <f>'202411'!AZ44</f>
        <v>9240</v>
      </c>
      <c r="C3" s="51">
        <v>0</v>
      </c>
      <c r="D3" s="51"/>
      <c r="E3" s="51"/>
      <c r="F3" s="51"/>
      <c r="G3" s="51"/>
      <c r="H3" s="51">
        <f t="shared" ref="H3:H11" si="1">SUM(C3:G3)</f>
        <v>0</v>
      </c>
      <c r="I3" s="53">
        <f t="shared" si="0"/>
        <v>9240</v>
      </c>
      <c r="K3">
        <v>1009.24</v>
      </c>
    </row>
    <row r="4" spans="1:11">
      <c r="A4" s="50" t="s">
        <v>224</v>
      </c>
      <c r="B4" s="51">
        <f>'202411'!AG44</f>
        <v>58118.47</v>
      </c>
      <c r="C4" s="51">
        <f>系统!V53</f>
        <v>58118.47</v>
      </c>
      <c r="D4" s="51"/>
      <c r="E4" s="51"/>
      <c r="F4" s="51"/>
      <c r="G4" s="51"/>
      <c r="H4" s="51">
        <f t="shared" si="1"/>
        <v>58118.47</v>
      </c>
      <c r="I4" s="53">
        <f t="shared" si="0"/>
        <v>0</v>
      </c>
    </row>
    <row r="5" spans="1:11">
      <c r="A5" s="50" t="s">
        <v>225</v>
      </c>
      <c r="B5" s="51">
        <f>'202411'!AU44</f>
        <v>115568.43</v>
      </c>
      <c r="C5" s="51">
        <f>系统!O53</f>
        <v>115568.43</v>
      </c>
      <c r="D5" s="51"/>
      <c r="E5" s="51"/>
      <c r="F5" s="51"/>
      <c r="G5" s="51"/>
      <c r="H5" s="51">
        <f t="shared" si="1"/>
        <v>115568.43</v>
      </c>
      <c r="I5" s="53">
        <f t="shared" si="0"/>
        <v>0</v>
      </c>
    </row>
    <row r="6" spans="1:11">
      <c r="A6" s="50" t="s">
        <v>33</v>
      </c>
      <c r="B6" s="51"/>
      <c r="C6" s="51"/>
      <c r="D6" s="51"/>
      <c r="E6" s="51"/>
      <c r="F6" s="51"/>
      <c r="G6" s="51"/>
      <c r="H6" s="51">
        <f t="shared" si="1"/>
        <v>0</v>
      </c>
      <c r="I6" s="53">
        <f t="shared" si="0"/>
        <v>0</v>
      </c>
    </row>
    <row r="7" spans="1:11">
      <c r="A7" s="50" t="s">
        <v>226</v>
      </c>
      <c r="B7" s="51">
        <f>'202411'!AK44</f>
        <v>353249.28</v>
      </c>
      <c r="C7" s="51">
        <f>系统!W53</f>
        <v>353249.28</v>
      </c>
      <c r="D7" s="51"/>
      <c r="E7" s="51"/>
      <c r="F7" s="51">
        <f>B9</f>
        <v>591.62</v>
      </c>
      <c r="G7" s="51">
        <f>B8</f>
        <v>-4652.66</v>
      </c>
      <c r="H7" s="51">
        <f t="shared" si="1"/>
        <v>349188.24</v>
      </c>
      <c r="I7" s="53">
        <f t="shared" si="0"/>
        <v>0</v>
      </c>
    </row>
    <row r="8" spans="1:11">
      <c r="A8" s="50" t="s">
        <v>37</v>
      </c>
      <c r="B8" s="51">
        <f>'202411'!AX54</f>
        <v>-4652.66</v>
      </c>
      <c r="C8" s="51"/>
      <c r="D8" s="51"/>
      <c r="E8" s="51"/>
      <c r="F8" s="51"/>
      <c r="G8" s="51"/>
      <c r="H8" s="51">
        <f t="shared" si="1"/>
        <v>0</v>
      </c>
      <c r="I8" s="53">
        <f t="shared" si="0"/>
        <v>-4652.66</v>
      </c>
    </row>
    <row r="9" spans="1:11">
      <c r="A9" s="50" t="s">
        <v>227</v>
      </c>
      <c r="B9" s="51">
        <v>591.62</v>
      </c>
      <c r="C9" s="51"/>
      <c r="D9" s="51"/>
      <c r="E9" s="51"/>
      <c r="F9" s="51"/>
      <c r="G9" s="51"/>
      <c r="H9" s="51">
        <f t="shared" si="1"/>
        <v>0</v>
      </c>
      <c r="I9" s="53">
        <f t="shared" si="0"/>
        <v>591.62</v>
      </c>
    </row>
    <row r="10" spans="1:11">
      <c r="A10" s="50" t="s">
        <v>228</v>
      </c>
      <c r="B10" s="51"/>
      <c r="C10" s="51"/>
      <c r="D10" s="51"/>
      <c r="E10" s="51"/>
      <c r="F10" s="51"/>
      <c r="G10" s="51"/>
      <c r="H10" s="51">
        <f t="shared" si="1"/>
        <v>0</v>
      </c>
      <c r="I10" s="53">
        <f t="shared" si="0"/>
        <v>0</v>
      </c>
    </row>
    <row r="11" spans="1:11">
      <c r="A11" s="54" t="s">
        <v>229</v>
      </c>
      <c r="B11" s="55">
        <f t="shared" ref="B11:G11" si="2">SUM(B2:B10)</f>
        <v>564042.06</v>
      </c>
      <c r="C11" s="55">
        <f t="shared" si="2"/>
        <v>562431.89</v>
      </c>
      <c r="D11" s="55">
        <f t="shared" si="2"/>
        <v>5580.07</v>
      </c>
      <c r="E11" s="55">
        <f t="shared" si="2"/>
        <v>0</v>
      </c>
      <c r="F11" s="55">
        <f t="shared" si="2"/>
        <v>591.62</v>
      </c>
      <c r="G11" s="55">
        <f t="shared" si="2"/>
        <v>-4652.66</v>
      </c>
      <c r="H11" s="55">
        <f t="shared" si="1"/>
        <v>563950.92</v>
      </c>
    </row>
    <row r="12" spans="1:11">
      <c r="A12" s="50" t="s">
        <v>230</v>
      </c>
      <c r="B12" s="51"/>
      <c r="C12" s="51"/>
      <c r="D12" s="51">
        <v>0</v>
      </c>
      <c r="E12" s="51"/>
      <c r="F12" s="51"/>
      <c r="G12" s="51"/>
      <c r="H12" s="51"/>
    </row>
    <row r="13" spans="1:11">
      <c r="A13" s="50" t="s">
        <v>41</v>
      </c>
      <c r="B13" s="51"/>
      <c r="C13" s="51"/>
      <c r="D13" s="51">
        <f>ROUND((D11+D12)*6%,2)</f>
        <v>334.8</v>
      </c>
      <c r="E13" s="51">
        <f t="shared" ref="E13:G13" si="3">ROUND((E11+E12)*6%,2)</f>
        <v>0</v>
      </c>
      <c r="F13" s="51">
        <f t="shared" si="3"/>
        <v>35.5</v>
      </c>
      <c r="G13" s="51">
        <f t="shared" si="3"/>
        <v>-279.16</v>
      </c>
      <c r="H13" s="51">
        <f>SUM(C13:G13)</f>
        <v>91.14</v>
      </c>
      <c r="I13" s="53">
        <f>D2+F3+G3</f>
        <v>5580.07</v>
      </c>
    </row>
    <row r="14" spans="1:11">
      <c r="A14" s="56" t="s">
        <v>42</v>
      </c>
      <c r="B14" s="57">
        <f t="shared" ref="B14:G14" si="4">SUM(B11:B13)</f>
        <v>564042.06</v>
      </c>
      <c r="C14" s="57">
        <f t="shared" si="4"/>
        <v>562431.89</v>
      </c>
      <c r="D14" s="57">
        <f t="shared" si="4"/>
        <v>5914.87</v>
      </c>
      <c r="E14" s="57">
        <f t="shared" si="4"/>
        <v>0</v>
      </c>
      <c r="F14" s="57">
        <f t="shared" si="4"/>
        <v>627.12</v>
      </c>
      <c r="G14" s="57">
        <f t="shared" si="4"/>
        <v>-4931.82</v>
      </c>
      <c r="H14" s="57">
        <f>SUM(C14:G14)</f>
        <v>564042.06</v>
      </c>
    </row>
    <row r="15" spans="1:11">
      <c r="A15" s="56" t="s">
        <v>231</v>
      </c>
      <c r="B15" s="57"/>
      <c r="C15" s="57"/>
      <c r="D15" s="57"/>
      <c r="E15" s="57"/>
      <c r="F15" s="57"/>
      <c r="G15" s="57"/>
      <c r="H15" s="57">
        <f>B14</f>
        <v>564042.06</v>
      </c>
    </row>
    <row r="16" spans="1:11">
      <c r="A16" s="50" t="s">
        <v>221</v>
      </c>
      <c r="B16" s="51"/>
      <c r="C16" s="51"/>
      <c r="D16" s="51"/>
      <c r="E16" s="51"/>
      <c r="F16" s="51"/>
      <c r="G16" s="51"/>
      <c r="H16" s="51">
        <f>H15-H14</f>
        <v>0</v>
      </c>
      <c r="I16" s="53"/>
    </row>
    <row r="17" spans="1:10">
      <c r="A17" s="50" t="s">
        <v>232</v>
      </c>
      <c r="B17" s="51"/>
      <c r="C17" s="51"/>
      <c r="D17" s="51"/>
      <c r="E17" s="51"/>
      <c r="F17" s="51"/>
      <c r="G17" s="51"/>
      <c r="H17" s="51">
        <f>ROUND(H16/1.06,2)</f>
        <v>0</v>
      </c>
      <c r="I17" s="53"/>
    </row>
    <row r="19" spans="1:10">
      <c r="I19" s="53"/>
    </row>
    <row r="20" spans="1:10">
      <c r="J20" s="53"/>
    </row>
    <row r="22" spans="1:10">
      <c r="E22" s="53"/>
    </row>
    <row r="23" spans="1:10">
      <c r="E23" s="53">
        <f>D2+F7</f>
        <v>6171.69</v>
      </c>
    </row>
  </sheetData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01"/>
  <sheetViews>
    <sheetView topLeftCell="D25" workbookViewId="0">
      <selection activeCell="F11" sqref="F11"/>
    </sheetView>
  </sheetViews>
  <sheetFormatPr defaultColWidth="9" defaultRowHeight="14"/>
  <cols>
    <col min="1" max="4" width="8.88333333333333" style="9"/>
    <col min="5" max="24" width="8.88333333333333" style="10"/>
    <col min="25" max="25" width="10.2166666666667" style="10" customWidth="1"/>
    <col min="26" max="27" width="8.88333333333333" style="9"/>
    <col min="28" max="28" width="15.775" style="9" customWidth="1"/>
    <col min="29" max="29" width="8.88333333333333" style="10"/>
    <col min="30" max="30" width="8.88333333333333" style="9"/>
    <col min="31" max="31" width="8.88333333333333" style="10"/>
    <col min="32" max="16384" width="8.88333333333333" style="9"/>
  </cols>
  <sheetData>
    <row r="1" spans="1:31">
      <c r="A1" s="11" t="s">
        <v>233</v>
      </c>
    </row>
    <row r="2" spans="1:31">
      <c r="A2" s="11" t="s">
        <v>234</v>
      </c>
    </row>
    <row r="3" spans="1:31">
      <c r="B3" s="11" t="s">
        <v>235</v>
      </c>
    </row>
    <row r="6" ht="20" spans="1:31">
      <c r="D6" s="12" t="s">
        <v>236</v>
      </c>
    </row>
    <row r="7" ht="20" spans="1:31">
      <c r="C7" s="12" t="s">
        <v>237</v>
      </c>
    </row>
    <row r="9" ht="20" spans="1:31">
      <c r="E9" s="13" t="s">
        <v>238</v>
      </c>
    </row>
    <row r="10" ht="20" spans="1:31">
      <c r="E10" s="13" t="s">
        <v>239</v>
      </c>
    </row>
    <row r="11" ht="15.5" spans="1:31">
      <c r="E11" s="14" t="s">
        <v>240</v>
      </c>
    </row>
    <row r="13" s="1" customFormat="1" ht="13" spans="1:31">
      <c r="A13" s="15" t="s">
        <v>241</v>
      </c>
      <c r="E13" s="16"/>
      <c r="F13" s="16"/>
      <c r="G13" s="16"/>
      <c r="H13" s="16"/>
      <c r="I13" s="16"/>
      <c r="J13" s="17" t="s">
        <v>242</v>
      </c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AC13" s="16"/>
      <c r="AE13" s="16"/>
    </row>
    <row r="14" s="2" customFormat="1" ht="60" customHeight="1" spans="1:31">
      <c r="A14" s="2" t="s">
        <v>0</v>
      </c>
      <c r="B14" s="2" t="s">
        <v>3</v>
      </c>
      <c r="C14" s="2" t="s">
        <v>243</v>
      </c>
      <c r="D14" s="2" t="s">
        <v>244</v>
      </c>
      <c r="E14" s="18" t="s">
        <v>222</v>
      </c>
      <c r="F14" s="18" t="s">
        <v>245</v>
      </c>
      <c r="G14" s="18" t="s">
        <v>246</v>
      </c>
      <c r="H14" s="19" t="s">
        <v>247</v>
      </c>
      <c r="I14" s="20"/>
      <c r="J14" s="20"/>
      <c r="K14" s="20"/>
      <c r="L14" s="20"/>
      <c r="M14" s="21"/>
      <c r="N14" s="22" t="s">
        <v>248</v>
      </c>
      <c r="O14" s="18" t="s">
        <v>249</v>
      </c>
      <c r="P14" s="19" t="s">
        <v>250</v>
      </c>
      <c r="Q14" s="20"/>
      <c r="R14" s="20"/>
      <c r="S14" s="20"/>
      <c r="T14" s="21"/>
      <c r="U14" s="22" t="s">
        <v>251</v>
      </c>
      <c r="V14" s="18" t="s">
        <v>252</v>
      </c>
      <c r="W14" s="18" t="s">
        <v>253</v>
      </c>
      <c r="X14" s="18" t="s">
        <v>254</v>
      </c>
      <c r="Y14" s="23" t="s">
        <v>42</v>
      </c>
      <c r="Z14" s="2" t="s">
        <v>255</v>
      </c>
      <c r="AA14" s="2" t="s">
        <v>256</v>
      </c>
      <c r="AB14" s="2" t="s">
        <v>257</v>
      </c>
      <c r="AC14" s="18" t="s">
        <v>258</v>
      </c>
      <c r="AD14" s="2" t="s">
        <v>259</v>
      </c>
      <c r="AE14" s="18" t="s">
        <v>41</v>
      </c>
    </row>
    <row r="15" s="3" customFormat="1" ht="60" customHeight="1" spans="1:31">
      <c r="A15" s="3" t="s">
        <v>260</v>
      </c>
      <c r="B15" s="3" t="s">
        <v>46</v>
      </c>
      <c r="C15" s="3" t="s">
        <v>261</v>
      </c>
      <c r="D15" s="3" t="s">
        <v>262</v>
      </c>
      <c r="E15" s="24" t="s">
        <v>263</v>
      </c>
      <c r="F15" s="24" t="s">
        <v>264</v>
      </c>
      <c r="G15" s="24" t="s">
        <v>265</v>
      </c>
      <c r="H15" s="25" t="s">
        <v>266</v>
      </c>
      <c r="I15" s="25" t="s">
        <v>267</v>
      </c>
      <c r="J15" s="25" t="s">
        <v>268</v>
      </c>
      <c r="K15" s="25" t="s">
        <v>269</v>
      </c>
      <c r="L15" s="25" t="s">
        <v>270</v>
      </c>
      <c r="M15" s="25" t="s">
        <v>271</v>
      </c>
      <c r="N15" s="25" t="s">
        <v>272</v>
      </c>
      <c r="O15" s="24" t="s">
        <v>273</v>
      </c>
      <c r="P15" s="25" t="s">
        <v>266</v>
      </c>
      <c r="Q15" s="25" t="s">
        <v>267</v>
      </c>
      <c r="R15" s="25" t="s">
        <v>268</v>
      </c>
      <c r="S15" s="25" t="s">
        <v>269</v>
      </c>
      <c r="T15" s="25" t="s">
        <v>270</v>
      </c>
      <c r="U15" s="25" t="s">
        <v>272</v>
      </c>
      <c r="V15" s="24" t="s">
        <v>274</v>
      </c>
      <c r="W15" s="24" t="s">
        <v>275</v>
      </c>
      <c r="X15" s="24" t="s">
        <v>276</v>
      </c>
      <c r="Y15" s="26" t="s">
        <v>92</v>
      </c>
      <c r="Z15" s="3" t="s">
        <v>277</v>
      </c>
      <c r="AA15" s="3" t="s">
        <v>278</v>
      </c>
      <c r="AB15" s="3" t="s">
        <v>279</v>
      </c>
      <c r="AC15" s="24" t="s">
        <v>280</v>
      </c>
      <c r="AD15" s="3" t="s">
        <v>281</v>
      </c>
      <c r="AE15" s="24" t="s">
        <v>93</v>
      </c>
    </row>
    <row r="16" s="4" customFormat="1" ht="11.5" spans="1:31">
      <c r="A16" s="4">
        <v>1</v>
      </c>
      <c r="B16" s="4" t="s">
        <v>107</v>
      </c>
      <c r="C16" s="4" t="s">
        <v>282</v>
      </c>
      <c r="D16" s="4" t="s">
        <v>283</v>
      </c>
      <c r="E16" s="27">
        <v>1046.19</v>
      </c>
      <c r="F16" s="27">
        <v>11367</v>
      </c>
      <c r="G16" s="27">
        <v>11367</v>
      </c>
      <c r="H16" s="27">
        <v>1818.72</v>
      </c>
      <c r="I16" s="27">
        <v>1023.04</v>
      </c>
      <c r="J16" s="27">
        <v>56.84</v>
      </c>
      <c r="K16" s="27">
        <v>29.1</v>
      </c>
      <c r="L16" s="27"/>
      <c r="M16" s="27">
        <v>170.51</v>
      </c>
      <c r="N16" s="27">
        <v>796</v>
      </c>
      <c r="O16" s="27">
        <f t="shared" ref="O16:O52" si="0">SUM(H16:N16)</f>
        <v>3894.21</v>
      </c>
      <c r="P16" s="27">
        <v>909.36</v>
      </c>
      <c r="Q16" s="27">
        <v>227.34</v>
      </c>
      <c r="R16" s="27">
        <v>56.84</v>
      </c>
      <c r="S16" s="27"/>
      <c r="T16" s="27"/>
      <c r="U16" s="27">
        <v>796</v>
      </c>
      <c r="V16" s="27">
        <f t="shared" ref="V16:V52" si="1">SUM(P16:U16)</f>
        <v>1989.54</v>
      </c>
      <c r="W16" s="27">
        <v>9785.96</v>
      </c>
      <c r="X16" s="27"/>
      <c r="Y16" s="28">
        <f t="shared" ref="Y16:Y52" si="2">SUM(E16,O16,V16:X16)</f>
        <v>16715.9</v>
      </c>
      <c r="AA16" s="4" t="s">
        <v>284</v>
      </c>
      <c r="AB16" s="4" t="s">
        <v>108</v>
      </c>
      <c r="AC16" s="29">
        <v>15769.72</v>
      </c>
      <c r="AD16" s="4" t="s">
        <v>285</v>
      </c>
      <c r="AE16" s="29">
        <v>946.18</v>
      </c>
    </row>
    <row r="17" s="4" customFormat="1" ht="11.5" spans="1:31">
      <c r="A17" s="4">
        <v>2</v>
      </c>
      <c r="B17" s="4" t="s">
        <v>181</v>
      </c>
      <c r="C17" s="4" t="s">
        <v>282</v>
      </c>
      <c r="D17" s="4" t="s">
        <v>283</v>
      </c>
      <c r="E17" s="27">
        <v>560.07</v>
      </c>
      <c r="F17" s="27">
        <v>7384</v>
      </c>
      <c r="G17" s="27">
        <v>5131</v>
      </c>
      <c r="H17" s="27">
        <v>1181.44</v>
      </c>
      <c r="I17" s="27">
        <v>664.56</v>
      </c>
      <c r="J17" s="27">
        <v>36.92</v>
      </c>
      <c r="K17" s="27">
        <v>18.9</v>
      </c>
      <c r="L17" s="27"/>
      <c r="M17" s="27">
        <v>110.76</v>
      </c>
      <c r="N17" s="27">
        <v>359</v>
      </c>
      <c r="O17" s="27">
        <f t="shared" si="0"/>
        <v>2371.58</v>
      </c>
      <c r="P17" s="27">
        <v>590.72</v>
      </c>
      <c r="Q17" s="27">
        <v>147.68</v>
      </c>
      <c r="R17" s="27">
        <v>36.92</v>
      </c>
      <c r="S17" s="27"/>
      <c r="T17" s="27"/>
      <c r="U17" s="27">
        <v>359</v>
      </c>
      <c r="V17" s="27">
        <f t="shared" si="1"/>
        <v>1134.32</v>
      </c>
      <c r="W17" s="27">
        <v>4062</v>
      </c>
      <c r="X17" s="27"/>
      <c r="Y17" s="28">
        <f t="shared" si="2"/>
        <v>8127.97</v>
      </c>
      <c r="AA17" s="4" t="s">
        <v>286</v>
      </c>
      <c r="AB17" s="4" t="s">
        <v>182</v>
      </c>
      <c r="AC17" s="29">
        <v>7667.89</v>
      </c>
      <c r="AD17" s="4" t="s">
        <v>285</v>
      </c>
      <c r="AE17" s="29">
        <v>460.08</v>
      </c>
    </row>
    <row r="18" s="4" customFormat="1" ht="11.5" spans="1:31">
      <c r="A18" s="4">
        <v>3</v>
      </c>
      <c r="B18" s="4" t="s">
        <v>113</v>
      </c>
      <c r="C18" s="4" t="s">
        <v>282</v>
      </c>
      <c r="D18" s="4" t="s">
        <v>283</v>
      </c>
      <c r="E18" s="27">
        <v>687.6</v>
      </c>
      <c r="F18" s="27">
        <v>7963</v>
      </c>
      <c r="G18" s="27">
        <v>7963</v>
      </c>
      <c r="H18" s="27">
        <v>1274.08</v>
      </c>
      <c r="I18" s="27">
        <v>716.68</v>
      </c>
      <c r="J18" s="27">
        <v>39.82</v>
      </c>
      <c r="K18" s="27">
        <v>20.39</v>
      </c>
      <c r="L18" s="27"/>
      <c r="M18" s="27">
        <v>119.45</v>
      </c>
      <c r="N18" s="27">
        <v>557</v>
      </c>
      <c r="O18" s="27">
        <f t="shared" si="0"/>
        <v>2727.42</v>
      </c>
      <c r="P18" s="27">
        <v>637.04</v>
      </c>
      <c r="Q18" s="27">
        <v>159.26</v>
      </c>
      <c r="R18" s="27">
        <v>39.82</v>
      </c>
      <c r="S18" s="27"/>
      <c r="T18" s="27"/>
      <c r="U18" s="27">
        <v>557</v>
      </c>
      <c r="V18" s="27">
        <f t="shared" si="1"/>
        <v>1393.12</v>
      </c>
      <c r="W18" s="27">
        <v>5572.88</v>
      </c>
      <c r="X18" s="27"/>
      <c r="Y18" s="28">
        <f t="shared" si="2"/>
        <v>10381.02</v>
      </c>
      <c r="AA18" s="4" t="s">
        <v>287</v>
      </c>
      <c r="AB18" s="4" t="s">
        <v>114</v>
      </c>
      <c r="AC18" s="29">
        <v>9793.42</v>
      </c>
      <c r="AD18" s="4" t="s">
        <v>285</v>
      </c>
      <c r="AE18" s="29">
        <v>587.6</v>
      </c>
    </row>
    <row r="19" s="4" customFormat="1" ht="11.5" spans="1:31">
      <c r="A19" s="4">
        <v>4</v>
      </c>
      <c r="B19" s="4" t="s">
        <v>205</v>
      </c>
      <c r="C19" s="4" t="s">
        <v>282</v>
      </c>
      <c r="D19" s="4" t="s">
        <v>283</v>
      </c>
      <c r="E19" s="27">
        <v>1245.14</v>
      </c>
      <c r="F19" s="27">
        <v>13189</v>
      </c>
      <c r="G19" s="27">
        <v>13189</v>
      </c>
      <c r="H19" s="27">
        <v>2110.24</v>
      </c>
      <c r="I19" s="27">
        <v>1187.02</v>
      </c>
      <c r="J19" s="27">
        <v>65.95</v>
      </c>
      <c r="K19" s="27">
        <v>33.76</v>
      </c>
      <c r="L19" s="27"/>
      <c r="M19" s="27">
        <v>197.84</v>
      </c>
      <c r="N19" s="27">
        <v>923</v>
      </c>
      <c r="O19" s="27">
        <f t="shared" si="0"/>
        <v>4517.81</v>
      </c>
      <c r="P19" s="27">
        <v>1055.12</v>
      </c>
      <c r="Q19" s="27">
        <v>263.78</v>
      </c>
      <c r="R19" s="27">
        <v>65.95</v>
      </c>
      <c r="S19" s="27"/>
      <c r="T19" s="27"/>
      <c r="U19" s="27">
        <v>923</v>
      </c>
      <c r="V19" s="27">
        <f t="shared" si="1"/>
        <v>2307.85</v>
      </c>
      <c r="W19" s="27">
        <v>12160.05</v>
      </c>
      <c r="X19" s="27"/>
      <c r="Y19" s="28">
        <f t="shared" si="2"/>
        <v>20230.85</v>
      </c>
      <c r="AA19" s="4" t="s">
        <v>288</v>
      </c>
      <c r="AB19" s="4" t="s">
        <v>206</v>
      </c>
      <c r="AC19" s="29">
        <v>19085.7</v>
      </c>
      <c r="AD19" s="4" t="s">
        <v>285</v>
      </c>
      <c r="AE19" s="29">
        <v>1145.15</v>
      </c>
    </row>
    <row r="20" s="4" customFormat="1" ht="11.5" spans="1:31">
      <c r="A20" s="4">
        <v>5</v>
      </c>
      <c r="B20" s="4" t="s">
        <v>101</v>
      </c>
      <c r="C20" s="4" t="s">
        <v>282</v>
      </c>
      <c r="D20" s="4" t="s">
        <v>283</v>
      </c>
      <c r="E20" s="27">
        <v>1045.12</v>
      </c>
      <c r="F20" s="27">
        <v>10363</v>
      </c>
      <c r="G20" s="27">
        <v>10363</v>
      </c>
      <c r="H20" s="27">
        <v>1658.08</v>
      </c>
      <c r="I20" s="27">
        <v>932.68</v>
      </c>
      <c r="J20" s="27">
        <v>51.82</v>
      </c>
      <c r="K20" s="27">
        <v>26.53</v>
      </c>
      <c r="L20" s="27"/>
      <c r="M20" s="27">
        <v>155.45</v>
      </c>
      <c r="N20" s="27">
        <v>725</v>
      </c>
      <c r="O20" s="27">
        <f t="shared" si="0"/>
        <v>3549.56</v>
      </c>
      <c r="P20" s="27">
        <v>829.04</v>
      </c>
      <c r="Q20" s="27">
        <v>207.26</v>
      </c>
      <c r="R20" s="27">
        <v>51.82</v>
      </c>
      <c r="S20" s="27"/>
      <c r="T20" s="27"/>
      <c r="U20" s="27">
        <v>725</v>
      </c>
      <c r="V20" s="27">
        <f t="shared" si="1"/>
        <v>1813.12</v>
      </c>
      <c r="W20" s="27">
        <v>10289.28</v>
      </c>
      <c r="X20" s="27"/>
      <c r="Y20" s="28">
        <f t="shared" si="2"/>
        <v>16697.08</v>
      </c>
      <c r="AA20" s="4" t="s">
        <v>289</v>
      </c>
      <c r="AB20" s="4" t="s">
        <v>102</v>
      </c>
      <c r="AC20" s="29">
        <v>15751.96</v>
      </c>
      <c r="AD20" s="4" t="s">
        <v>285</v>
      </c>
      <c r="AE20" s="29">
        <v>945.12</v>
      </c>
    </row>
    <row r="21" s="4" customFormat="1" ht="11.5" spans="1:31">
      <c r="A21" s="4">
        <v>6</v>
      </c>
      <c r="B21" s="4" t="s">
        <v>193</v>
      </c>
      <c r="C21" s="4" t="s">
        <v>282</v>
      </c>
      <c r="D21" s="4" t="s">
        <v>283</v>
      </c>
      <c r="E21" s="27">
        <v>711.97</v>
      </c>
      <c r="F21" s="27">
        <v>7384</v>
      </c>
      <c r="G21" s="27">
        <v>7287</v>
      </c>
      <c r="H21" s="27">
        <v>1181.44</v>
      </c>
      <c r="I21" s="27">
        <v>664.56</v>
      </c>
      <c r="J21" s="27">
        <v>36.92</v>
      </c>
      <c r="K21" s="27">
        <v>18.9</v>
      </c>
      <c r="L21" s="27"/>
      <c r="M21" s="27">
        <v>110.76</v>
      </c>
      <c r="N21" s="27">
        <v>510</v>
      </c>
      <c r="O21" s="27">
        <f t="shared" si="0"/>
        <v>2522.58</v>
      </c>
      <c r="P21" s="27">
        <v>590.72</v>
      </c>
      <c r="Q21" s="27">
        <v>147.68</v>
      </c>
      <c r="R21" s="27">
        <v>36.92</v>
      </c>
      <c r="S21" s="27"/>
      <c r="T21" s="27"/>
      <c r="U21" s="27">
        <v>510</v>
      </c>
      <c r="V21" s="27">
        <f t="shared" si="1"/>
        <v>1285.32</v>
      </c>
      <c r="W21" s="27">
        <v>6291.68</v>
      </c>
      <c r="X21" s="27"/>
      <c r="Y21" s="28">
        <f t="shared" si="2"/>
        <v>10811.55</v>
      </c>
      <c r="AA21" s="4" t="s">
        <v>290</v>
      </c>
      <c r="AB21" s="4" t="s">
        <v>194</v>
      </c>
      <c r="AC21" s="29">
        <v>10199.57</v>
      </c>
      <c r="AD21" s="4" t="s">
        <v>285</v>
      </c>
      <c r="AE21" s="29">
        <v>611.98</v>
      </c>
    </row>
    <row r="22" s="4" customFormat="1" ht="11.5" spans="1:31">
      <c r="A22" s="4">
        <v>7</v>
      </c>
      <c r="B22" s="4" t="s">
        <v>155</v>
      </c>
      <c r="C22" s="4" t="s">
        <v>282</v>
      </c>
      <c r="D22" s="4" t="s">
        <v>283</v>
      </c>
      <c r="E22" s="27">
        <v>862.26</v>
      </c>
      <c r="F22" s="27">
        <v>10038</v>
      </c>
      <c r="G22" s="27">
        <v>10038</v>
      </c>
      <c r="H22" s="27">
        <v>1606.08</v>
      </c>
      <c r="I22" s="27">
        <v>903.42</v>
      </c>
      <c r="J22" s="27">
        <v>50.19</v>
      </c>
      <c r="K22" s="27">
        <v>25.7</v>
      </c>
      <c r="L22" s="27"/>
      <c r="M22" s="27">
        <v>150.57</v>
      </c>
      <c r="N22" s="27">
        <v>703</v>
      </c>
      <c r="O22" s="27">
        <f t="shared" si="0"/>
        <v>3438.96</v>
      </c>
      <c r="P22" s="27">
        <v>803.04</v>
      </c>
      <c r="Q22" s="27">
        <v>200.76</v>
      </c>
      <c r="R22" s="27">
        <v>50.19</v>
      </c>
      <c r="S22" s="27"/>
      <c r="T22" s="27"/>
      <c r="U22" s="27">
        <v>703</v>
      </c>
      <c r="V22" s="27">
        <f t="shared" si="1"/>
        <v>1756.99</v>
      </c>
      <c r="W22" s="27">
        <v>7408.26</v>
      </c>
      <c r="X22" s="27"/>
      <c r="Y22" s="28">
        <f t="shared" si="2"/>
        <v>13466.47</v>
      </c>
      <c r="AA22" s="4" t="s">
        <v>291</v>
      </c>
      <c r="AB22" s="4" t="s">
        <v>156</v>
      </c>
      <c r="AC22" s="29">
        <v>12704.22</v>
      </c>
      <c r="AD22" s="4" t="s">
        <v>285</v>
      </c>
      <c r="AE22" s="29">
        <v>762.25</v>
      </c>
    </row>
    <row r="23" s="4" customFormat="1" ht="11.5" spans="1:31">
      <c r="A23" s="4">
        <v>8</v>
      </c>
      <c r="B23" s="4" t="s">
        <v>119</v>
      </c>
      <c r="C23" s="4" t="s">
        <v>282</v>
      </c>
      <c r="D23" s="4" t="s">
        <v>283</v>
      </c>
      <c r="E23" s="27">
        <v>600.88</v>
      </c>
      <c r="F23" s="27">
        <v>7546</v>
      </c>
      <c r="G23" s="27">
        <v>7546</v>
      </c>
      <c r="H23" s="27">
        <v>1207.36</v>
      </c>
      <c r="I23" s="27">
        <v>679.14</v>
      </c>
      <c r="J23" s="27">
        <v>37.73</v>
      </c>
      <c r="K23" s="27">
        <v>19.32</v>
      </c>
      <c r="L23" s="27"/>
      <c r="M23" s="27">
        <v>113.19</v>
      </c>
      <c r="N23" s="27">
        <v>528</v>
      </c>
      <c r="O23" s="27">
        <f t="shared" si="0"/>
        <v>2584.74</v>
      </c>
      <c r="P23" s="27">
        <v>603.68</v>
      </c>
      <c r="Q23" s="27">
        <v>150.92</v>
      </c>
      <c r="R23" s="27">
        <v>37.73</v>
      </c>
      <c r="S23" s="27"/>
      <c r="T23" s="27"/>
      <c r="U23" s="27">
        <v>528</v>
      </c>
      <c r="V23" s="27">
        <f t="shared" si="1"/>
        <v>1320.33</v>
      </c>
      <c r="W23" s="27">
        <v>4342.97</v>
      </c>
      <c r="X23" s="27"/>
      <c r="Y23" s="28">
        <f t="shared" si="2"/>
        <v>8848.92</v>
      </c>
      <c r="AA23" s="4" t="s">
        <v>292</v>
      </c>
      <c r="AB23" s="4" t="s">
        <v>120</v>
      </c>
      <c r="AC23" s="29">
        <v>8348.04</v>
      </c>
      <c r="AD23" s="4" t="s">
        <v>285</v>
      </c>
      <c r="AE23" s="29">
        <v>500.88</v>
      </c>
    </row>
    <row r="24" s="4" customFormat="1" ht="11.5" spans="1:31">
      <c r="A24" s="4">
        <v>9</v>
      </c>
      <c r="B24" s="4" t="s">
        <v>178</v>
      </c>
      <c r="C24" s="4" t="s">
        <v>282</v>
      </c>
      <c r="D24" s="4" t="s">
        <v>283</v>
      </c>
      <c r="E24" s="27">
        <v>1440.74</v>
      </c>
      <c r="F24" s="27">
        <v>7384</v>
      </c>
      <c r="G24" s="27">
        <v>6844</v>
      </c>
      <c r="H24" s="27">
        <v>1181.44</v>
      </c>
      <c r="I24" s="27">
        <v>664.56</v>
      </c>
      <c r="J24" s="27">
        <v>36.92</v>
      </c>
      <c r="K24" s="27">
        <v>18.9</v>
      </c>
      <c r="L24" s="27"/>
      <c r="M24" s="27">
        <v>110.76</v>
      </c>
      <c r="N24" s="27">
        <v>479</v>
      </c>
      <c r="O24" s="27">
        <f t="shared" si="0"/>
        <v>2491.58</v>
      </c>
      <c r="P24" s="27">
        <v>590.72</v>
      </c>
      <c r="Q24" s="27">
        <v>147.68</v>
      </c>
      <c r="R24" s="27">
        <v>36.92</v>
      </c>
      <c r="S24" s="27"/>
      <c r="T24" s="27"/>
      <c r="U24" s="27">
        <v>479</v>
      </c>
      <c r="V24" s="27">
        <f t="shared" si="1"/>
        <v>1254.32</v>
      </c>
      <c r="W24" s="27">
        <v>18499.78</v>
      </c>
      <c r="X24" s="27"/>
      <c r="Y24" s="28">
        <f t="shared" si="2"/>
        <v>23686.42</v>
      </c>
      <c r="AA24" s="4" t="s">
        <v>293</v>
      </c>
      <c r="AB24" s="4" t="s">
        <v>179</v>
      </c>
      <c r="AC24" s="29">
        <v>22345.67</v>
      </c>
      <c r="AD24" s="4" t="s">
        <v>285</v>
      </c>
      <c r="AE24" s="29">
        <v>1340.75</v>
      </c>
    </row>
    <row r="25" s="4" customFormat="1" ht="11.5" spans="1:31">
      <c r="A25" s="4">
        <v>10</v>
      </c>
      <c r="B25" s="4" t="s">
        <v>122</v>
      </c>
      <c r="C25" s="4" t="s">
        <v>282</v>
      </c>
      <c r="D25" s="4" t="s">
        <v>283</v>
      </c>
      <c r="E25" s="27">
        <v>815.39</v>
      </c>
      <c r="F25" s="27">
        <v>7594</v>
      </c>
      <c r="G25" s="27">
        <v>7594</v>
      </c>
      <c r="H25" s="27">
        <v>1215.04</v>
      </c>
      <c r="I25" s="27">
        <v>683.46</v>
      </c>
      <c r="J25" s="27">
        <v>37.97</v>
      </c>
      <c r="K25" s="27">
        <v>19.44</v>
      </c>
      <c r="L25" s="27"/>
      <c r="M25" s="27">
        <v>113.91</v>
      </c>
      <c r="N25" s="27">
        <v>532</v>
      </c>
      <c r="O25" s="27">
        <f t="shared" si="0"/>
        <v>2601.82</v>
      </c>
      <c r="P25" s="27">
        <v>607.52</v>
      </c>
      <c r="Q25" s="27">
        <v>151.88</v>
      </c>
      <c r="R25" s="27">
        <v>37.97</v>
      </c>
      <c r="S25" s="27"/>
      <c r="T25" s="27"/>
      <c r="U25" s="27">
        <v>532</v>
      </c>
      <c r="V25" s="27">
        <f t="shared" si="1"/>
        <v>1329.37</v>
      </c>
      <c r="W25" s="27">
        <v>7891.93</v>
      </c>
      <c r="X25" s="27"/>
      <c r="Y25" s="28">
        <f t="shared" si="2"/>
        <v>12638.51</v>
      </c>
      <c r="AA25" s="4" t="s">
        <v>294</v>
      </c>
      <c r="AB25" s="4" t="s">
        <v>123</v>
      </c>
      <c r="AC25" s="29">
        <v>11923.12</v>
      </c>
      <c r="AD25" s="4" t="s">
        <v>285</v>
      </c>
      <c r="AE25" s="29">
        <v>715.39</v>
      </c>
    </row>
    <row r="26" s="4" customFormat="1" ht="11.5" spans="1:31">
      <c r="A26" s="4">
        <v>11</v>
      </c>
      <c r="B26" s="4" t="s">
        <v>143</v>
      </c>
      <c r="C26" s="4" t="s">
        <v>282</v>
      </c>
      <c r="D26" s="4" t="s">
        <v>295</v>
      </c>
      <c r="E26" s="27">
        <v>1009.23</v>
      </c>
      <c r="F26" s="27">
        <v>7788</v>
      </c>
      <c r="G26" s="27">
        <v>7788</v>
      </c>
      <c r="H26" s="27">
        <v>1246.08</v>
      </c>
      <c r="I26" s="27">
        <v>700.92</v>
      </c>
      <c r="J26" s="27">
        <v>38.94</v>
      </c>
      <c r="K26" s="27">
        <v>19.94</v>
      </c>
      <c r="L26" s="27"/>
      <c r="M26" s="27">
        <v>116.82</v>
      </c>
      <c r="N26" s="27">
        <v>545</v>
      </c>
      <c r="O26" s="27">
        <f t="shared" si="0"/>
        <v>2667.7</v>
      </c>
      <c r="P26" s="27">
        <v>623.04</v>
      </c>
      <c r="Q26" s="27">
        <v>155.76</v>
      </c>
      <c r="R26" s="27">
        <v>38.94</v>
      </c>
      <c r="S26" s="27"/>
      <c r="T26" s="27"/>
      <c r="U26" s="27">
        <v>545</v>
      </c>
      <c r="V26" s="27">
        <f t="shared" si="1"/>
        <v>1362.74</v>
      </c>
      <c r="W26" s="27">
        <v>11023.36</v>
      </c>
      <c r="X26" s="27"/>
      <c r="Y26" s="28">
        <f t="shared" si="2"/>
        <v>16063.03</v>
      </c>
      <c r="AA26" s="4" t="s">
        <v>296</v>
      </c>
      <c r="AB26" s="4" t="s">
        <v>144</v>
      </c>
      <c r="AC26" s="29">
        <v>15153.79</v>
      </c>
      <c r="AD26" s="4" t="s">
        <v>285</v>
      </c>
      <c r="AE26" s="29">
        <v>909.24</v>
      </c>
    </row>
    <row r="27" s="4" customFormat="1" ht="11.5" spans="1:31">
      <c r="A27" s="4">
        <v>12</v>
      </c>
      <c r="B27" s="4" t="s">
        <v>125</v>
      </c>
      <c r="C27" s="4" t="s">
        <v>282</v>
      </c>
      <c r="D27" s="4" t="s">
        <v>283</v>
      </c>
      <c r="E27" s="27">
        <v>1283.31</v>
      </c>
      <c r="F27" s="27">
        <v>11264</v>
      </c>
      <c r="G27" s="27">
        <v>11264</v>
      </c>
      <c r="H27" s="27">
        <v>1802.24</v>
      </c>
      <c r="I27" s="27">
        <v>1013.76</v>
      </c>
      <c r="J27" s="27">
        <v>56.32</v>
      </c>
      <c r="K27" s="27">
        <v>28.84</v>
      </c>
      <c r="L27" s="27"/>
      <c r="M27" s="27">
        <v>168.96</v>
      </c>
      <c r="N27" s="27">
        <v>788</v>
      </c>
      <c r="O27" s="27">
        <f t="shared" si="0"/>
        <v>3858.12</v>
      </c>
      <c r="P27" s="27">
        <v>901.12</v>
      </c>
      <c r="Q27" s="27">
        <v>225.28</v>
      </c>
      <c r="R27" s="27">
        <v>56.32</v>
      </c>
      <c r="S27" s="27"/>
      <c r="T27" s="27"/>
      <c r="U27" s="27">
        <v>788</v>
      </c>
      <c r="V27" s="27">
        <f t="shared" si="1"/>
        <v>1970.72</v>
      </c>
      <c r="W27" s="27">
        <v>13793.08</v>
      </c>
      <c r="X27" s="27"/>
      <c r="Y27" s="28">
        <f t="shared" si="2"/>
        <v>20905.23</v>
      </c>
      <c r="AA27" s="4" t="s">
        <v>297</v>
      </c>
      <c r="AB27" s="4" t="s">
        <v>126</v>
      </c>
      <c r="AC27" s="29">
        <v>19721.91</v>
      </c>
      <c r="AD27" s="4" t="s">
        <v>285</v>
      </c>
      <c r="AE27" s="29">
        <v>1183.32</v>
      </c>
    </row>
    <row r="28" s="4" customFormat="1" ht="11.5" spans="1:31">
      <c r="A28" s="4">
        <v>13</v>
      </c>
      <c r="B28" s="4" t="s">
        <v>104</v>
      </c>
      <c r="C28" s="4" t="s">
        <v>282</v>
      </c>
      <c r="D28" s="4" t="s">
        <v>283</v>
      </c>
      <c r="E28" s="27">
        <v>1228.96</v>
      </c>
      <c r="F28" s="27">
        <v>11829</v>
      </c>
      <c r="G28" s="27">
        <v>11829</v>
      </c>
      <c r="H28" s="27">
        <v>1892.64</v>
      </c>
      <c r="I28" s="27">
        <v>1064.62</v>
      </c>
      <c r="J28" s="27">
        <v>59.15</v>
      </c>
      <c r="K28" s="27">
        <v>30.28</v>
      </c>
      <c r="L28" s="27"/>
      <c r="M28" s="27">
        <v>177.44</v>
      </c>
      <c r="N28" s="27">
        <v>828</v>
      </c>
      <c r="O28" s="27">
        <f t="shared" si="0"/>
        <v>4052.13</v>
      </c>
      <c r="P28" s="27">
        <v>946.32</v>
      </c>
      <c r="Q28" s="27">
        <v>236.58</v>
      </c>
      <c r="R28" s="27">
        <v>59.15</v>
      </c>
      <c r="S28" s="27"/>
      <c r="T28" s="27"/>
      <c r="U28" s="27">
        <v>828</v>
      </c>
      <c r="V28" s="27">
        <f t="shared" si="1"/>
        <v>2070.05</v>
      </c>
      <c r="W28" s="27">
        <v>12593.75</v>
      </c>
      <c r="X28" s="27"/>
      <c r="Y28" s="28">
        <f t="shared" si="2"/>
        <v>19944.89</v>
      </c>
      <c r="AA28" s="4" t="s">
        <v>298</v>
      </c>
      <c r="AB28" s="4" t="s">
        <v>105</v>
      </c>
      <c r="AC28" s="29">
        <v>18815.92</v>
      </c>
      <c r="AD28" s="4" t="s">
        <v>285</v>
      </c>
      <c r="AE28" s="29">
        <v>1128.97</v>
      </c>
    </row>
    <row r="29" s="4" customFormat="1" ht="11.5" spans="1:31">
      <c r="A29" s="4">
        <v>14</v>
      </c>
      <c r="B29" s="4" t="s">
        <v>116</v>
      </c>
      <c r="C29" s="4" t="s">
        <v>282</v>
      </c>
      <c r="D29" s="4" t="s">
        <v>283</v>
      </c>
      <c r="E29" s="27">
        <v>1144.83</v>
      </c>
      <c r="F29" s="27">
        <v>11386</v>
      </c>
      <c r="G29" s="27">
        <v>11386</v>
      </c>
      <c r="H29" s="27">
        <v>1821.76</v>
      </c>
      <c r="I29" s="27">
        <v>1024.74</v>
      </c>
      <c r="J29" s="27">
        <v>56.93</v>
      </c>
      <c r="K29" s="27">
        <v>29.15</v>
      </c>
      <c r="L29" s="27"/>
      <c r="M29" s="27">
        <v>170.79</v>
      </c>
      <c r="N29" s="27">
        <v>797</v>
      </c>
      <c r="O29" s="27">
        <f t="shared" si="0"/>
        <v>3900.37</v>
      </c>
      <c r="P29" s="27">
        <v>910.88</v>
      </c>
      <c r="Q29" s="27">
        <v>227.72</v>
      </c>
      <c r="R29" s="27">
        <v>56.93</v>
      </c>
      <c r="S29" s="27"/>
      <c r="T29" s="27"/>
      <c r="U29" s="27">
        <v>797</v>
      </c>
      <c r="V29" s="27">
        <f t="shared" si="1"/>
        <v>1992.53</v>
      </c>
      <c r="W29" s="27">
        <v>11421.07</v>
      </c>
      <c r="X29" s="27"/>
      <c r="Y29" s="28">
        <f t="shared" si="2"/>
        <v>18458.8</v>
      </c>
      <c r="AA29" s="4" t="s">
        <v>299</v>
      </c>
      <c r="AB29" s="4" t="s">
        <v>117</v>
      </c>
      <c r="AC29" s="29">
        <v>17413.96</v>
      </c>
      <c r="AD29" s="4" t="s">
        <v>285</v>
      </c>
      <c r="AE29" s="29">
        <v>1044.84</v>
      </c>
    </row>
    <row r="30" s="4" customFormat="1" ht="11.5" spans="1:31">
      <c r="A30" s="4">
        <v>15</v>
      </c>
      <c r="B30" s="4" t="s">
        <v>149</v>
      </c>
      <c r="C30" s="4" t="s">
        <v>282</v>
      </c>
      <c r="D30" s="4" t="s">
        <v>283</v>
      </c>
      <c r="E30" s="27">
        <v>899.16</v>
      </c>
      <c r="F30" s="27">
        <v>7661</v>
      </c>
      <c r="G30" s="27">
        <v>7661</v>
      </c>
      <c r="H30" s="27">
        <v>1225.76</v>
      </c>
      <c r="I30" s="27">
        <v>689.5</v>
      </c>
      <c r="J30" s="27">
        <v>38.31</v>
      </c>
      <c r="K30" s="27">
        <v>19.61</v>
      </c>
      <c r="L30" s="27"/>
      <c r="M30" s="27">
        <v>114.92</v>
      </c>
      <c r="N30" s="27">
        <v>536</v>
      </c>
      <c r="O30" s="27">
        <f t="shared" si="0"/>
        <v>2624.1</v>
      </c>
      <c r="P30" s="27">
        <v>612.88</v>
      </c>
      <c r="Q30" s="27">
        <v>153.22</v>
      </c>
      <c r="R30" s="27">
        <v>38.31</v>
      </c>
      <c r="S30" s="27"/>
      <c r="T30" s="27"/>
      <c r="U30" s="27">
        <v>536</v>
      </c>
      <c r="V30" s="27">
        <f t="shared" si="1"/>
        <v>1340.41</v>
      </c>
      <c r="W30" s="27">
        <v>9254.89</v>
      </c>
      <c r="X30" s="27"/>
      <c r="Y30" s="28">
        <f t="shared" si="2"/>
        <v>14118.56</v>
      </c>
      <c r="AA30" s="4" t="s">
        <v>300</v>
      </c>
      <c r="AB30" s="4" t="s">
        <v>150</v>
      </c>
      <c r="AC30" s="29">
        <v>13319.39</v>
      </c>
      <c r="AD30" s="4" t="s">
        <v>285</v>
      </c>
      <c r="AE30" s="29">
        <v>799.17</v>
      </c>
    </row>
    <row r="31" s="4" customFormat="1" ht="11.5" spans="1:31">
      <c r="A31" s="4">
        <v>16</v>
      </c>
      <c r="B31" s="4" t="s">
        <v>158</v>
      </c>
      <c r="C31" s="4" t="s">
        <v>282</v>
      </c>
      <c r="D31" s="4" t="s">
        <v>283</v>
      </c>
      <c r="E31" s="27">
        <v>802.47</v>
      </c>
      <c r="F31" s="27">
        <v>7384</v>
      </c>
      <c r="G31" s="27">
        <v>7375</v>
      </c>
      <c r="H31" s="27">
        <v>1181.44</v>
      </c>
      <c r="I31" s="27">
        <v>664.56</v>
      </c>
      <c r="J31" s="27">
        <v>36.92</v>
      </c>
      <c r="K31" s="27">
        <v>18.9</v>
      </c>
      <c r="L31" s="27"/>
      <c r="M31" s="27">
        <v>110.76</v>
      </c>
      <c r="N31" s="27">
        <v>516</v>
      </c>
      <c r="O31" s="27">
        <f t="shared" si="0"/>
        <v>2528.58</v>
      </c>
      <c r="P31" s="27">
        <v>590.72</v>
      </c>
      <c r="Q31" s="27">
        <v>147.68</v>
      </c>
      <c r="R31" s="27">
        <v>36.92</v>
      </c>
      <c r="S31" s="27"/>
      <c r="T31" s="27"/>
      <c r="U31" s="27">
        <v>516</v>
      </c>
      <c r="V31" s="27">
        <f t="shared" si="1"/>
        <v>1291.32</v>
      </c>
      <c r="W31" s="27">
        <v>7788.03</v>
      </c>
      <c r="X31" s="27"/>
      <c r="Y31" s="28">
        <f t="shared" si="2"/>
        <v>12410.4</v>
      </c>
      <c r="AA31" s="4" t="s">
        <v>301</v>
      </c>
      <c r="AB31" s="4" t="s">
        <v>159</v>
      </c>
      <c r="AC31" s="29">
        <v>11707.92</v>
      </c>
      <c r="AD31" s="4" t="s">
        <v>285</v>
      </c>
      <c r="AE31" s="29">
        <v>702.48</v>
      </c>
    </row>
    <row r="32" s="4" customFormat="1" ht="11.5" spans="1:31">
      <c r="A32" s="4">
        <v>17</v>
      </c>
      <c r="B32" s="4" t="s">
        <v>128</v>
      </c>
      <c r="C32" s="4" t="s">
        <v>282</v>
      </c>
      <c r="D32" s="4" t="s">
        <v>283</v>
      </c>
      <c r="E32" s="27">
        <v>1488.83</v>
      </c>
      <c r="F32" s="27">
        <v>11463</v>
      </c>
      <c r="G32" s="27">
        <v>11463</v>
      </c>
      <c r="H32" s="27">
        <v>1834.08</v>
      </c>
      <c r="I32" s="27">
        <v>1031.68</v>
      </c>
      <c r="J32" s="27">
        <v>57.32</v>
      </c>
      <c r="K32" s="27">
        <v>29.35</v>
      </c>
      <c r="L32" s="27"/>
      <c r="M32" s="27">
        <v>171.95</v>
      </c>
      <c r="N32" s="27">
        <v>802</v>
      </c>
      <c r="O32" s="27">
        <f t="shared" si="0"/>
        <v>3926.38</v>
      </c>
      <c r="P32" s="27">
        <v>917.04</v>
      </c>
      <c r="Q32" s="27">
        <v>229.26</v>
      </c>
      <c r="R32" s="27">
        <v>57.32</v>
      </c>
      <c r="S32" s="27"/>
      <c r="T32" s="27"/>
      <c r="U32" s="27">
        <v>802</v>
      </c>
      <c r="V32" s="27">
        <f t="shared" si="1"/>
        <v>2005.62</v>
      </c>
      <c r="W32" s="27">
        <v>17115.18</v>
      </c>
      <c r="X32" s="27"/>
      <c r="Y32" s="28">
        <f t="shared" si="2"/>
        <v>24536.01</v>
      </c>
      <c r="AA32" s="4" t="s">
        <v>302</v>
      </c>
      <c r="AB32" s="4" t="s">
        <v>129</v>
      </c>
      <c r="AC32" s="29">
        <v>23147.18</v>
      </c>
      <c r="AD32" s="4" t="s">
        <v>285</v>
      </c>
      <c r="AE32" s="29">
        <v>1388.83</v>
      </c>
    </row>
    <row r="33" s="4" customFormat="1" ht="11.5" spans="1:31">
      <c r="A33" s="4">
        <v>18</v>
      </c>
      <c r="B33" s="4" t="s">
        <v>146</v>
      </c>
      <c r="C33" s="4" t="s">
        <v>282</v>
      </c>
      <c r="D33" s="4" t="s">
        <v>303</v>
      </c>
      <c r="E33" s="27">
        <v>1717.34</v>
      </c>
      <c r="F33" s="27">
        <v>7384</v>
      </c>
      <c r="G33" s="27">
        <v>2690</v>
      </c>
      <c r="H33" s="27">
        <v>1181.44</v>
      </c>
      <c r="I33" s="27">
        <v>664.56</v>
      </c>
      <c r="J33" s="27">
        <v>36.92</v>
      </c>
      <c r="K33" s="27">
        <v>18.9</v>
      </c>
      <c r="L33" s="27"/>
      <c r="M33" s="27">
        <v>110.76</v>
      </c>
      <c r="N33" s="27">
        <v>188</v>
      </c>
      <c r="O33" s="27">
        <f t="shared" si="0"/>
        <v>2200.58</v>
      </c>
      <c r="P33" s="27">
        <v>590.72</v>
      </c>
      <c r="Q33" s="27">
        <v>147.68</v>
      </c>
      <c r="R33" s="27">
        <v>36.92</v>
      </c>
      <c r="S33" s="27"/>
      <c r="T33" s="27"/>
      <c r="U33" s="27">
        <v>188</v>
      </c>
      <c r="V33" s="27">
        <f t="shared" si="1"/>
        <v>963.32</v>
      </c>
      <c r="W33" s="27">
        <v>23691.83</v>
      </c>
      <c r="X33" s="27"/>
      <c r="Y33" s="28">
        <f t="shared" si="2"/>
        <v>28573.07</v>
      </c>
      <c r="AA33" s="4" t="s">
        <v>304</v>
      </c>
      <c r="AB33" s="4" t="s">
        <v>147</v>
      </c>
      <c r="AC33" s="29">
        <v>26955.72</v>
      </c>
      <c r="AD33" s="4" t="s">
        <v>285</v>
      </c>
      <c r="AE33" s="29">
        <v>1617.35</v>
      </c>
    </row>
    <row r="34" s="4" customFormat="1" ht="11.5" spans="1:31">
      <c r="A34" s="4">
        <v>19</v>
      </c>
      <c r="B34" s="4" t="s">
        <v>167</v>
      </c>
      <c r="C34" s="4" t="s">
        <v>282</v>
      </c>
      <c r="D34" s="4" t="s">
        <v>283</v>
      </c>
      <c r="E34" s="27">
        <v>569.07</v>
      </c>
      <c r="F34" s="27">
        <v>7384</v>
      </c>
      <c r="G34" s="27">
        <v>6207</v>
      </c>
      <c r="H34" s="27">
        <v>1181.44</v>
      </c>
      <c r="I34" s="27">
        <v>664.56</v>
      </c>
      <c r="J34" s="27">
        <v>36.92</v>
      </c>
      <c r="K34" s="27">
        <v>18.9</v>
      </c>
      <c r="L34" s="27"/>
      <c r="M34" s="27">
        <v>110.76</v>
      </c>
      <c r="N34" s="27">
        <v>434</v>
      </c>
      <c r="O34" s="27">
        <f t="shared" si="0"/>
        <v>2446.58</v>
      </c>
      <c r="P34" s="27">
        <v>590.72</v>
      </c>
      <c r="Q34" s="27">
        <v>147.68</v>
      </c>
      <c r="R34" s="27">
        <v>36.92</v>
      </c>
      <c r="S34" s="27"/>
      <c r="T34" s="27"/>
      <c r="U34" s="27">
        <v>434</v>
      </c>
      <c r="V34" s="27">
        <f t="shared" si="1"/>
        <v>1209.32</v>
      </c>
      <c r="W34" s="27">
        <v>4062</v>
      </c>
      <c r="X34" s="27"/>
      <c r="Y34" s="28">
        <f t="shared" si="2"/>
        <v>8286.97</v>
      </c>
      <c r="AA34" s="4" t="s">
        <v>305</v>
      </c>
      <c r="AB34" s="4" t="s">
        <v>168</v>
      </c>
      <c r="AC34" s="29">
        <v>7817.89</v>
      </c>
      <c r="AD34" s="4" t="s">
        <v>285</v>
      </c>
      <c r="AE34" s="29">
        <v>469.08</v>
      </c>
    </row>
    <row r="35" s="4" customFormat="1" ht="11.5" spans="1:31">
      <c r="A35" s="4">
        <v>20</v>
      </c>
      <c r="B35" s="4" t="s">
        <v>131</v>
      </c>
      <c r="C35" s="4" t="s">
        <v>282</v>
      </c>
      <c r="D35" s="4" t="s">
        <v>283</v>
      </c>
      <c r="E35" s="27">
        <v>814.62</v>
      </c>
      <c r="F35" s="27">
        <v>8179</v>
      </c>
      <c r="G35" s="27">
        <v>8179</v>
      </c>
      <c r="H35" s="27">
        <v>1308.64</v>
      </c>
      <c r="I35" s="27">
        <v>736.12</v>
      </c>
      <c r="J35" s="27">
        <v>40.9</v>
      </c>
      <c r="K35" s="27">
        <v>20.94</v>
      </c>
      <c r="L35" s="27"/>
      <c r="M35" s="27">
        <v>122.69</v>
      </c>
      <c r="N35" s="27">
        <v>573</v>
      </c>
      <c r="O35" s="27">
        <f t="shared" si="0"/>
        <v>2802.29</v>
      </c>
      <c r="P35" s="27">
        <v>654.32</v>
      </c>
      <c r="Q35" s="27">
        <v>163.58</v>
      </c>
      <c r="R35" s="27">
        <v>40.9</v>
      </c>
      <c r="S35" s="27"/>
      <c r="T35" s="27"/>
      <c r="U35" s="27">
        <v>573</v>
      </c>
      <c r="V35" s="27">
        <f t="shared" si="1"/>
        <v>1431.8</v>
      </c>
      <c r="W35" s="27">
        <v>7576.2</v>
      </c>
      <c r="X35" s="27"/>
      <c r="Y35" s="28">
        <f t="shared" si="2"/>
        <v>12624.91</v>
      </c>
      <c r="AA35" s="4" t="s">
        <v>306</v>
      </c>
      <c r="AB35" s="4" t="s">
        <v>132</v>
      </c>
      <c r="AC35" s="29">
        <v>11910.3</v>
      </c>
      <c r="AD35" s="4" t="s">
        <v>285</v>
      </c>
      <c r="AE35" s="29">
        <v>714.61</v>
      </c>
    </row>
    <row r="36" s="4" customFormat="1" ht="11.5" spans="1:31">
      <c r="A36" s="4">
        <v>21</v>
      </c>
      <c r="B36" s="4" t="s">
        <v>199</v>
      </c>
      <c r="C36" s="4" t="s">
        <v>282</v>
      </c>
      <c r="D36" s="4" t="s">
        <v>283</v>
      </c>
      <c r="E36" s="27">
        <v>725.3</v>
      </c>
      <c r="F36" s="27">
        <v>7399</v>
      </c>
      <c r="G36" s="27">
        <v>7399</v>
      </c>
      <c r="H36" s="27">
        <v>1183.84</v>
      </c>
      <c r="I36" s="27">
        <v>665.92</v>
      </c>
      <c r="J36" s="27">
        <v>37</v>
      </c>
      <c r="K36" s="27">
        <v>18.94</v>
      </c>
      <c r="L36" s="27"/>
      <c r="M36" s="27">
        <v>110.99</v>
      </c>
      <c r="N36" s="27">
        <v>518</v>
      </c>
      <c r="O36" s="27">
        <f t="shared" si="0"/>
        <v>2534.69</v>
      </c>
      <c r="P36" s="27">
        <v>591.92</v>
      </c>
      <c r="Q36" s="27">
        <v>147.98</v>
      </c>
      <c r="R36" s="27">
        <v>37</v>
      </c>
      <c r="S36" s="27"/>
      <c r="T36" s="27"/>
      <c r="U36" s="27">
        <v>518</v>
      </c>
      <c r="V36" s="27">
        <f t="shared" si="1"/>
        <v>1294.9</v>
      </c>
      <c r="W36" s="27">
        <v>6492</v>
      </c>
      <c r="X36" s="27"/>
      <c r="Y36" s="28">
        <f t="shared" si="2"/>
        <v>11046.89</v>
      </c>
      <c r="AA36" s="4" t="s">
        <v>307</v>
      </c>
      <c r="AB36" s="4" t="s">
        <v>200</v>
      </c>
      <c r="AC36" s="29">
        <v>10421.58</v>
      </c>
      <c r="AD36" s="4" t="s">
        <v>285</v>
      </c>
      <c r="AE36" s="29">
        <v>625.31</v>
      </c>
    </row>
    <row r="37" s="4" customFormat="1" ht="11.5" spans="1:31">
      <c r="A37" s="4">
        <v>22</v>
      </c>
      <c r="B37" s="4" t="s">
        <v>202</v>
      </c>
      <c r="C37" s="4" t="s">
        <v>282</v>
      </c>
      <c r="D37" s="4" t="s">
        <v>283</v>
      </c>
      <c r="E37" s="27">
        <v>670.82</v>
      </c>
      <c r="F37" s="27">
        <v>7384</v>
      </c>
      <c r="G37" s="27">
        <v>7155</v>
      </c>
      <c r="H37" s="27">
        <v>1181.44</v>
      </c>
      <c r="I37" s="27">
        <v>664.56</v>
      </c>
      <c r="J37" s="27">
        <v>36.92</v>
      </c>
      <c r="K37" s="27">
        <v>18.9</v>
      </c>
      <c r="L37" s="27"/>
      <c r="M37" s="27">
        <v>110.76</v>
      </c>
      <c r="N37" s="27">
        <v>501</v>
      </c>
      <c r="O37" s="27">
        <f t="shared" si="0"/>
        <v>2513.58</v>
      </c>
      <c r="P37" s="27">
        <v>590.72</v>
      </c>
      <c r="Q37" s="27">
        <v>147.68</v>
      </c>
      <c r="R37" s="27">
        <v>36.92</v>
      </c>
      <c r="S37" s="27"/>
      <c r="T37" s="27"/>
      <c r="U37" s="27">
        <v>501</v>
      </c>
      <c r="V37" s="27">
        <f t="shared" si="1"/>
        <v>1276.32</v>
      </c>
      <c r="W37" s="27">
        <v>5623.88</v>
      </c>
      <c r="X37" s="27"/>
      <c r="Y37" s="28">
        <f t="shared" si="2"/>
        <v>10084.6</v>
      </c>
      <c r="AA37" s="4" t="s">
        <v>308</v>
      </c>
      <c r="AB37" s="4" t="s">
        <v>203</v>
      </c>
      <c r="AC37" s="29">
        <v>9513.77</v>
      </c>
      <c r="AD37" s="4" t="s">
        <v>285</v>
      </c>
      <c r="AE37" s="29">
        <v>570.83</v>
      </c>
    </row>
    <row r="38" s="4" customFormat="1" ht="11.5" spans="1:31">
      <c r="A38" s="4">
        <v>23</v>
      </c>
      <c r="B38" s="4" t="s">
        <v>164</v>
      </c>
      <c r="C38" s="4" t="s">
        <v>282</v>
      </c>
      <c r="D38" s="4" t="s">
        <v>283</v>
      </c>
      <c r="E38" s="27">
        <v>547.16</v>
      </c>
      <c r="F38" s="27">
        <v>7384</v>
      </c>
      <c r="G38" s="27">
        <v>3607</v>
      </c>
      <c r="H38" s="27">
        <v>1181.44</v>
      </c>
      <c r="I38" s="27">
        <v>664.56</v>
      </c>
      <c r="J38" s="27">
        <v>36.92</v>
      </c>
      <c r="K38" s="27">
        <v>18.9</v>
      </c>
      <c r="L38" s="27"/>
      <c r="M38" s="27">
        <v>110.76</v>
      </c>
      <c r="N38" s="27">
        <v>252</v>
      </c>
      <c r="O38" s="27">
        <f t="shared" si="0"/>
        <v>2264.58</v>
      </c>
      <c r="P38" s="27">
        <v>590.72</v>
      </c>
      <c r="Q38" s="27">
        <v>147.68</v>
      </c>
      <c r="R38" s="27">
        <v>36.92</v>
      </c>
      <c r="S38" s="27"/>
      <c r="T38" s="27"/>
      <c r="U38" s="27">
        <v>252</v>
      </c>
      <c r="V38" s="27">
        <f t="shared" si="1"/>
        <v>1027.32</v>
      </c>
      <c r="W38" s="27">
        <v>4060.88</v>
      </c>
      <c r="X38" s="27"/>
      <c r="Y38" s="28">
        <f t="shared" si="2"/>
        <v>7899.94</v>
      </c>
      <c r="AA38" s="4" t="s">
        <v>309</v>
      </c>
      <c r="AB38" s="4" t="s">
        <v>165</v>
      </c>
      <c r="AC38" s="29">
        <v>7452.77</v>
      </c>
      <c r="AD38" s="4" t="s">
        <v>285</v>
      </c>
      <c r="AE38" s="29">
        <v>447.17</v>
      </c>
    </row>
    <row r="39" s="4" customFormat="1" ht="11.5" spans="1:31">
      <c r="A39" s="4">
        <v>24</v>
      </c>
      <c r="B39" s="4" t="s">
        <v>140</v>
      </c>
      <c r="C39" s="4" t="s">
        <v>282</v>
      </c>
      <c r="D39" s="4" t="s">
        <v>295</v>
      </c>
      <c r="E39" s="27">
        <v>902.3</v>
      </c>
      <c r="F39" s="27">
        <v>9889</v>
      </c>
      <c r="G39" s="27">
        <v>9889</v>
      </c>
      <c r="H39" s="27">
        <v>1582.24</v>
      </c>
      <c r="I39" s="27">
        <v>890.02</v>
      </c>
      <c r="J39" s="27">
        <v>49.45</v>
      </c>
      <c r="K39" s="27">
        <v>25.32</v>
      </c>
      <c r="L39" s="27"/>
      <c r="M39" s="27">
        <v>148.34</v>
      </c>
      <c r="N39" s="27">
        <v>692</v>
      </c>
      <c r="O39" s="27">
        <f t="shared" si="0"/>
        <v>3387.37</v>
      </c>
      <c r="P39" s="27">
        <v>791.12</v>
      </c>
      <c r="Q39" s="27">
        <v>197.78</v>
      </c>
      <c r="R39" s="27">
        <v>49.45</v>
      </c>
      <c r="S39" s="27"/>
      <c r="T39" s="27"/>
      <c r="U39" s="27">
        <v>692</v>
      </c>
      <c r="V39" s="27">
        <f t="shared" si="1"/>
        <v>1730.35</v>
      </c>
      <c r="W39" s="27">
        <v>8154.05</v>
      </c>
      <c r="X39" s="27"/>
      <c r="Y39" s="28">
        <f t="shared" si="2"/>
        <v>14174.07</v>
      </c>
      <c r="AA39" s="4" t="s">
        <v>310</v>
      </c>
      <c r="AB39" s="4" t="s">
        <v>141</v>
      </c>
      <c r="AC39" s="29">
        <v>13371.76</v>
      </c>
      <c r="AD39" s="4" t="s">
        <v>285</v>
      </c>
      <c r="AE39" s="29">
        <v>802.31</v>
      </c>
    </row>
    <row r="40" s="4" customFormat="1" ht="11.5" spans="1:31">
      <c r="A40" s="4">
        <v>25</v>
      </c>
      <c r="B40" s="4" t="s">
        <v>196</v>
      </c>
      <c r="C40" s="4" t="s">
        <v>282</v>
      </c>
      <c r="D40" s="4" t="s">
        <v>283</v>
      </c>
      <c r="E40" s="27">
        <v>597.56</v>
      </c>
      <c r="F40" s="27">
        <v>7384</v>
      </c>
      <c r="G40" s="27">
        <v>6558</v>
      </c>
      <c r="H40" s="27">
        <v>1181.44</v>
      </c>
      <c r="I40" s="27">
        <v>664.56</v>
      </c>
      <c r="J40" s="27">
        <v>36.92</v>
      </c>
      <c r="K40" s="27">
        <v>18.9</v>
      </c>
      <c r="L40" s="27"/>
      <c r="M40" s="27">
        <v>110.76</v>
      </c>
      <c r="N40" s="27">
        <v>459</v>
      </c>
      <c r="O40" s="27">
        <f t="shared" si="0"/>
        <v>2471.58</v>
      </c>
      <c r="P40" s="27">
        <v>590.72</v>
      </c>
      <c r="Q40" s="27">
        <v>147.68</v>
      </c>
      <c r="R40" s="27">
        <v>36.92</v>
      </c>
      <c r="S40" s="27"/>
      <c r="T40" s="27"/>
      <c r="U40" s="27">
        <v>459</v>
      </c>
      <c r="V40" s="27">
        <f t="shared" si="1"/>
        <v>1234.32</v>
      </c>
      <c r="W40" s="27">
        <v>4486.78</v>
      </c>
      <c r="X40" s="27"/>
      <c r="Y40" s="28">
        <f t="shared" si="2"/>
        <v>8790.24</v>
      </c>
      <c r="AA40" s="4" t="s">
        <v>311</v>
      </c>
      <c r="AB40" s="4" t="s">
        <v>197</v>
      </c>
      <c r="AC40" s="29">
        <v>8292.67</v>
      </c>
      <c r="AD40" s="4" t="s">
        <v>285</v>
      </c>
      <c r="AE40" s="29">
        <v>497.57</v>
      </c>
    </row>
    <row r="41" s="4" customFormat="1" ht="11.5" spans="1:31">
      <c r="A41" s="4">
        <v>26</v>
      </c>
      <c r="B41" s="4" t="s">
        <v>137</v>
      </c>
      <c r="C41" s="4" t="s">
        <v>282</v>
      </c>
      <c r="D41" s="4" t="s">
        <v>283</v>
      </c>
      <c r="E41" s="27">
        <v>1222.32</v>
      </c>
      <c r="F41" s="27">
        <v>7384</v>
      </c>
      <c r="G41" s="27">
        <v>6573</v>
      </c>
      <c r="H41" s="27">
        <v>1181.44</v>
      </c>
      <c r="I41" s="27">
        <v>664.56</v>
      </c>
      <c r="J41" s="27">
        <v>36.92</v>
      </c>
      <c r="K41" s="27">
        <v>18.9</v>
      </c>
      <c r="L41" s="27"/>
      <c r="M41" s="27">
        <v>110.76</v>
      </c>
      <c r="N41" s="27">
        <v>460</v>
      </c>
      <c r="O41" s="27">
        <f t="shared" si="0"/>
        <v>2472.58</v>
      </c>
      <c r="P41" s="27">
        <v>590.72</v>
      </c>
      <c r="Q41" s="27">
        <v>147.68</v>
      </c>
      <c r="R41" s="27">
        <v>36.92</v>
      </c>
      <c r="S41" s="27"/>
      <c r="T41" s="27"/>
      <c r="U41" s="27">
        <v>460</v>
      </c>
      <c r="V41" s="27">
        <f t="shared" si="1"/>
        <v>1235.32</v>
      </c>
      <c r="W41" s="27">
        <v>14897.58</v>
      </c>
      <c r="X41" s="27"/>
      <c r="Y41" s="28">
        <f t="shared" si="2"/>
        <v>19827.8</v>
      </c>
      <c r="AA41" s="4" t="s">
        <v>312</v>
      </c>
      <c r="AB41" s="4" t="s">
        <v>138</v>
      </c>
      <c r="AC41" s="29">
        <v>18705.47</v>
      </c>
      <c r="AD41" s="4" t="s">
        <v>285</v>
      </c>
      <c r="AE41" s="29">
        <v>1122.33</v>
      </c>
    </row>
    <row r="42" s="4" customFormat="1" ht="11.5" spans="1:31">
      <c r="A42" s="4">
        <v>27</v>
      </c>
      <c r="B42" s="4" t="s">
        <v>110</v>
      </c>
      <c r="C42" s="4" t="s">
        <v>282</v>
      </c>
      <c r="D42" s="4" t="s">
        <v>283</v>
      </c>
      <c r="E42" s="27">
        <v>1246.83</v>
      </c>
      <c r="F42" s="27">
        <v>11730</v>
      </c>
      <c r="G42" s="27">
        <v>11730</v>
      </c>
      <c r="H42" s="27">
        <v>1876.8</v>
      </c>
      <c r="I42" s="27">
        <v>1055.7</v>
      </c>
      <c r="J42" s="27">
        <v>58.65</v>
      </c>
      <c r="K42" s="27">
        <v>30.03</v>
      </c>
      <c r="L42" s="27"/>
      <c r="M42" s="27">
        <v>175.95</v>
      </c>
      <c r="N42" s="27">
        <v>821</v>
      </c>
      <c r="O42" s="27">
        <f t="shared" si="0"/>
        <v>4018.13</v>
      </c>
      <c r="P42" s="27">
        <v>938.4</v>
      </c>
      <c r="Q42" s="27">
        <v>234.6</v>
      </c>
      <c r="R42" s="27">
        <v>58.65</v>
      </c>
      <c r="S42" s="27"/>
      <c r="T42" s="27"/>
      <c r="U42" s="27">
        <v>821</v>
      </c>
      <c r="V42" s="27">
        <f t="shared" si="1"/>
        <v>2052.65</v>
      </c>
      <c r="W42" s="27">
        <v>12942.95</v>
      </c>
      <c r="X42" s="27"/>
      <c r="Y42" s="28">
        <f t="shared" si="2"/>
        <v>20260.56</v>
      </c>
      <c r="AA42" s="4" t="s">
        <v>313</v>
      </c>
      <c r="AB42" s="4" t="s">
        <v>111</v>
      </c>
      <c r="AC42" s="29">
        <v>19113.73</v>
      </c>
      <c r="AD42" s="4" t="s">
        <v>285</v>
      </c>
      <c r="AE42" s="29">
        <v>1146.83</v>
      </c>
    </row>
    <row r="43" s="4" customFormat="1" ht="11.5" spans="1:31">
      <c r="A43" s="4">
        <v>28</v>
      </c>
      <c r="B43" s="4" t="s">
        <v>187</v>
      </c>
      <c r="C43" s="4" t="s">
        <v>282</v>
      </c>
      <c r="D43" s="4" t="s">
        <v>283</v>
      </c>
      <c r="E43" s="27">
        <v>629.43</v>
      </c>
      <c r="F43" s="27">
        <v>7384</v>
      </c>
      <c r="G43" s="27">
        <v>4035</v>
      </c>
      <c r="H43" s="27">
        <v>1181.44</v>
      </c>
      <c r="I43" s="27">
        <v>664.56</v>
      </c>
      <c r="J43" s="27">
        <v>36.92</v>
      </c>
      <c r="K43" s="27">
        <v>18.9</v>
      </c>
      <c r="L43" s="27"/>
      <c r="M43" s="27">
        <v>110.76</v>
      </c>
      <c r="N43" s="27">
        <v>282</v>
      </c>
      <c r="O43" s="27">
        <f t="shared" si="0"/>
        <v>2294.58</v>
      </c>
      <c r="P43" s="27">
        <v>590.72</v>
      </c>
      <c r="Q43" s="27">
        <v>147.68</v>
      </c>
      <c r="R43" s="27">
        <v>36.92</v>
      </c>
      <c r="S43" s="27"/>
      <c r="T43" s="27"/>
      <c r="U43" s="27">
        <v>282</v>
      </c>
      <c r="V43" s="27">
        <f t="shared" si="1"/>
        <v>1057.32</v>
      </c>
      <c r="W43" s="27">
        <v>5371.98</v>
      </c>
      <c r="X43" s="27"/>
      <c r="Y43" s="28">
        <f t="shared" si="2"/>
        <v>9353.31</v>
      </c>
      <c r="AA43" s="4" t="s">
        <v>314</v>
      </c>
      <c r="AB43" s="4" t="s">
        <v>188</v>
      </c>
      <c r="AC43" s="29">
        <v>8823.87</v>
      </c>
      <c r="AD43" s="4" t="s">
        <v>285</v>
      </c>
      <c r="AE43" s="29">
        <v>529.44</v>
      </c>
    </row>
    <row r="44" s="4" customFormat="1" ht="11.5" spans="1:31">
      <c r="A44" s="4">
        <v>29</v>
      </c>
      <c r="B44" s="4" t="s">
        <v>152</v>
      </c>
      <c r="C44" s="4" t="s">
        <v>282</v>
      </c>
      <c r="D44" s="4" t="s">
        <v>283</v>
      </c>
      <c r="E44" s="27">
        <v>1723.69</v>
      </c>
      <c r="F44" s="27">
        <v>17497</v>
      </c>
      <c r="G44" s="27">
        <v>17497</v>
      </c>
      <c r="H44" s="27">
        <v>2799.52</v>
      </c>
      <c r="I44" s="27">
        <v>1574.74</v>
      </c>
      <c r="J44" s="27">
        <v>87.49</v>
      </c>
      <c r="K44" s="27">
        <v>44.79</v>
      </c>
      <c r="L44" s="27"/>
      <c r="M44" s="27">
        <v>262.46</v>
      </c>
      <c r="N44" s="27">
        <v>1225</v>
      </c>
      <c r="O44" s="27">
        <f t="shared" si="0"/>
        <v>5994</v>
      </c>
      <c r="P44" s="27">
        <v>1399.76</v>
      </c>
      <c r="Q44" s="27">
        <v>349.94</v>
      </c>
      <c r="R44" s="27">
        <v>87.49</v>
      </c>
      <c r="S44" s="27"/>
      <c r="T44" s="27"/>
      <c r="U44" s="27">
        <v>1225</v>
      </c>
      <c r="V44" s="27">
        <f t="shared" si="1"/>
        <v>3062.19</v>
      </c>
      <c r="W44" s="27">
        <v>17905.32</v>
      </c>
      <c r="X44" s="27"/>
      <c r="Y44" s="28">
        <f t="shared" si="2"/>
        <v>28685.2</v>
      </c>
      <c r="AA44" s="4" t="s">
        <v>315</v>
      </c>
      <c r="AB44" s="4" t="s">
        <v>153</v>
      </c>
      <c r="AC44" s="29">
        <v>27061.5</v>
      </c>
      <c r="AD44" s="4" t="s">
        <v>285</v>
      </c>
      <c r="AE44" s="29">
        <v>1623.7</v>
      </c>
    </row>
    <row r="45" s="4" customFormat="1" ht="11.5" spans="1:31">
      <c r="A45" s="4">
        <v>30</v>
      </c>
      <c r="B45" s="4" t="s">
        <v>184</v>
      </c>
      <c r="C45" s="4" t="s">
        <v>282</v>
      </c>
      <c r="D45" s="4" t="s">
        <v>283</v>
      </c>
      <c r="E45" s="27">
        <v>529.05</v>
      </c>
      <c r="F45" s="27">
        <v>7384</v>
      </c>
      <c r="G45" s="27">
        <v>4082</v>
      </c>
      <c r="H45" s="27">
        <v>1181.44</v>
      </c>
      <c r="I45" s="27">
        <v>664.56</v>
      </c>
      <c r="J45" s="27">
        <v>36.92</v>
      </c>
      <c r="K45" s="27">
        <v>18.9</v>
      </c>
      <c r="L45" s="27"/>
      <c r="M45" s="27">
        <v>110.76</v>
      </c>
      <c r="N45" s="27">
        <v>286</v>
      </c>
      <c r="O45" s="27">
        <f t="shared" si="0"/>
        <v>2298.58</v>
      </c>
      <c r="P45" s="27">
        <v>590.72</v>
      </c>
      <c r="Q45" s="27">
        <v>147.68</v>
      </c>
      <c r="R45" s="27">
        <v>36.92</v>
      </c>
      <c r="S45" s="27"/>
      <c r="T45" s="27"/>
      <c r="U45" s="27">
        <v>286</v>
      </c>
      <c r="V45" s="27">
        <f t="shared" si="1"/>
        <v>1061.32</v>
      </c>
      <c r="W45" s="27">
        <v>3691</v>
      </c>
      <c r="X45" s="27"/>
      <c r="Y45" s="28">
        <f t="shared" si="2"/>
        <v>7579.95</v>
      </c>
      <c r="AA45" s="4" t="s">
        <v>316</v>
      </c>
      <c r="AB45" s="4" t="s">
        <v>185</v>
      </c>
      <c r="AC45" s="29">
        <v>7150.89</v>
      </c>
      <c r="AD45" s="4" t="s">
        <v>285</v>
      </c>
      <c r="AE45" s="29">
        <v>429.06</v>
      </c>
    </row>
    <row r="46" s="4" customFormat="1" ht="11.5" spans="1:31">
      <c r="A46" s="4">
        <v>31</v>
      </c>
      <c r="B46" s="4" t="s">
        <v>190</v>
      </c>
      <c r="C46" s="4" t="s">
        <v>282</v>
      </c>
      <c r="D46" s="4" t="s">
        <v>283</v>
      </c>
      <c r="E46" s="27">
        <v>571.83</v>
      </c>
      <c r="F46" s="27">
        <v>7384</v>
      </c>
      <c r="G46" s="27">
        <v>6529</v>
      </c>
      <c r="H46" s="27">
        <v>1181.44</v>
      </c>
      <c r="I46" s="27">
        <v>664.56</v>
      </c>
      <c r="J46" s="27">
        <v>36.92</v>
      </c>
      <c r="K46" s="27">
        <v>18.9</v>
      </c>
      <c r="L46" s="27"/>
      <c r="M46" s="27">
        <v>110.76</v>
      </c>
      <c r="N46" s="27">
        <v>457</v>
      </c>
      <c r="O46" s="27">
        <f t="shared" si="0"/>
        <v>2469.58</v>
      </c>
      <c r="P46" s="27">
        <v>590.72</v>
      </c>
      <c r="Q46" s="27">
        <v>147.68</v>
      </c>
      <c r="R46" s="27">
        <v>36.92</v>
      </c>
      <c r="S46" s="27"/>
      <c r="T46" s="27"/>
      <c r="U46" s="27">
        <v>457</v>
      </c>
      <c r="V46" s="27">
        <f t="shared" si="1"/>
        <v>1232.32</v>
      </c>
      <c r="W46" s="27">
        <v>4062</v>
      </c>
      <c r="X46" s="27"/>
      <c r="Y46" s="28">
        <f t="shared" si="2"/>
        <v>8335.73</v>
      </c>
      <c r="AA46" s="4" t="s">
        <v>317</v>
      </c>
      <c r="AB46" s="4" t="s">
        <v>191</v>
      </c>
      <c r="AC46" s="29">
        <v>7863.89</v>
      </c>
      <c r="AD46" s="4" t="s">
        <v>285</v>
      </c>
      <c r="AE46" s="29">
        <v>471.84</v>
      </c>
    </row>
    <row r="47" s="4" customFormat="1" ht="11.5" spans="1:31">
      <c r="A47" s="4">
        <v>32</v>
      </c>
      <c r="B47" s="4" t="s">
        <v>175</v>
      </c>
      <c r="C47" s="4" t="s">
        <v>282</v>
      </c>
      <c r="D47" s="4" t="s">
        <v>283</v>
      </c>
      <c r="E47" s="27">
        <v>703.62</v>
      </c>
      <c r="F47" s="27">
        <v>11395</v>
      </c>
      <c r="G47" s="27">
        <v>11395</v>
      </c>
      <c r="H47" s="27">
        <v>1823.2</v>
      </c>
      <c r="I47" s="27">
        <v>1025.56</v>
      </c>
      <c r="J47" s="27">
        <v>56.98</v>
      </c>
      <c r="K47" s="27">
        <v>29.17</v>
      </c>
      <c r="L47" s="27"/>
      <c r="M47" s="27">
        <v>170.93</v>
      </c>
      <c r="N47" s="27">
        <v>798</v>
      </c>
      <c r="O47" s="27">
        <f t="shared" si="0"/>
        <v>3903.84</v>
      </c>
      <c r="P47" s="27">
        <v>911.6</v>
      </c>
      <c r="Q47" s="27">
        <v>227.9</v>
      </c>
      <c r="R47" s="27">
        <v>56.98</v>
      </c>
      <c r="S47" s="27"/>
      <c r="T47" s="27"/>
      <c r="U47" s="27">
        <v>798</v>
      </c>
      <c r="V47" s="27">
        <f t="shared" si="1"/>
        <v>1994.48</v>
      </c>
      <c r="W47" s="27">
        <v>4062</v>
      </c>
      <c r="X47" s="27"/>
      <c r="Y47" s="28">
        <f t="shared" si="2"/>
        <v>10663.94</v>
      </c>
      <c r="AA47" s="4" t="s">
        <v>318</v>
      </c>
      <c r="AB47" s="4" t="s">
        <v>176</v>
      </c>
      <c r="AC47" s="29">
        <v>10060.32</v>
      </c>
      <c r="AD47" s="4" t="s">
        <v>285</v>
      </c>
      <c r="AE47" s="29">
        <v>603.62</v>
      </c>
    </row>
    <row r="48" s="4" customFormat="1" ht="11.5" spans="1:31">
      <c r="A48" s="4">
        <v>33</v>
      </c>
      <c r="B48" s="4" t="s">
        <v>134</v>
      </c>
      <c r="C48" s="4" t="s">
        <v>282</v>
      </c>
      <c r="D48" s="4" t="s">
        <v>283</v>
      </c>
      <c r="E48" s="27">
        <v>757.64</v>
      </c>
      <c r="F48" s="27">
        <v>7384</v>
      </c>
      <c r="G48" s="27">
        <v>4848</v>
      </c>
      <c r="H48" s="27">
        <v>1181.44</v>
      </c>
      <c r="I48" s="27">
        <v>664.56</v>
      </c>
      <c r="J48" s="27">
        <v>36.92</v>
      </c>
      <c r="K48" s="27">
        <v>18.9</v>
      </c>
      <c r="L48" s="27"/>
      <c r="M48" s="27">
        <v>110.76</v>
      </c>
      <c r="N48" s="27">
        <v>339</v>
      </c>
      <c r="O48" s="27">
        <f t="shared" si="0"/>
        <v>2351.58</v>
      </c>
      <c r="P48" s="27">
        <v>590.72</v>
      </c>
      <c r="Q48" s="27">
        <v>147.68</v>
      </c>
      <c r="R48" s="27">
        <v>36.92</v>
      </c>
      <c r="S48" s="27"/>
      <c r="T48" s="27"/>
      <c r="U48" s="27">
        <v>339</v>
      </c>
      <c r="V48" s="27">
        <f t="shared" si="1"/>
        <v>1114.32</v>
      </c>
      <c r="W48" s="27">
        <v>7394.88</v>
      </c>
      <c r="X48" s="27"/>
      <c r="Y48" s="28">
        <f t="shared" si="2"/>
        <v>11618.42</v>
      </c>
      <c r="AA48" s="4" t="s">
        <v>319</v>
      </c>
      <c r="AB48" s="4" t="s">
        <v>135</v>
      </c>
      <c r="AC48" s="29">
        <v>10960.77</v>
      </c>
      <c r="AD48" s="4" t="s">
        <v>285</v>
      </c>
      <c r="AE48" s="29">
        <v>657.65</v>
      </c>
    </row>
    <row r="49" s="4" customFormat="1" ht="11.5" spans="1:31">
      <c r="A49" s="4">
        <v>34</v>
      </c>
      <c r="B49" s="4" t="s">
        <v>96</v>
      </c>
      <c r="C49" s="4" t="s">
        <v>282</v>
      </c>
      <c r="D49" s="4" t="s">
        <v>283</v>
      </c>
      <c r="E49" s="27">
        <v>1613.87</v>
      </c>
      <c r="F49" s="27">
        <v>13804</v>
      </c>
      <c r="G49" s="27">
        <v>13804</v>
      </c>
      <c r="H49" s="27">
        <v>2208.64</v>
      </c>
      <c r="I49" s="27">
        <v>1242.36</v>
      </c>
      <c r="J49" s="27">
        <v>69.02</v>
      </c>
      <c r="K49" s="27">
        <v>35.34</v>
      </c>
      <c r="L49" s="27"/>
      <c r="M49" s="27">
        <v>207.06</v>
      </c>
      <c r="N49" s="27">
        <v>966</v>
      </c>
      <c r="O49" s="27">
        <f t="shared" si="0"/>
        <v>4728.42</v>
      </c>
      <c r="P49" s="27">
        <v>1104.32</v>
      </c>
      <c r="Q49" s="27">
        <v>276.08</v>
      </c>
      <c r="R49" s="27">
        <v>69.02</v>
      </c>
      <c r="S49" s="27"/>
      <c r="T49" s="27"/>
      <c r="U49" s="27">
        <v>966</v>
      </c>
      <c r="V49" s="27">
        <f t="shared" si="1"/>
        <v>2415.42</v>
      </c>
      <c r="W49" s="27">
        <v>17987.28</v>
      </c>
      <c r="X49" s="27"/>
      <c r="Y49" s="28">
        <f t="shared" si="2"/>
        <v>26744.99</v>
      </c>
      <c r="AA49" s="4" t="s">
        <v>320</v>
      </c>
      <c r="AB49" s="4" t="s">
        <v>97</v>
      </c>
      <c r="AC49" s="29">
        <v>25231.13</v>
      </c>
      <c r="AD49" s="4" t="s">
        <v>285</v>
      </c>
      <c r="AE49" s="29">
        <v>1513.86</v>
      </c>
    </row>
    <row r="50" s="4" customFormat="1" ht="11.5" spans="1:31">
      <c r="A50" s="4">
        <v>35</v>
      </c>
      <c r="B50" s="4" t="s">
        <v>161</v>
      </c>
      <c r="C50" s="4" t="s">
        <v>282</v>
      </c>
      <c r="D50" s="4" t="s">
        <v>283</v>
      </c>
      <c r="E50" s="27">
        <v>1651.3</v>
      </c>
      <c r="F50" s="27">
        <v>12999</v>
      </c>
      <c r="G50" s="27">
        <v>12999</v>
      </c>
      <c r="H50" s="27">
        <v>2079.84</v>
      </c>
      <c r="I50" s="27">
        <v>1169.92</v>
      </c>
      <c r="J50" s="27">
        <v>65</v>
      </c>
      <c r="K50" s="27">
        <v>33.28</v>
      </c>
      <c r="L50" s="27"/>
      <c r="M50" s="27">
        <v>194.99</v>
      </c>
      <c r="N50" s="27">
        <v>910</v>
      </c>
      <c r="O50" s="27">
        <f t="shared" si="0"/>
        <v>4453.03</v>
      </c>
      <c r="P50" s="27">
        <v>1039.92</v>
      </c>
      <c r="Q50" s="27">
        <v>259.98</v>
      </c>
      <c r="R50" s="27">
        <v>65</v>
      </c>
      <c r="S50" s="27"/>
      <c r="T50" s="27"/>
      <c r="U50" s="27">
        <v>910</v>
      </c>
      <c r="V50" s="27">
        <f t="shared" si="1"/>
        <v>2274.9</v>
      </c>
      <c r="W50" s="27">
        <v>19026.95</v>
      </c>
      <c r="X50" s="27"/>
      <c r="Y50" s="28">
        <f t="shared" si="2"/>
        <v>27406.18</v>
      </c>
      <c r="AA50" s="4" t="s">
        <v>321</v>
      </c>
      <c r="AB50" s="4" t="s">
        <v>162</v>
      </c>
      <c r="AC50" s="29">
        <v>25854.87</v>
      </c>
      <c r="AD50" s="4" t="s">
        <v>285</v>
      </c>
      <c r="AE50" s="29">
        <v>1551.31</v>
      </c>
    </row>
    <row r="51" s="4" customFormat="1" ht="11.5" spans="1:31">
      <c r="A51" s="4">
        <v>36</v>
      </c>
      <c r="B51" s="4" t="s">
        <v>208</v>
      </c>
      <c r="C51" s="4" t="s">
        <v>282</v>
      </c>
      <c r="D51" s="4" t="s">
        <v>283</v>
      </c>
      <c r="E51" s="27">
        <v>870.82</v>
      </c>
      <c r="F51" s="27">
        <v>9758</v>
      </c>
      <c r="G51" s="27">
        <v>9758</v>
      </c>
      <c r="H51" s="27">
        <v>1561.28</v>
      </c>
      <c r="I51" s="27">
        <v>878.22</v>
      </c>
      <c r="J51" s="27">
        <v>48.79</v>
      </c>
      <c r="K51" s="27">
        <v>24.98</v>
      </c>
      <c r="L51" s="27"/>
      <c r="M51" s="27">
        <v>146.37</v>
      </c>
      <c r="N51" s="27">
        <v>683</v>
      </c>
      <c r="O51" s="27">
        <f t="shared" si="0"/>
        <v>3342.64</v>
      </c>
      <c r="P51" s="27">
        <v>780.64</v>
      </c>
      <c r="Q51" s="27">
        <v>195.16</v>
      </c>
      <c r="R51" s="27">
        <v>48.79</v>
      </c>
      <c r="S51" s="27"/>
      <c r="T51" s="27"/>
      <c r="U51" s="27">
        <v>683</v>
      </c>
      <c r="V51" s="27">
        <f t="shared" si="1"/>
        <v>1707.59</v>
      </c>
      <c r="W51" s="27">
        <v>8403.57</v>
      </c>
      <c r="X51" s="27"/>
      <c r="Y51" s="28">
        <f t="shared" si="2"/>
        <v>14324.62</v>
      </c>
      <c r="AA51" s="4" t="s">
        <v>322</v>
      </c>
      <c r="AB51" s="4" t="s">
        <v>209</v>
      </c>
      <c r="AC51" s="29">
        <v>13513.79</v>
      </c>
      <c r="AD51" s="4" t="s">
        <v>285</v>
      </c>
      <c r="AE51" s="29">
        <v>810.83</v>
      </c>
    </row>
    <row r="52" s="4" customFormat="1" ht="11.5" spans="1:31">
      <c r="A52" s="4">
        <v>37</v>
      </c>
      <c r="B52" s="4" t="s">
        <v>171</v>
      </c>
      <c r="C52" s="4" t="s">
        <v>282</v>
      </c>
      <c r="D52" s="4" t="s">
        <v>283</v>
      </c>
      <c r="E52" s="27">
        <v>558.99</v>
      </c>
      <c r="F52" s="27">
        <v>7384</v>
      </c>
      <c r="G52" s="27">
        <v>4997</v>
      </c>
      <c r="H52" s="27">
        <v>1181.44</v>
      </c>
      <c r="I52" s="27">
        <v>664.56</v>
      </c>
      <c r="J52" s="27">
        <v>36.92</v>
      </c>
      <c r="K52" s="27">
        <v>18.9</v>
      </c>
      <c r="L52" s="27"/>
      <c r="M52" s="27">
        <v>110.76</v>
      </c>
      <c r="N52" s="27">
        <v>350</v>
      </c>
      <c r="O52" s="27">
        <f t="shared" si="0"/>
        <v>2362.58</v>
      </c>
      <c r="P52" s="27">
        <v>590.72</v>
      </c>
      <c r="Q52" s="27">
        <v>147.68</v>
      </c>
      <c r="R52" s="27">
        <v>36.92</v>
      </c>
      <c r="S52" s="27"/>
      <c r="T52" s="27"/>
      <c r="U52" s="27">
        <v>350</v>
      </c>
      <c r="V52" s="27">
        <f t="shared" si="1"/>
        <v>1125.32</v>
      </c>
      <c r="W52" s="27">
        <v>4062</v>
      </c>
      <c r="X52" s="27"/>
      <c r="Y52" s="28">
        <f t="shared" si="2"/>
        <v>8108.89</v>
      </c>
      <c r="AA52" s="4" t="s">
        <v>323</v>
      </c>
      <c r="AB52" s="4" t="s">
        <v>172</v>
      </c>
      <c r="AC52" s="29">
        <v>7649.89</v>
      </c>
      <c r="AD52" s="4" t="s">
        <v>285</v>
      </c>
      <c r="AE52" s="29">
        <v>459</v>
      </c>
    </row>
    <row r="53" s="4" customFormat="1" ht="11.5" spans="1:31">
      <c r="A53" s="4" t="s">
        <v>324</v>
      </c>
      <c r="E53" s="27">
        <f>SUM(E16:E52)</f>
        <v>35495.71</v>
      </c>
      <c r="F53" s="27"/>
      <c r="G53" s="27"/>
      <c r="H53" s="27">
        <f t="shared" ref="H53:Y53" si="3">SUM(H16:H52)</f>
        <v>54857.76</v>
      </c>
      <c r="I53" s="27">
        <f t="shared" si="3"/>
        <v>30857.62</v>
      </c>
      <c r="J53" s="27">
        <f t="shared" si="3"/>
        <v>1714.37</v>
      </c>
      <c r="K53" s="27">
        <f t="shared" si="3"/>
        <v>877.7</v>
      </c>
      <c r="L53" s="27">
        <f t="shared" si="3"/>
        <v>0</v>
      </c>
      <c r="M53" s="27">
        <f t="shared" si="3"/>
        <v>5142.98</v>
      </c>
      <c r="N53" s="27">
        <f t="shared" si="3"/>
        <v>22118</v>
      </c>
      <c r="O53" s="27">
        <f t="shared" si="3"/>
        <v>115568.43</v>
      </c>
      <c r="P53" s="27">
        <f t="shared" si="3"/>
        <v>27428.88</v>
      </c>
      <c r="Q53" s="27">
        <f t="shared" si="3"/>
        <v>6857.22</v>
      </c>
      <c r="R53" s="27">
        <f t="shared" si="3"/>
        <v>1714.37</v>
      </c>
      <c r="S53" s="27">
        <f t="shared" si="3"/>
        <v>0</v>
      </c>
      <c r="T53" s="27">
        <f t="shared" si="3"/>
        <v>0</v>
      </c>
      <c r="U53" s="27">
        <f t="shared" si="3"/>
        <v>22118</v>
      </c>
      <c r="V53" s="27">
        <f t="shared" si="3"/>
        <v>58118.47</v>
      </c>
      <c r="W53" s="27">
        <f t="shared" si="3"/>
        <v>353249.28</v>
      </c>
      <c r="X53" s="27">
        <f t="shared" si="3"/>
        <v>0</v>
      </c>
      <c r="Y53" s="28">
        <f t="shared" si="3"/>
        <v>562431.89</v>
      </c>
      <c r="AC53" s="29">
        <f>SUM(AC16:AC52)</f>
        <v>530595.96</v>
      </c>
      <c r="AE53" s="29">
        <f>SUM(AE16:AE52)</f>
        <v>31835.93</v>
      </c>
    </row>
    <row r="54" s="4" customFormat="1" ht="11.5" spans="1:31">
      <c r="A54" s="30" t="s">
        <v>325</v>
      </c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31">
        <v>562431.89</v>
      </c>
      <c r="AC54" s="29"/>
      <c r="AE54" s="29"/>
    </row>
    <row r="55" spans="1:31"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</row>
    <row r="56" s="5" customFormat="1" ht="11.5" spans="1:31">
      <c r="A56" s="33" t="s">
        <v>63</v>
      </c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AC56" s="34"/>
      <c r="AE56" s="34"/>
    </row>
    <row r="57" s="6" customFormat="1" ht="30" customHeight="1" spans="1:31">
      <c r="A57" s="2" t="s">
        <v>0</v>
      </c>
      <c r="B57" s="2" t="s">
        <v>243</v>
      </c>
      <c r="C57" s="2" t="s">
        <v>326</v>
      </c>
      <c r="D57" s="2" t="s">
        <v>327</v>
      </c>
      <c r="E57" s="18" t="s">
        <v>255</v>
      </c>
      <c r="F57" s="18" t="s">
        <v>258</v>
      </c>
      <c r="G57" s="18" t="s">
        <v>259</v>
      </c>
      <c r="H57" s="18" t="s">
        <v>41</v>
      </c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AC57" s="35"/>
      <c r="AE57" s="35"/>
    </row>
    <row r="58" s="7" customFormat="1" ht="30" customHeight="1" spans="1:31">
      <c r="A58" s="3" t="s">
        <v>260</v>
      </c>
      <c r="B58" s="3" t="s">
        <v>261</v>
      </c>
      <c r="C58" s="3" t="s">
        <v>328</v>
      </c>
      <c r="D58" s="3" t="s">
        <v>329</v>
      </c>
      <c r="E58" s="24" t="s">
        <v>277</v>
      </c>
      <c r="F58" s="24" t="s">
        <v>280</v>
      </c>
      <c r="G58" s="24" t="s">
        <v>281</v>
      </c>
      <c r="H58" s="24" t="s">
        <v>93</v>
      </c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AC58" s="36"/>
      <c r="AE58" s="36"/>
    </row>
    <row r="59" s="5" customFormat="1" ht="11.5" spans="1:31">
      <c r="A59" s="4">
        <v>1</v>
      </c>
      <c r="B59" s="4" t="s">
        <v>282</v>
      </c>
      <c r="C59" s="4" t="s">
        <v>330</v>
      </c>
      <c r="D59" s="27">
        <v>0</v>
      </c>
      <c r="E59" s="29"/>
      <c r="F59" s="27">
        <v>0.16</v>
      </c>
      <c r="G59" s="29">
        <v>0.06</v>
      </c>
      <c r="H59" s="27">
        <v>-0.16</v>
      </c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AC59" s="34"/>
      <c r="AE59" s="34"/>
    </row>
    <row r="60" s="5" customFormat="1" ht="11.5" spans="1:31">
      <c r="A60" s="4" t="s">
        <v>324</v>
      </c>
      <c r="B60" s="4"/>
      <c r="C60" s="4"/>
      <c r="D60" s="27">
        <f>SUM(D59:D59)</f>
        <v>0</v>
      </c>
      <c r="E60" s="29"/>
      <c r="F60" s="27">
        <f>SUM(F59:F59)</f>
        <v>0.16</v>
      </c>
      <c r="G60" s="29"/>
      <c r="H60" s="27">
        <f>SUM(H59:H59)</f>
        <v>-0.16</v>
      </c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AC60" s="34"/>
      <c r="AE60" s="34"/>
    </row>
    <row r="61" s="5" customFormat="1" ht="11.5" spans="1:31">
      <c r="A61" s="30" t="s">
        <v>331</v>
      </c>
      <c r="B61" s="4"/>
      <c r="C61" s="4"/>
      <c r="D61" s="37">
        <v>0</v>
      </c>
      <c r="E61" s="29"/>
      <c r="F61" s="37">
        <v>0.16</v>
      </c>
      <c r="G61" s="29"/>
      <c r="H61" s="37">
        <v>-0.16</v>
      </c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AC61" s="34"/>
      <c r="AE61" s="34"/>
    </row>
    <row r="63" spans="1:31">
      <c r="A63" s="9" t="s">
        <v>332</v>
      </c>
    </row>
    <row r="64" ht="25.05" customHeight="1" spans="1:31">
      <c r="A64" s="38" t="s">
        <v>333</v>
      </c>
      <c r="B64" s="38" t="s">
        <v>334</v>
      </c>
      <c r="C64" s="38" t="s">
        <v>259</v>
      </c>
      <c r="D64" s="38" t="s">
        <v>335</v>
      </c>
    </row>
    <row r="65" ht="25.05" customHeight="1" spans="1:31">
      <c r="A65" s="39"/>
      <c r="B65" s="39"/>
      <c r="C65" s="39"/>
      <c r="D65" s="39"/>
    </row>
    <row r="66" spans="1:31">
      <c r="A66" s="4">
        <v>1</v>
      </c>
      <c r="B66" s="29">
        <v>530596.12</v>
      </c>
      <c r="C66" s="4" t="s">
        <v>285</v>
      </c>
      <c r="D66" s="29">
        <v>31835.77</v>
      </c>
    </row>
    <row r="67" spans="1:31">
      <c r="A67" s="4" t="s">
        <v>336</v>
      </c>
      <c r="B67" s="29">
        <v>530596.12</v>
      </c>
      <c r="C67" s="4"/>
      <c r="D67" s="29">
        <v>31835.77</v>
      </c>
    </row>
    <row r="68" spans="1:31">
      <c r="A68" s="40" t="s">
        <v>337</v>
      </c>
      <c r="B68" s="41"/>
      <c r="C68" s="41"/>
      <c r="D68" s="42">
        <v>31835.77</v>
      </c>
    </row>
    <row r="69" spans="1:31">
      <c r="A69" s="43" t="s">
        <v>338</v>
      </c>
    </row>
    <row r="70" spans="1:31">
      <c r="A70" s="44">
        <v>562431.89</v>
      </c>
    </row>
    <row r="71" spans="1:31">
      <c r="A71" s="43" t="s">
        <v>339</v>
      </c>
    </row>
    <row r="73" s="8" customFormat="1" ht="17.5" spans="1:31">
      <c r="A73" s="45" t="s">
        <v>340</v>
      </c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AC73" s="46"/>
      <c r="AE73" s="46"/>
    </row>
    <row r="75" spans="1:31">
      <c r="A75" s="47" t="s">
        <v>341</v>
      </c>
      <c r="J75" s="10" t="s">
        <v>342</v>
      </c>
    </row>
    <row r="77" spans="1:31">
      <c r="A77" s="11" t="s">
        <v>343</v>
      </c>
      <c r="G77" s="48" t="s">
        <v>343</v>
      </c>
    </row>
    <row r="78" spans="1:31">
      <c r="A78" s="11" t="s">
        <v>344</v>
      </c>
      <c r="G78" s="48" t="s">
        <v>345</v>
      </c>
    </row>
    <row r="79" spans="1:31">
      <c r="A79" s="11" t="s">
        <v>346</v>
      </c>
      <c r="G79" s="48" t="s">
        <v>347</v>
      </c>
    </row>
    <row r="80" spans="1:31">
      <c r="A80" s="11" t="s">
        <v>348</v>
      </c>
      <c r="G80" s="48" t="s">
        <v>349</v>
      </c>
    </row>
    <row r="81" spans="1:10">
      <c r="A81" s="11" t="s">
        <v>350</v>
      </c>
      <c r="G81" s="48" t="s">
        <v>351</v>
      </c>
    </row>
    <row r="83" spans="1:10">
      <c r="A83" s="11" t="s">
        <v>343</v>
      </c>
    </row>
    <row r="84" spans="1:10">
      <c r="A84" s="11" t="s">
        <v>352</v>
      </c>
    </row>
    <row r="85" spans="1:10">
      <c r="A85" s="11" t="s">
        <v>353</v>
      </c>
    </row>
    <row r="86" spans="1:10">
      <c r="A86" s="11" t="s">
        <v>354</v>
      </c>
    </row>
    <row r="87" spans="1:10">
      <c r="A87" s="11" t="s">
        <v>355</v>
      </c>
    </row>
    <row r="89" spans="1:10">
      <c r="A89" s="47" t="s">
        <v>356</v>
      </c>
      <c r="D89" s="47" t="s">
        <v>357</v>
      </c>
      <c r="G89" s="48" t="s">
        <v>236</v>
      </c>
    </row>
    <row r="90" spans="1:10">
      <c r="A90" s="47" t="s">
        <v>358</v>
      </c>
      <c r="G90" s="49" t="s">
        <v>359</v>
      </c>
    </row>
    <row r="91" spans="1:10">
      <c r="A91" s="47" t="s">
        <v>360</v>
      </c>
      <c r="D91" s="47" t="s">
        <v>361</v>
      </c>
      <c r="G91" s="49" t="s">
        <v>362</v>
      </c>
    </row>
    <row r="92" spans="1:10">
      <c r="A92" s="47" t="s">
        <v>363</v>
      </c>
      <c r="D92" s="47" t="s">
        <v>364</v>
      </c>
      <c r="G92" s="49" t="s">
        <v>365</v>
      </c>
      <c r="J92" s="49" t="s">
        <v>366</v>
      </c>
    </row>
    <row r="94" spans="1:10">
      <c r="A94" s="47" t="s">
        <v>367</v>
      </c>
      <c r="B94" s="47" t="s">
        <v>368</v>
      </c>
    </row>
    <row r="95" spans="1:10">
      <c r="B95" s="47" t="s">
        <v>369</v>
      </c>
    </row>
    <row r="96" spans="1:10">
      <c r="B96" s="47" t="s">
        <v>370</v>
      </c>
    </row>
    <row r="97" spans="1:2">
      <c r="B97" s="47" t="s">
        <v>371</v>
      </c>
    </row>
    <row r="98" spans="1:2">
      <c r="B98" s="47" t="s">
        <v>372</v>
      </c>
    </row>
    <row r="100" spans="1:2">
      <c r="A100" s="47" t="s">
        <v>373</v>
      </c>
      <c r="B100" s="47" t="s">
        <v>374</v>
      </c>
    </row>
    <row r="101" spans="1:2">
      <c r="B101" s="47" t="s">
        <v>375</v>
      </c>
    </row>
  </sheetData>
  <mergeCells count="7">
    <mergeCell ref="H14:M14"/>
    <mergeCell ref="P14:T14"/>
    <mergeCell ref="A68:C68"/>
    <mergeCell ref="A64:A65"/>
    <mergeCell ref="B64:B65"/>
    <mergeCell ref="C64:C65"/>
    <mergeCell ref="D64:D65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202411</vt:lpstr>
      <vt:lpstr>对账单</vt:lpstr>
      <vt:lpstr>系统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蔡英杰</dc:creator>
  <cp:lastModifiedBy>lzddd.</cp:lastModifiedBy>
  <dcterms:created xsi:type="dcterms:W3CDTF">2023-05-09T05:52:00Z</dcterms:created>
  <dcterms:modified xsi:type="dcterms:W3CDTF">2025-12-08T08:36:50Z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E49BDF0D65A14C1DAAABAC4218F3947B_12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