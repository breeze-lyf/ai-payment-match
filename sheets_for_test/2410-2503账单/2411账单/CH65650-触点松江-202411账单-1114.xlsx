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1电信\202411账单\"/>
    </mc:Choice>
  </mc:AlternateContent>
  <xr:revisionPtr revIDLastSave="0" documentId="13_ncr:1_{5C62F467-D09E-4FA3-BDD8-9E709D0A519F}" xr6:coauthVersionLast="36" xr6:coauthVersionMax="36" xr10:uidLastSave="{00000000-0000-0000-0000-000000000000}"/>
  <bookViews>
    <workbookView xWindow="0" yWindow="0" windowWidth="23040" windowHeight="9012" xr2:uid="{749AFD7C-D758-4954-9089-754474E162FD}"/>
  </bookViews>
  <sheets>
    <sheet name="202411" sheetId="1" r:id="rId1"/>
    <sheet name="对账单" sheetId="3" r:id="rId2"/>
    <sheet name="系统" sheetId="2" r:id="rId3"/>
  </sheets>
  <definedNames>
    <definedName name="_xlnm._FilterDatabase" localSheetId="0" hidden="1">'202411'!$A$1:$BF$44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BD50" i="1"/>
  <c r="BC50" i="1"/>
  <c r="BA50" i="1"/>
  <c r="BB50" i="1"/>
  <c r="AX50" i="1"/>
  <c r="AU50" i="1"/>
  <c r="Z50" i="1"/>
  <c r="AG50" i="1"/>
  <c r="AK50" i="1"/>
  <c r="C7" i="3" l="1"/>
  <c r="B7" i="3"/>
  <c r="C5" i="3"/>
  <c r="C4" i="3"/>
  <c r="C2" i="3"/>
  <c r="B4" i="3"/>
  <c r="I4" i="3" s="1"/>
  <c r="B5" i="3"/>
  <c r="B3" i="3"/>
  <c r="I3" i="3" s="1"/>
  <c r="B2" i="3"/>
  <c r="G13" i="3"/>
  <c r="G11" i="3"/>
  <c r="G14" i="3" s="1"/>
  <c r="F11" i="3"/>
  <c r="F13" i="3" s="1"/>
  <c r="E11" i="3"/>
  <c r="E13" i="3" s="1"/>
  <c r="I10" i="3"/>
  <c r="H10" i="3"/>
  <c r="I9" i="3"/>
  <c r="H9" i="3"/>
  <c r="I8" i="3"/>
  <c r="H8" i="3"/>
  <c r="H7" i="3"/>
  <c r="I6" i="3"/>
  <c r="H6" i="3"/>
  <c r="H5" i="3"/>
  <c r="H4" i="3"/>
  <c r="H3" i="3"/>
  <c r="D11" i="3"/>
  <c r="B11" i="3" l="1"/>
  <c r="B14" i="3" s="1"/>
  <c r="H15" i="3" s="1"/>
  <c r="I7" i="3"/>
  <c r="I5" i="3"/>
  <c r="C11" i="3"/>
  <c r="C14" i="3" s="1"/>
  <c r="D13" i="3"/>
  <c r="H13" i="3" s="1"/>
  <c r="H2" i="3"/>
  <c r="E14" i="3"/>
  <c r="I2" i="3"/>
  <c r="F14" i="3"/>
  <c r="D14" i="3" l="1"/>
  <c r="H14" i="3" s="1"/>
  <c r="H16" i="3" s="1"/>
  <c r="H17" i="3" s="1"/>
  <c r="H11" i="3"/>
  <c r="H67" i="2" l="1"/>
  <c r="F67" i="2"/>
  <c r="D67" i="2"/>
  <c r="AF60" i="2"/>
  <c r="AD60" i="2"/>
  <c r="X60" i="2"/>
  <c r="W60" i="2"/>
  <c r="U60" i="2"/>
  <c r="T60" i="2"/>
  <c r="S60" i="2"/>
  <c r="R60" i="2"/>
  <c r="Q60" i="2"/>
  <c r="P60" i="2"/>
  <c r="N60" i="2"/>
  <c r="M60" i="2"/>
  <c r="L60" i="2"/>
  <c r="K60" i="2"/>
  <c r="J60" i="2"/>
  <c r="I60" i="2"/>
  <c r="H60" i="2"/>
  <c r="E60" i="2"/>
  <c r="V59" i="2"/>
  <c r="O59" i="2"/>
  <c r="Y59" i="2" s="1"/>
  <c r="Y58" i="2"/>
  <c r="V58" i="2"/>
  <c r="O58" i="2"/>
  <c r="V57" i="2"/>
  <c r="Y57" i="2" s="1"/>
  <c r="O57" i="2"/>
  <c r="V56" i="2"/>
  <c r="O56" i="2"/>
  <c r="Y56" i="2" s="1"/>
  <c r="V55" i="2"/>
  <c r="O55" i="2"/>
  <c r="Y55" i="2" s="1"/>
  <c r="Y54" i="2"/>
  <c r="V54" i="2"/>
  <c r="O54" i="2"/>
  <c r="V53" i="2"/>
  <c r="Y53" i="2" s="1"/>
  <c r="O53" i="2"/>
  <c r="V52" i="2"/>
  <c r="O52" i="2"/>
  <c r="Y52" i="2" s="1"/>
  <c r="V51" i="2"/>
  <c r="O51" i="2"/>
  <c r="Y51" i="2" s="1"/>
  <c r="Y50" i="2"/>
  <c r="V50" i="2"/>
  <c r="O50" i="2"/>
  <c r="V49" i="2"/>
  <c r="Y49" i="2" s="1"/>
  <c r="O49" i="2"/>
  <c r="V48" i="2"/>
  <c r="O48" i="2"/>
  <c r="Y48" i="2" s="1"/>
  <c r="V47" i="2"/>
  <c r="O47" i="2"/>
  <c r="Y47" i="2" s="1"/>
  <c r="Y46" i="2"/>
  <c r="V46" i="2"/>
  <c r="O46" i="2"/>
  <c r="V45" i="2"/>
  <c r="Y45" i="2" s="1"/>
  <c r="O45" i="2"/>
  <c r="V44" i="2"/>
  <c r="O44" i="2"/>
  <c r="Y44" i="2" s="1"/>
  <c r="V43" i="2"/>
  <c r="O43" i="2"/>
  <c r="Y43" i="2" s="1"/>
  <c r="Y42" i="2"/>
  <c r="V42" i="2"/>
  <c r="O42" i="2"/>
  <c r="V41" i="2"/>
  <c r="Y41" i="2" s="1"/>
  <c r="O41" i="2"/>
  <c r="V40" i="2"/>
  <c r="O40" i="2"/>
  <c r="Y40" i="2" s="1"/>
  <c r="V39" i="2"/>
  <c r="O39" i="2"/>
  <c r="Y39" i="2" s="1"/>
  <c r="Y38" i="2"/>
  <c r="V38" i="2"/>
  <c r="O38" i="2"/>
  <c r="V37" i="2"/>
  <c r="Y37" i="2" s="1"/>
  <c r="O37" i="2"/>
  <c r="V36" i="2"/>
  <c r="O36" i="2"/>
  <c r="Y36" i="2" s="1"/>
  <c r="V35" i="2"/>
  <c r="O35" i="2"/>
  <c r="Y35" i="2" s="1"/>
  <c r="Y34" i="2"/>
  <c r="V34" i="2"/>
  <c r="O34" i="2"/>
  <c r="V33" i="2"/>
  <c r="Y33" i="2" s="1"/>
  <c r="O33" i="2"/>
  <c r="V32" i="2"/>
  <c r="O32" i="2"/>
  <c r="Y32" i="2" s="1"/>
  <c r="V31" i="2"/>
  <c r="O31" i="2"/>
  <c r="Y31" i="2" s="1"/>
  <c r="Y30" i="2"/>
  <c r="V30" i="2"/>
  <c r="O30" i="2"/>
  <c r="V29" i="2"/>
  <c r="Y29" i="2" s="1"/>
  <c r="O29" i="2"/>
  <c r="V28" i="2"/>
  <c r="O28" i="2"/>
  <c r="Y28" i="2" s="1"/>
  <c r="V27" i="2"/>
  <c r="O27" i="2"/>
  <c r="Y27" i="2" s="1"/>
  <c r="Y26" i="2"/>
  <c r="V26" i="2"/>
  <c r="O26" i="2"/>
  <c r="V25" i="2"/>
  <c r="Y25" i="2" s="1"/>
  <c r="O25" i="2"/>
  <c r="V24" i="2"/>
  <c r="O24" i="2"/>
  <c r="Y24" i="2" s="1"/>
  <c r="V23" i="2"/>
  <c r="O23" i="2"/>
  <c r="Y23" i="2" s="1"/>
  <c r="Y22" i="2"/>
  <c r="V22" i="2"/>
  <c r="O22" i="2"/>
  <c r="V21" i="2"/>
  <c r="Y21" i="2" s="1"/>
  <c r="O21" i="2"/>
  <c r="V20" i="2"/>
  <c r="O20" i="2"/>
  <c r="Y20" i="2" s="1"/>
  <c r="V19" i="2"/>
  <c r="O19" i="2"/>
  <c r="Y19" i="2" s="1"/>
  <c r="Y18" i="2"/>
  <c r="V18" i="2"/>
  <c r="O18" i="2"/>
  <c r="V17" i="2"/>
  <c r="Y17" i="2" s="1"/>
  <c r="O17" i="2"/>
  <c r="V16" i="2"/>
  <c r="V60" i="2" s="1"/>
  <c r="O16" i="2"/>
  <c r="O60" i="2" s="1"/>
  <c r="Y16" i="2" l="1"/>
  <c r="Y60" i="2" s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43" i="1"/>
  <c r="A32" i="1"/>
  <c r="A33" i="1"/>
  <c r="A34" i="1"/>
  <c r="A35" i="1"/>
  <c r="A36" i="1"/>
  <c r="A37" i="1"/>
  <c r="A38" i="1"/>
  <c r="A39" i="1"/>
  <c r="A40" i="1"/>
  <c r="A41" i="1"/>
  <c r="A42" i="1"/>
  <c r="A44" i="1"/>
  <c r="A45" i="1"/>
  <c r="A46" i="1"/>
  <c r="A47" i="1"/>
  <c r="A48" i="1"/>
  <c r="AY50" i="1" l="1"/>
  <c r="AW50" i="1"/>
  <c r="AT44" i="1"/>
  <c r="AS44" i="1"/>
  <c r="AQ44" i="1"/>
  <c r="AP44" i="1"/>
  <c r="AO44" i="1"/>
  <c r="AN44" i="1"/>
  <c r="AF44" i="1"/>
  <c r="AG44" i="1" s="1"/>
  <c r="Z44" i="1"/>
  <c r="AT42" i="1"/>
  <c r="AS42" i="1"/>
  <c r="AQ42" i="1"/>
  <c r="AP42" i="1"/>
  <c r="AO42" i="1"/>
  <c r="AN42" i="1"/>
  <c r="AF42" i="1"/>
  <c r="AG42" i="1" s="1"/>
  <c r="Z42" i="1"/>
  <c r="AT41" i="1"/>
  <c r="AS41" i="1"/>
  <c r="AQ41" i="1"/>
  <c r="AP41" i="1"/>
  <c r="AO41" i="1"/>
  <c r="AN41" i="1"/>
  <c r="AF41" i="1"/>
  <c r="AG41" i="1" s="1"/>
  <c r="Z41" i="1"/>
  <c r="AT40" i="1"/>
  <c r="AS40" i="1"/>
  <c r="AQ40" i="1"/>
  <c r="AP40" i="1"/>
  <c r="AO40" i="1"/>
  <c r="AN40" i="1"/>
  <c r="AF40" i="1"/>
  <c r="AG40" i="1" s="1"/>
  <c r="Z40" i="1"/>
  <c r="AU47" i="1"/>
  <c r="AG47" i="1"/>
  <c r="Z47" i="1"/>
  <c r="AT39" i="1"/>
  <c r="AS39" i="1"/>
  <c r="AQ39" i="1"/>
  <c r="AP39" i="1"/>
  <c r="AO39" i="1"/>
  <c r="AN39" i="1"/>
  <c r="AF39" i="1"/>
  <c r="AG39" i="1" s="1"/>
  <c r="Z39" i="1"/>
  <c r="AG48" i="1"/>
  <c r="Z48" i="1"/>
  <c r="AT38" i="1"/>
  <c r="AS38" i="1"/>
  <c r="AQ38" i="1"/>
  <c r="AP38" i="1"/>
  <c r="AO38" i="1"/>
  <c r="AN38" i="1"/>
  <c r="AF38" i="1"/>
  <c r="AG38" i="1" s="1"/>
  <c r="Z38" i="1"/>
  <c r="AT37" i="1"/>
  <c r="AS37" i="1"/>
  <c r="AQ37" i="1"/>
  <c r="AP37" i="1"/>
  <c r="AO37" i="1"/>
  <c r="AN37" i="1"/>
  <c r="AF37" i="1"/>
  <c r="AG37" i="1" s="1"/>
  <c r="Z37" i="1"/>
  <c r="AU46" i="1"/>
  <c r="AG46" i="1"/>
  <c r="Z46" i="1"/>
  <c r="AT36" i="1"/>
  <c r="AS36" i="1"/>
  <c r="AQ36" i="1"/>
  <c r="AP36" i="1"/>
  <c r="AO36" i="1"/>
  <c r="AN36" i="1"/>
  <c r="AF36" i="1"/>
  <c r="AG36" i="1" s="1"/>
  <c r="Z36" i="1"/>
  <c r="AT35" i="1"/>
  <c r="AS35" i="1"/>
  <c r="AQ35" i="1"/>
  <c r="AP35" i="1"/>
  <c r="AN35" i="1"/>
  <c r="AF35" i="1"/>
  <c r="AG35" i="1" s="1"/>
  <c r="Z35" i="1"/>
  <c r="AT34" i="1"/>
  <c r="AS34" i="1"/>
  <c r="AQ34" i="1"/>
  <c r="AP34" i="1"/>
  <c r="AO34" i="1"/>
  <c r="AN34" i="1"/>
  <c r="AF34" i="1"/>
  <c r="AG34" i="1" s="1"/>
  <c r="Z34" i="1"/>
  <c r="AT33" i="1"/>
  <c r="AS33" i="1"/>
  <c r="AQ33" i="1"/>
  <c r="AP33" i="1"/>
  <c r="AO33" i="1"/>
  <c r="AN33" i="1"/>
  <c r="AF33" i="1"/>
  <c r="AG33" i="1" s="1"/>
  <c r="Z33" i="1"/>
  <c r="AT32" i="1"/>
  <c r="AS32" i="1"/>
  <c r="AQ32" i="1"/>
  <c r="AP32" i="1"/>
  <c r="AO32" i="1"/>
  <c r="AN32" i="1"/>
  <c r="AF32" i="1"/>
  <c r="AG32" i="1" s="1"/>
  <c r="Z32" i="1"/>
  <c r="AU43" i="1"/>
  <c r="AG43" i="1"/>
  <c r="Z43" i="1"/>
  <c r="AT31" i="1"/>
  <c r="AS31" i="1"/>
  <c r="AQ31" i="1"/>
  <c r="AP31" i="1"/>
  <c r="AO31" i="1"/>
  <c r="AN31" i="1"/>
  <c r="AF31" i="1"/>
  <c r="AG31" i="1" s="1"/>
  <c r="Z31" i="1"/>
  <c r="AT30" i="1"/>
  <c r="AS30" i="1"/>
  <c r="AQ30" i="1"/>
  <c r="AP30" i="1"/>
  <c r="AN30" i="1"/>
  <c r="AF30" i="1"/>
  <c r="AG30" i="1" s="1"/>
  <c r="Z30" i="1"/>
  <c r="AT29" i="1"/>
  <c r="AS29" i="1"/>
  <c r="AQ29" i="1"/>
  <c r="AP29" i="1"/>
  <c r="AO29" i="1"/>
  <c r="AN29" i="1"/>
  <c r="AF29" i="1"/>
  <c r="AG29" i="1" s="1"/>
  <c r="Z29" i="1"/>
  <c r="AT28" i="1"/>
  <c r="AS28" i="1"/>
  <c r="AQ28" i="1"/>
  <c r="AP28" i="1"/>
  <c r="AN28" i="1"/>
  <c r="AF28" i="1"/>
  <c r="AG28" i="1" s="1"/>
  <c r="Z28" i="1"/>
  <c r="AT27" i="1"/>
  <c r="AS27" i="1"/>
  <c r="AQ27" i="1"/>
  <c r="AP27" i="1"/>
  <c r="AO27" i="1"/>
  <c r="AN27" i="1"/>
  <c r="AF27" i="1"/>
  <c r="AG27" i="1" s="1"/>
  <c r="Z27" i="1"/>
  <c r="AU45" i="1"/>
  <c r="AG45" i="1"/>
  <c r="Z45" i="1"/>
  <c r="AT26" i="1"/>
  <c r="AS26" i="1"/>
  <c r="AQ26" i="1"/>
  <c r="AP26" i="1"/>
  <c r="AO26" i="1"/>
  <c r="AN26" i="1"/>
  <c r="AF26" i="1"/>
  <c r="AG26" i="1" s="1"/>
  <c r="Z26" i="1"/>
  <c r="AT25" i="1"/>
  <c r="AS25" i="1"/>
  <c r="AQ25" i="1"/>
  <c r="AP25" i="1"/>
  <c r="AO25" i="1"/>
  <c r="AN25" i="1"/>
  <c r="AF25" i="1"/>
  <c r="AG25" i="1" s="1"/>
  <c r="Z25" i="1"/>
  <c r="AT24" i="1"/>
  <c r="AS24" i="1"/>
  <c r="AQ24" i="1"/>
  <c r="AP24" i="1"/>
  <c r="AO24" i="1"/>
  <c r="AN24" i="1"/>
  <c r="AF24" i="1"/>
  <c r="AG24" i="1" s="1"/>
  <c r="Z24" i="1"/>
  <c r="AT23" i="1"/>
  <c r="AS23" i="1"/>
  <c r="AQ23" i="1"/>
  <c r="AP23" i="1"/>
  <c r="AO23" i="1"/>
  <c r="AN23" i="1"/>
  <c r="AF23" i="1"/>
  <c r="AG23" i="1" s="1"/>
  <c r="Z23" i="1"/>
  <c r="AT22" i="1"/>
  <c r="AS22" i="1"/>
  <c r="AQ22" i="1"/>
  <c r="AP22" i="1"/>
  <c r="AO22" i="1"/>
  <c r="AN22" i="1"/>
  <c r="AF22" i="1"/>
  <c r="AG22" i="1" s="1"/>
  <c r="Z22" i="1"/>
  <c r="AT21" i="1"/>
  <c r="AS21" i="1"/>
  <c r="AQ21" i="1"/>
  <c r="AP21" i="1"/>
  <c r="AO21" i="1"/>
  <c r="AN21" i="1"/>
  <c r="AF21" i="1"/>
  <c r="AG21" i="1" s="1"/>
  <c r="Z21" i="1"/>
  <c r="AT20" i="1"/>
  <c r="AS20" i="1"/>
  <c r="AQ20" i="1"/>
  <c r="AP20" i="1"/>
  <c r="AO20" i="1"/>
  <c r="AN20" i="1"/>
  <c r="AF20" i="1"/>
  <c r="AG20" i="1" s="1"/>
  <c r="Z20" i="1"/>
  <c r="AT19" i="1"/>
  <c r="AS19" i="1"/>
  <c r="AQ19" i="1"/>
  <c r="AP19" i="1"/>
  <c r="AO19" i="1"/>
  <c r="AN19" i="1"/>
  <c r="AF19" i="1"/>
  <c r="AG19" i="1" s="1"/>
  <c r="Z19" i="1"/>
  <c r="AT18" i="1"/>
  <c r="AS18" i="1"/>
  <c r="AQ18" i="1"/>
  <c r="AP18" i="1"/>
  <c r="AO18" i="1"/>
  <c r="AN18" i="1"/>
  <c r="AF18" i="1"/>
  <c r="AG18" i="1" s="1"/>
  <c r="Z18" i="1"/>
  <c r="AT17" i="1"/>
  <c r="AS17" i="1"/>
  <c r="AQ17" i="1"/>
  <c r="AP17" i="1"/>
  <c r="AO17" i="1"/>
  <c r="AN17" i="1"/>
  <c r="AF17" i="1"/>
  <c r="AG17" i="1" s="1"/>
  <c r="Z17" i="1"/>
  <c r="AT16" i="1"/>
  <c r="AS16" i="1"/>
  <c r="AQ16" i="1"/>
  <c r="AP16" i="1"/>
  <c r="AN16" i="1"/>
  <c r="AF16" i="1"/>
  <c r="AG16" i="1" s="1"/>
  <c r="Z16" i="1"/>
  <c r="AT15" i="1"/>
  <c r="AS15" i="1"/>
  <c r="AQ15" i="1"/>
  <c r="AP15" i="1"/>
  <c r="AO15" i="1"/>
  <c r="AN15" i="1"/>
  <c r="AF15" i="1"/>
  <c r="AG15" i="1" s="1"/>
  <c r="Z15" i="1"/>
  <c r="AT14" i="1"/>
  <c r="AS14" i="1"/>
  <c r="AQ14" i="1"/>
  <c r="AP14" i="1"/>
  <c r="AO14" i="1"/>
  <c r="AN14" i="1"/>
  <c r="AF14" i="1"/>
  <c r="AG14" i="1" s="1"/>
  <c r="Z14" i="1"/>
  <c r="AT13" i="1"/>
  <c r="AS13" i="1"/>
  <c r="AQ13" i="1"/>
  <c r="AP13" i="1"/>
  <c r="AO13" i="1"/>
  <c r="AN13" i="1"/>
  <c r="AF13" i="1"/>
  <c r="AG13" i="1" s="1"/>
  <c r="Z13" i="1"/>
  <c r="AT12" i="1"/>
  <c r="AS12" i="1"/>
  <c r="AQ12" i="1"/>
  <c r="AP12" i="1"/>
  <c r="AO12" i="1"/>
  <c r="AN12" i="1"/>
  <c r="AF12" i="1"/>
  <c r="AG12" i="1" s="1"/>
  <c r="Z12" i="1"/>
  <c r="AT11" i="1"/>
  <c r="AS11" i="1"/>
  <c r="AQ11" i="1"/>
  <c r="AP11" i="1"/>
  <c r="AO11" i="1"/>
  <c r="AN11" i="1"/>
  <c r="AF11" i="1"/>
  <c r="AG11" i="1" s="1"/>
  <c r="Z11" i="1"/>
  <c r="AT10" i="1"/>
  <c r="AS10" i="1"/>
  <c r="AQ10" i="1"/>
  <c r="AP10" i="1"/>
  <c r="AO10" i="1"/>
  <c r="AN10" i="1"/>
  <c r="AF10" i="1"/>
  <c r="AG10" i="1" s="1"/>
  <c r="Z10" i="1"/>
  <c r="AT9" i="1"/>
  <c r="AS9" i="1"/>
  <c r="AQ9" i="1"/>
  <c r="AP9" i="1"/>
  <c r="AN9" i="1"/>
  <c r="AF9" i="1"/>
  <c r="AG9" i="1" s="1"/>
  <c r="Z9" i="1"/>
  <c r="AT8" i="1"/>
  <c r="AS8" i="1"/>
  <c r="AQ8" i="1"/>
  <c r="AP8" i="1"/>
  <c r="AO8" i="1"/>
  <c r="AN8" i="1"/>
  <c r="AF8" i="1"/>
  <c r="AG8" i="1" s="1"/>
  <c r="Z8" i="1"/>
  <c r="AT7" i="1"/>
  <c r="AS7" i="1"/>
  <c r="AQ7" i="1"/>
  <c r="AP7" i="1"/>
  <c r="AO7" i="1"/>
  <c r="AN7" i="1"/>
  <c r="AF7" i="1"/>
  <c r="AG7" i="1" s="1"/>
  <c r="Z7" i="1"/>
  <c r="AT6" i="1"/>
  <c r="AS6" i="1"/>
  <c r="AQ6" i="1"/>
  <c r="AP6" i="1"/>
  <c r="AO6" i="1"/>
  <c r="AN6" i="1"/>
  <c r="AF6" i="1"/>
  <c r="AG6" i="1" s="1"/>
  <c r="Z6" i="1"/>
  <c r="AT5" i="1"/>
  <c r="AS5" i="1"/>
  <c r="AQ5" i="1"/>
  <c r="AP5" i="1"/>
  <c r="AO5" i="1"/>
  <c r="AN5" i="1"/>
  <c r="AF5" i="1"/>
  <c r="AG5" i="1" s="1"/>
  <c r="Z5" i="1"/>
  <c r="AT4" i="1"/>
  <c r="AS4" i="1"/>
  <c r="AQ4" i="1"/>
  <c r="AP4" i="1"/>
  <c r="AO4" i="1"/>
  <c r="AN4" i="1"/>
  <c r="AF4" i="1"/>
  <c r="AG4" i="1" s="1"/>
  <c r="Z4" i="1"/>
  <c r="A4" i="1"/>
  <c r="AT3" i="1"/>
  <c r="AS3" i="1"/>
  <c r="AQ3" i="1"/>
  <c r="AP3" i="1"/>
  <c r="AO3" i="1"/>
  <c r="AN3" i="1"/>
  <c r="AF3" i="1"/>
  <c r="AG3" i="1" s="1"/>
  <c r="Z3" i="1"/>
  <c r="A3" i="1"/>
  <c r="AK32" i="1" l="1"/>
  <c r="AK10" i="1"/>
  <c r="AK36" i="1"/>
  <c r="AK39" i="1"/>
  <c r="AK14" i="1"/>
  <c r="AK38" i="1"/>
  <c r="AK4" i="1"/>
  <c r="AK34" i="1"/>
  <c r="AK41" i="1"/>
  <c r="AK30" i="1"/>
  <c r="AK46" i="1"/>
  <c r="AK47" i="1"/>
  <c r="AU18" i="1"/>
  <c r="AX18" i="1" s="1"/>
  <c r="BB18" i="1" s="1"/>
  <c r="BC18" i="1" s="1"/>
  <c r="BD18" i="1" s="1"/>
  <c r="AU26" i="1"/>
  <c r="AX26" i="1" s="1"/>
  <c r="BB26" i="1" s="1"/>
  <c r="BC26" i="1" s="1"/>
  <c r="BD26" i="1" s="1"/>
  <c r="AU8" i="1"/>
  <c r="AX8" i="1" s="1"/>
  <c r="BB8" i="1" s="1"/>
  <c r="BC8" i="1" s="1"/>
  <c r="BD8" i="1" s="1"/>
  <c r="AU9" i="1"/>
  <c r="AX9" i="1" s="1"/>
  <c r="BB9" i="1" s="1"/>
  <c r="BC9" i="1" s="1"/>
  <c r="BD9" i="1" s="1"/>
  <c r="AU31" i="1"/>
  <c r="AX31" i="1" s="1"/>
  <c r="BB31" i="1" s="1"/>
  <c r="BC31" i="1" s="1"/>
  <c r="BD31" i="1" s="1"/>
  <c r="AU33" i="1"/>
  <c r="AX33" i="1" s="1"/>
  <c r="BB33" i="1" s="1"/>
  <c r="BC33" i="1" s="1"/>
  <c r="BD33" i="1" s="1"/>
  <c r="AU6" i="1"/>
  <c r="AX6" i="1" s="1"/>
  <c r="BB6" i="1" s="1"/>
  <c r="BC6" i="1" s="1"/>
  <c r="BD6" i="1" s="1"/>
  <c r="AU20" i="1"/>
  <c r="AX20" i="1" s="1"/>
  <c r="BB20" i="1" s="1"/>
  <c r="BC20" i="1" s="1"/>
  <c r="BD20" i="1" s="1"/>
  <c r="AU24" i="1"/>
  <c r="AX24" i="1" s="1"/>
  <c r="BB24" i="1" s="1"/>
  <c r="BC24" i="1" s="1"/>
  <c r="BD24" i="1" s="1"/>
  <c r="AU28" i="1"/>
  <c r="AX28" i="1" s="1"/>
  <c r="BB28" i="1" s="1"/>
  <c r="AU29" i="1"/>
  <c r="AX29" i="1" s="1"/>
  <c r="BB29" i="1" s="1"/>
  <c r="BC29" i="1" s="1"/>
  <c r="BD29" i="1" s="1"/>
  <c r="AX43" i="1"/>
  <c r="BB43" i="1" s="1"/>
  <c r="BC43" i="1" s="1"/>
  <c r="BD43" i="1" s="1"/>
  <c r="AU22" i="1"/>
  <c r="AX22" i="1" s="1"/>
  <c r="BB22" i="1" s="1"/>
  <c r="BC22" i="1" s="1"/>
  <c r="BD22" i="1" s="1"/>
  <c r="AU4" i="1"/>
  <c r="AX4" i="1" s="1"/>
  <c r="BB4" i="1" s="1"/>
  <c r="BC4" i="1" s="1"/>
  <c r="BD4" i="1" s="1"/>
  <c r="AK44" i="1"/>
  <c r="AU3" i="1"/>
  <c r="AX3" i="1" s="1"/>
  <c r="AU5" i="1"/>
  <c r="AX5" i="1" s="1"/>
  <c r="BB5" i="1" s="1"/>
  <c r="BC5" i="1" s="1"/>
  <c r="AU7" i="1"/>
  <c r="AX7" i="1" s="1"/>
  <c r="BB7" i="1" s="1"/>
  <c r="BC7" i="1" s="1"/>
  <c r="BD7" i="1" s="1"/>
  <c r="AK13" i="1"/>
  <c r="AK18" i="1"/>
  <c r="AK20" i="1"/>
  <c r="AK22" i="1"/>
  <c r="AK24" i="1"/>
  <c r="AK26" i="1"/>
  <c r="AK28" i="1"/>
  <c r="AU34" i="1"/>
  <c r="AX34" i="1" s="1"/>
  <c r="BB34" i="1" s="1"/>
  <c r="BC34" i="1" s="1"/>
  <c r="BD34" i="1" s="1"/>
  <c r="AU36" i="1"/>
  <c r="AX36" i="1" s="1"/>
  <c r="BB36" i="1" s="1"/>
  <c r="BC36" i="1" s="1"/>
  <c r="BD36" i="1" s="1"/>
  <c r="AU38" i="1"/>
  <c r="AX38" i="1" s="1"/>
  <c r="BB38" i="1" s="1"/>
  <c r="BC38" i="1" s="1"/>
  <c r="BD38" i="1" s="1"/>
  <c r="AU39" i="1"/>
  <c r="AX39" i="1" s="1"/>
  <c r="BB39" i="1" s="1"/>
  <c r="BC39" i="1" s="1"/>
  <c r="BD39" i="1" s="1"/>
  <c r="AU41" i="1"/>
  <c r="AX41" i="1" s="1"/>
  <c r="BB41" i="1" s="1"/>
  <c r="BC41" i="1" s="1"/>
  <c r="BD41" i="1" s="1"/>
  <c r="AU44" i="1"/>
  <c r="AX44" i="1" s="1"/>
  <c r="BB44" i="1" s="1"/>
  <c r="BC44" i="1" s="1"/>
  <c r="AU13" i="1"/>
  <c r="AX13" i="1" s="1"/>
  <c r="BB13" i="1" s="1"/>
  <c r="BC13" i="1" s="1"/>
  <c r="BD13" i="1" s="1"/>
  <c r="AU17" i="1"/>
  <c r="AX17" i="1" s="1"/>
  <c r="BB17" i="1" s="1"/>
  <c r="AU19" i="1"/>
  <c r="AX19" i="1" s="1"/>
  <c r="BB19" i="1" s="1"/>
  <c r="BC19" i="1" s="1"/>
  <c r="BD19" i="1" s="1"/>
  <c r="AU21" i="1"/>
  <c r="AX21" i="1" s="1"/>
  <c r="BB21" i="1" s="1"/>
  <c r="AU23" i="1"/>
  <c r="AX23" i="1" s="1"/>
  <c r="BB23" i="1" s="1"/>
  <c r="BC23" i="1" s="1"/>
  <c r="BD23" i="1" s="1"/>
  <c r="AU25" i="1"/>
  <c r="AX25" i="1" s="1"/>
  <c r="BB25" i="1" s="1"/>
  <c r="AU27" i="1"/>
  <c r="AX27" i="1" s="1"/>
  <c r="BB27" i="1" s="1"/>
  <c r="BC27" i="1" s="1"/>
  <c r="BD27" i="1" s="1"/>
  <c r="AU30" i="1"/>
  <c r="AX30" i="1" s="1"/>
  <c r="BB30" i="1" s="1"/>
  <c r="BC30" i="1" s="1"/>
  <c r="BD30" i="1" s="1"/>
  <c r="AK37" i="1"/>
  <c r="AK48" i="1"/>
  <c r="AK40" i="1"/>
  <c r="AK42" i="1"/>
  <c r="AK11" i="1"/>
  <c r="AK12" i="1"/>
  <c r="AK15" i="1"/>
  <c r="AK16" i="1"/>
  <c r="AK17" i="1"/>
  <c r="AK19" i="1"/>
  <c r="AK21" i="1"/>
  <c r="AK23" i="1"/>
  <c r="AK25" i="1"/>
  <c r="AK45" i="1"/>
  <c r="AK27" i="1"/>
  <c r="AK29" i="1"/>
  <c r="AU32" i="1"/>
  <c r="AX32" i="1" s="1"/>
  <c r="BB32" i="1" s="1"/>
  <c r="BC32" i="1" s="1"/>
  <c r="BD32" i="1" s="1"/>
  <c r="AU35" i="1"/>
  <c r="AX35" i="1" s="1"/>
  <c r="BB35" i="1" s="1"/>
  <c r="BC35" i="1" s="1"/>
  <c r="BD35" i="1" s="1"/>
  <c r="AU37" i="1"/>
  <c r="AX37" i="1" s="1"/>
  <c r="BB37" i="1" s="1"/>
  <c r="BC37" i="1" s="1"/>
  <c r="AU48" i="1"/>
  <c r="AX48" i="1" s="1"/>
  <c r="BB48" i="1" s="1"/>
  <c r="BC48" i="1" s="1"/>
  <c r="BD48" i="1" s="1"/>
  <c r="AU40" i="1"/>
  <c r="AX40" i="1" s="1"/>
  <c r="BB40" i="1" s="1"/>
  <c r="BC40" i="1" s="1"/>
  <c r="BD40" i="1" s="1"/>
  <c r="AU42" i="1"/>
  <c r="AX42" i="1" s="1"/>
  <c r="BB42" i="1" s="1"/>
  <c r="BC42" i="1" s="1"/>
  <c r="AK35" i="1"/>
  <c r="AX47" i="1"/>
  <c r="BB47" i="1" s="1"/>
  <c r="BC47" i="1" s="1"/>
  <c r="BD47" i="1" s="1"/>
  <c r="AK5" i="1"/>
  <c r="AK43" i="1"/>
  <c r="AX45" i="1"/>
  <c r="BB45" i="1" s="1"/>
  <c r="BC45" i="1" s="1"/>
  <c r="BD45" i="1" s="1"/>
  <c r="AK33" i="1"/>
  <c r="AX46" i="1"/>
  <c r="BB46" i="1" s="1"/>
  <c r="BC46" i="1" s="1"/>
  <c r="AK3" i="1"/>
  <c r="AU12" i="1"/>
  <c r="AX12" i="1" s="1"/>
  <c r="BB12" i="1" s="1"/>
  <c r="AK6" i="1"/>
  <c r="AK7" i="1"/>
  <c r="AK8" i="1"/>
  <c r="AK9" i="1"/>
  <c r="AU11" i="1"/>
  <c r="AX11" i="1" s="1"/>
  <c r="BB11" i="1" s="1"/>
  <c r="AU15" i="1"/>
  <c r="AX15" i="1" s="1"/>
  <c r="BB15" i="1" s="1"/>
  <c r="AU16" i="1"/>
  <c r="AX16" i="1" s="1"/>
  <c r="BB16" i="1" s="1"/>
  <c r="AK31" i="1"/>
  <c r="AU10" i="1"/>
  <c r="AX10" i="1" s="1"/>
  <c r="BB10" i="1" s="1"/>
  <c r="AU14" i="1"/>
  <c r="AX14" i="1" s="1"/>
  <c r="BB14" i="1" s="1"/>
  <c r="BD5" i="1" l="1"/>
  <c r="BD46" i="1"/>
  <c r="BD42" i="1"/>
  <c r="BD44" i="1"/>
  <c r="BD37" i="1"/>
  <c r="BC28" i="1"/>
  <c r="BD28" i="1" s="1"/>
  <c r="BC14" i="1"/>
  <c r="BD14" i="1" s="1"/>
  <c r="BC11" i="1"/>
  <c r="BD11" i="1" s="1"/>
  <c r="BC25" i="1"/>
  <c r="BD25" i="1" s="1"/>
  <c r="BC10" i="1"/>
  <c r="BD10" i="1" s="1"/>
  <c r="BB3" i="1"/>
  <c r="BC21" i="1"/>
  <c r="BD21" i="1" s="1"/>
  <c r="BC16" i="1"/>
  <c r="BD16" i="1" s="1"/>
  <c r="BC12" i="1"/>
  <c r="BD12" i="1" s="1"/>
  <c r="BC17" i="1"/>
  <c r="BD17" i="1" s="1"/>
  <c r="BC15" i="1"/>
  <c r="BD15" i="1" s="1"/>
  <c r="BC3" i="1" l="1"/>
  <c r="BD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113F5104-A1BE-4EB9-A2E4-8EB157C8ED38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AA49D22C-FE66-4D4B-8231-EDFFDF78EB6C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<sst xmlns="http://schemas.openxmlformats.org/spreadsheetml/2006/main" count="759" uniqueCount="420">
  <si>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</si>
  <si>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</si>
  <si>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</si>
  <si>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</si>
  <si>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</si>
  <si>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</si>
  <si>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</si>
  <si>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</si>
  <si>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</si>
  <si>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</si>
  <si>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</si>
  <si>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</si>
  <si>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</si>
  <si>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</si>
  <si>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</si>
  <si>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</si>
  <si>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</si>
  <si>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</si>
  <si>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</si>
  <si>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</si>
  <si>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</si>
  <si>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</si>
  <si>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</si>
  <si>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</si>
  <si>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</si>
  <si>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</si>
  <si>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</si>
  <si>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</si>
  <si>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</si>
  <si>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</si>
  <si>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</si>
  <si>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</si>
  <si>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</si>
  <si>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</si>
  <si>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</si>
  <si>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</si>
  <si>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</si>
  <si>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</si>
  <si>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</si>
  <si>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</si>
  <si>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</si>
  <si>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</si>
  <si>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</si>
  <si>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</si>
  <si>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</si>
  <si>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</si>
  <si>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</si>
  <si>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</si>
  <si>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</si>
  <si>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</si>
  <si>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</si>
  <si>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</si>
  <si>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</si>
  <si>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</si>
  <si>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</si>
  <si>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</si>
  <si>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</si>
  <si>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</si>
  <si>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</si>
  <si>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</si>
  <si>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</si>
  <si>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</si>
  <si>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</si>
  <si>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</si>
  <si>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</si>
  <si>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</si>
  <si>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</si>
  <si>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</si>
  <si>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</si>
  <si>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</si>
  <si>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</si>
  <si>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</si>
  <si>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</si>
  <si>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</si>
  <si>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</si>
  <si>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</si>
  <si>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</si>
  <si>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</si>
  <si>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</si>
  <si>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</si>
  <si>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</si>
  <si>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</si>
  <si>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</si>
  <si>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</si>
  <si>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</si>
  <si>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</si>
  <si>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</si>
  <si>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</si>
  <si>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</si>
  <si>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</si>
  <si>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上月垫付</t>
    <phoneticPr fontId="4" type="noConversion"/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</si>
  <si>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</si>
  <si>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</si>
  <si>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</si>
  <si>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</si>
  <si>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</si>
  <si>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</si>
  <si>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</si>
  <si>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</si>
  <si>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</si>
  <si>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</si>
  <si>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</si>
  <si>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</si>
  <si>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</si>
  <si>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</si>
  <si>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</si>
  <si>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</si>
  <si>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</si>
  <si>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</si>
  <si>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</si>
  <si>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</si>
  <si>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</si>
  <si>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</si>
  <si>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</si>
  <si>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何军利</t>
  </si>
  <si>
    <t>310227197512314245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</si>
  <si>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</si>
  <si>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</si>
  <si>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</si>
  <si>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</si>
  <si>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</si>
  <si>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</si>
  <si>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</si>
  <si>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</si>
  <si>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</si>
  <si>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</si>
  <si>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</si>
  <si>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</si>
  <si>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</si>
  <si>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</si>
  <si>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</si>
  <si>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</si>
  <si>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</si>
  <si>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</si>
  <si>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</si>
  <si>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</si>
  <si>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</si>
  <si>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</si>
  <si>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</si>
  <si>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</si>
  <si>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</si>
  <si>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</si>
  <si>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</si>
  <si>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</si>
  <si>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姚旭蒙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</si>
  <si>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</si>
  <si>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</si>
  <si>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</si>
  <si>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</si>
  <si>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</si>
  <si>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</si>
  <si>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</si>
  <si>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</si>
  <si>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</si>
  <si>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</si>
  <si>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陈秀丽</t>
  </si>
  <si>
    <t>310227199303073421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</si>
  <si>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</si>
  <si>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</si>
  <si>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</si>
  <si>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</si>
  <si>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</si>
  <si>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</si>
  <si>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</si>
  <si>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</si>
  <si>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</si>
  <si>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</si>
  <si>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马力</t>
  </si>
  <si>
    <t>吴萍萍</t>
  </si>
  <si>
    <t>310227198801103668</t>
  </si>
  <si>
    <t>马一伟</t>
  </si>
  <si>
    <t>310110198101160036</t>
  </si>
  <si>
    <t>庄佳秋</t>
  </si>
  <si>
    <t>310228198909040431</t>
  </si>
  <si>
    <t>韩杰</t>
  </si>
  <si>
    <t>王乐意</t>
  </si>
  <si>
    <t>310227199806014028</t>
  </si>
  <si>
    <t>WB013255</t>
  </si>
  <si>
    <t>WB022825</t>
  </si>
  <si>
    <t>WB023998</t>
  </si>
  <si>
    <t>WB025814</t>
  </si>
  <si>
    <t>WB026291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</si>
  <si>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</si>
  <si>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</si>
  <si>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</si>
  <si>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</si>
  <si>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</si>
  <si>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</si>
  <si>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</si>
  <si>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</si>
  <si>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</si>
  <si>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</si>
  <si>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</si>
  <si>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</si>
  <si>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</si>
  <si>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</si>
  <si>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WB044166</t>
  </si>
  <si>
    <t>WB037461</t>
  </si>
  <si>
    <t>WB047234</t>
  </si>
  <si>
    <t>WB043358</t>
  </si>
  <si>
    <t>WB027701</t>
  </si>
  <si>
    <t>WB041723</t>
  </si>
  <si>
    <t>WB046622</t>
  </si>
  <si>
    <t>WB051748</t>
  </si>
  <si>
    <t>WB049347</t>
  </si>
  <si>
    <t>WB034583</t>
  </si>
  <si>
    <t>WB026293</t>
  </si>
  <si>
    <t>WB046608</t>
  </si>
  <si>
    <t>WB039073</t>
  </si>
  <si>
    <t>WB005376</t>
  </si>
  <si>
    <t>WB030495</t>
  </si>
  <si>
    <t>WB050566</t>
  </si>
  <si>
    <t>WB058986</t>
  </si>
  <si>
    <t>WB038528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</si>
  <si>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</si>
  <si>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</si>
  <si>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</si>
  <si>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</si>
  <si>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</si>
  <si>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</si>
  <si>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</si>
  <si>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</si>
  <si>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</si>
  <si>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</si>
  <si>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保障多收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</si>
  <si>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</si>
  <si>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</si>
  <si>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</si>
  <si>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独生子女奖励</t>
  </si>
  <si>
    <t>310227199010180215</t>
    <phoneticPr fontId="4" type="noConversion"/>
  </si>
  <si>
    <t>310227198108270433</t>
    <phoneticPr fontId="4" type="noConversion"/>
  </si>
  <si>
    <t>310227199001093216</t>
    <phoneticPr fontId="4" type="noConversion"/>
  </si>
  <si>
    <t>342623199908103631</t>
    <phoneticPr fontId="4" type="noConversion"/>
  </si>
  <si>
    <t>范智超</t>
    <phoneticPr fontId="4" type="noConversion"/>
  </si>
  <si>
    <t>其他费用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</si>
  <si>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</si>
  <si>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</si>
  <si>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</si>
  <si>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</si>
  <si>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</si>
  <si>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</si>
  <si>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</si>
  <si>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2024年11月</t>
  </si>
  <si>
    <t>公司名称：中国电信股份有限公司上海分公司</t>
  </si>
  <si>
    <t>帐单号：202411CH6565010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</si>
  <si>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</si>
  <si>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</si>
  <si>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</si>
  <si>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</si>
  <si>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</si>
  <si>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</si>
  <si>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</si>
  <si>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</si>
  <si>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</si>
  <si>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</si>
  <si>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</si>
  <si>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</si>
  <si>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</si>
  <si>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</si>
  <si>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</si>
  <si>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</si>
  <si>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内部工号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</si>
  <si>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</si>
  <si>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</si>
  <si>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</si>
  <si>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</si>
  <si>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</si>
  <si>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</si>
  <si>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</si>
  <si>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</si>
  <si>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</si>
  <si>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</si>
  <si>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</si>
  <si>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</si>
  <si>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</si>
  <si>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</si>
  <si>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</si>
  <si>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</si>
  <si>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</si>
  <si>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</si>
  <si>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</si>
  <si>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</si>
  <si>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</si>
  <si>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</si>
  <si>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</si>
  <si>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</si>
  <si>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Internal ID</t>
  </si>
  <si>
    <t>Taxable Amount</t>
  </si>
  <si>
    <t>Tax Rate</t>
  </si>
  <si>
    <t>202411</t>
  </si>
  <si>
    <t>2024-06-01</t>
  </si>
  <si>
    <t>5545179</t>
  </si>
  <si>
    <t/>
  </si>
  <si>
    <t>6%</t>
  </si>
  <si>
    <t>5573404</t>
  </si>
  <si>
    <t>5545178</t>
  </si>
  <si>
    <t>2024-07-01</t>
  </si>
  <si>
    <t>6063573</t>
  </si>
  <si>
    <t>310227198312160012</t>
  </si>
  <si>
    <t>5573399</t>
  </si>
  <si>
    <t>5517492</t>
  </si>
  <si>
    <t>范智超</t>
  </si>
  <si>
    <t>5862529</t>
  </si>
  <si>
    <t>342623199908103631</t>
  </si>
  <si>
    <t>5573397</t>
  </si>
  <si>
    <t>5573394</t>
  </si>
  <si>
    <t>5573388</t>
  </si>
  <si>
    <t>5517495</t>
  </si>
  <si>
    <t>5545181</t>
  </si>
  <si>
    <t>5573391</t>
  </si>
  <si>
    <t>5573396</t>
  </si>
  <si>
    <t>5545173</t>
  </si>
  <si>
    <t>5573395</t>
  </si>
  <si>
    <t>5573387</t>
  </si>
  <si>
    <t>2024-05-01</t>
  </si>
  <si>
    <t>6010738</t>
  </si>
  <si>
    <t>1881345</t>
  </si>
  <si>
    <t>5545180</t>
  </si>
  <si>
    <t>5573406</t>
  </si>
  <si>
    <t>310227198108270433</t>
  </si>
  <si>
    <t>5862530</t>
  </si>
  <si>
    <t>5573393</t>
  </si>
  <si>
    <t>5573386</t>
  </si>
  <si>
    <t>6063572</t>
  </si>
  <si>
    <t>5517493</t>
  </si>
  <si>
    <t>5573403</t>
  </si>
  <si>
    <t>3277855</t>
  </si>
  <si>
    <t>6010737</t>
  </si>
  <si>
    <t>5545172</t>
  </si>
  <si>
    <t>5545166</t>
  </si>
  <si>
    <t>5545169</t>
  </si>
  <si>
    <t>5573402</t>
  </si>
  <si>
    <t>5606549</t>
  </si>
  <si>
    <t>5545171</t>
  </si>
  <si>
    <t>6064922</t>
  </si>
  <si>
    <t>5573400</t>
  </si>
  <si>
    <t>5545175</t>
  </si>
  <si>
    <t>5545174</t>
  </si>
  <si>
    <t>5545183</t>
  </si>
  <si>
    <t>6010735</t>
  </si>
  <si>
    <t>310227198801262829</t>
  </si>
  <si>
    <t>6010736</t>
  </si>
  <si>
    <t>5831297</t>
  </si>
  <si>
    <t>5573405</t>
  </si>
  <si>
    <t>合计（RMB）</t>
  </si>
  <si>
    <t>总计（RMB）已包含历月补收人民币肆拾柒万陆仟柒佰玖拾伍圆零伍分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</si>
  <si>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</si>
  <si>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</si>
  <si>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</si>
  <si>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</si>
  <si>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</si>
  <si>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</si>
  <si>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</si>
  <si>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</si>
  <si>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</si>
  <si>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</si>
  <si>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</si>
  <si>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</si>
  <si>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</si>
  <si>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本次价税合计(RMB):人民币肆拾柒万陆仟柒佰玖拾伍圆零伍分</t>
  </si>
  <si>
    <t>本月价税合计（RMB）：476795.05 其中已开票476795.05</t>
  </si>
  <si>
    <t>本月总计（RMB）人民币肆拾柒万陆仟柒佰玖拾伍圆零伍分                ￥476795.05</t>
  </si>
  <si>
    <t>减少人员</t>
  </si>
  <si>
    <t>2024-11-01</t>
  </si>
  <si>
    <t>制单人：</t>
  </si>
  <si>
    <t>制单日期：2024-11-20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</si>
  <si>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</si>
  <si>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</si>
  <si>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</si>
  <si>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</si>
  <si>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</si>
  <si>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</si>
  <si>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</si>
  <si>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</si>
  <si>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</si>
  <si>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</si>
  <si>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</si>
  <si>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</si>
  <si>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</si>
  <si>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</si>
  <si>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</si>
  <si>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</si>
  <si>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</si>
  <si>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</si>
  <si>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</si>
  <si>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</si>
  <si>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</si>
  <si>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</si>
  <si>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</si>
  <si>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</si>
  <si>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</si>
  <si>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</si>
  <si>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</si>
  <si>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</si>
  <si>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</si>
  <si>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</si>
  <si>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</si>
  <si>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</si>
  <si>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</si>
  <si>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</si>
  <si>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</si>
  <si>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4" type="noConversion"/>
  </si>
  <si>
    <t>系统已有金额（不做一次性）</t>
    <phoneticPr fontId="2" type="noConversion"/>
  </si>
  <si>
    <t>7月少收，8月补</t>
    <phoneticPr fontId="2" type="noConversion"/>
  </si>
  <si>
    <t>8月少收，9月补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</si>
  <si>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</si>
  <si>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</si>
  <si>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</si>
  <si>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</si>
  <si>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</si>
  <si>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残保金</t>
  </si>
  <si>
    <t>代发工资</t>
  </si>
  <si>
    <t>上月垫付</t>
    <phoneticPr fontId="2" type="noConversion"/>
  </si>
  <si>
    <t>报销</t>
  </si>
  <si>
    <t>预收（做预收一次性）</t>
    <phoneticPr fontId="2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</si>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</sst>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1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15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177" fontId="13" fillId="0" borderId="1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43" fontId="12" fillId="5" borderId="0" xfId="5" applyFont="1" applyFill="1">
      <alignment vertical="center"/>
    </xf>
    <xf numFmtId="14" fontId="11" fillId="5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49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left" vertical="center"/>
    </xf>
    <xf numFmtId="49" fontId="19" fillId="0" borderId="5" xfId="0" applyNumberFormat="1" applyFont="1" applyBorder="1" applyAlignment="1">
      <alignment horizontal="center" wrapText="1"/>
    </xf>
    <xf numFmtId="178" fontId="19" fillId="0" borderId="5" xfId="0" applyNumberFormat="1" applyFont="1" applyBorder="1" applyAlignment="1">
      <alignment horizontal="center" wrapText="1"/>
    </xf>
    <xf numFmtId="178" fontId="19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8" fontId="19" fillId="0" borderId="5" xfId="0" applyNumberFormat="1" applyFont="1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wrapText="1"/>
    </xf>
    <xf numFmtId="49" fontId="19" fillId="0" borderId="6" xfId="0" applyNumberFormat="1" applyFont="1" applyBorder="1" applyAlignment="1">
      <alignment horizontal="center" vertical="top" wrapText="1"/>
    </xf>
    <xf numFmtId="178" fontId="19" fillId="0" borderId="6" xfId="0" applyNumberFormat="1" applyFont="1" applyBorder="1" applyAlignment="1">
      <alignment horizontal="center" vertical="top" wrapText="1"/>
    </xf>
    <xf numFmtId="178" fontId="19" fillId="0" borderId="1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49" fontId="21" fillId="0" borderId="1" xfId="0" applyNumberFormat="1" applyFont="1" applyBorder="1" applyAlignment="1">
      <alignment horizontal="center" vertical="center"/>
    </xf>
    <xf numFmtId="178" fontId="21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right" vertical="center"/>
    </xf>
    <xf numFmtId="178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left" vertical="center"/>
    </xf>
    <xf numFmtId="7" fontId="22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wrapText="1"/>
    </xf>
    <xf numFmtId="178" fontId="19" fillId="0" borderId="0" xfId="0" applyNumberFormat="1" applyFont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7" fontId="21" fillId="0" borderId="1" xfId="0" applyNumberFormat="1" applyFont="1" applyBorder="1" applyAlignment="1">
      <alignment horizontal="right" vertical="center"/>
    </xf>
    <xf numFmtId="49" fontId="24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7" fontId="21" fillId="0" borderId="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7" fontId="21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7" xfId="0" applyNumberFormat="1" applyFont="1" applyFill="1" applyBorder="1" applyAlignment="1">
      <alignment horizontal="center" vertical="center"/>
    </xf>
    <xf numFmtId="49" fontId="6" fillId="0" borderId="0" xfId="6" applyNumberFormat="1" applyAlignment="1">
      <alignment horizontal="center" vertical="center"/>
    </xf>
    <xf numFmtId="43" fontId="0" fillId="0" borderId="0" xfId="0" applyNumberFormat="1">
      <alignment vertical="center"/>
    </xf>
    <xf numFmtId="43" fontId="26" fillId="5" borderId="1" xfId="0" applyNumberFormat="1" applyFont="1" applyFill="1" applyBorder="1" applyAlignment="1">
      <alignment horizontal="center" vertical="center"/>
    </xf>
    <xf numFmtId="43" fontId="26" fillId="0" borderId="1" xfId="5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center" vertical="center"/>
    </xf>
    <xf numFmtId="43" fontId="27" fillId="5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43" fontId="27" fillId="7" borderId="1" xfId="0" applyNumberFormat="1" applyFont="1" applyFill="1" applyBorder="1" applyAlignment="1">
      <alignment horizontal="center" vertical="center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F55"/>
  <sheetViews>
    <sheetView tabSelected="1" zoomScaleNormal="100" workbookViewId="0">
      <pane xSplit="5" ySplit="2" topLeftCell="AV7" activePane="bottomRight" state="frozen"/>
      <selection pane="topRight" activeCell="E1" sqref="E1"/>
      <selection pane="bottomLeft" activeCell="A3" sqref="A3"/>
      <selection pane="bottomRight" activeCell="AX56" sqref="AX56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7.77734375" style="30" bestFit="1" customWidth="1"/>
    <col min="8" max="8" width="11.21875" style="30" bestFit="1" customWidth="1"/>
    <col min="9" max="9" width="8.88671875" style="30" bestFit="1" customWidth="1"/>
    <col min="10" max="10" width="6.77734375" style="30" bestFit="1" customWidth="1"/>
    <col min="11" max="12" width="7.6640625" style="30" bestFit="1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6" style="30" bestFit="1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3" width="5.6640625" style="30" bestFit="1" customWidth="1"/>
    <col min="24" max="24" width="7.21875" style="30" bestFit="1" customWidth="1"/>
    <col min="25" max="25" width="9" style="30" customWidth="1"/>
    <col min="26" max="26" width="12.88671875" style="30" bestFit="1" customWidth="1"/>
    <col min="27" max="29" width="8.33203125" style="30" bestFit="1" customWidth="1"/>
    <col min="30" max="30" width="8.77734375" style="30" bestFit="1" customWidth="1"/>
    <col min="31" max="32" width="8.88671875" style="30" bestFit="1" customWidth="1"/>
    <col min="33" max="33" width="12.88671875" style="30" bestFit="1" customWidth="1"/>
    <col min="34" max="34" width="9.109375" style="30" bestFit="1" customWidth="1"/>
    <col min="35" max="35" width="6.44140625" style="30" bestFit="1" customWidth="1"/>
    <col min="36" max="36" width="6.77734375" style="30" bestFit="1" customWidth="1"/>
    <col min="37" max="37" width="12.88671875" style="30" bestFit="1" customWidth="1"/>
    <col min="38" max="38" width="10.77734375" style="30" customWidth="1"/>
    <col min="39" max="39" width="8.88671875" style="30" bestFit="1" customWidth="1"/>
    <col min="40" max="40" width="13.109375" style="30" customWidth="1"/>
    <col min="41" max="41" width="11.44140625" style="30" customWidth="1"/>
    <col min="42" max="42" width="8.77734375" style="30" bestFit="1" customWidth="1"/>
    <col min="43" max="43" width="6.44140625" style="30" bestFit="1" customWidth="1"/>
    <col min="44" max="44" width="6.5546875" style="30" bestFit="1" customWidth="1"/>
    <col min="45" max="45" width="12.88671875" style="30" bestFit="1" customWidth="1"/>
    <col min="46" max="46" width="8.33203125" style="30" bestFit="1" customWidth="1"/>
    <col min="47" max="47" width="12.88671875" style="30" bestFit="1" customWidth="1"/>
    <col min="48" max="48" width="12.33203125" style="30" customWidth="1"/>
    <col min="49" max="49" width="7.44140625" style="30" bestFit="1" customWidth="1"/>
    <col min="50" max="50" width="12.88671875" style="30" bestFit="1" customWidth="1"/>
    <col min="51" max="51" width="11.109375" style="30" customWidth="1"/>
    <col min="52" max="52" width="40.88671875" style="30" customWidth="1"/>
    <col min="53" max="53" width="11.6640625" style="30" bestFit="1" customWidth="1"/>
    <col min="54" max="54" width="12.33203125" style="30" customWidth="1"/>
    <col min="55" max="55" width="11.6640625" style="30" bestFit="1" customWidth="1"/>
    <col min="56" max="56" width="12.88671875" style="30" bestFit="1" customWidth="1"/>
    <col min="57" max="57" width="9.109375" style="30"/>
    <col min="58" max="58" width="11.6640625" style="30" bestFit="1" customWidth="1"/>
    <col min="59" max="16384" width="9.109375" style="30"/>
  </cols>
  <sheetData>
    <row r="1" spans="1:58" s="9" customFormat="1" ht="26.1" customHeight="1" x14ac:dyDescent="0.3">
      <c r="A1" s="1" t="s">
        <v>83</v>
      </c>
      <c r="B1" s="2" t="s">
        <v>82</v>
      </c>
      <c r="C1" s="34" t="s">
        <v>84</v>
      </c>
      <c r="D1" s="34" t="s">
        <v>81</v>
      </c>
      <c r="E1" s="34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51" t="s">
        <v>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4" t="s">
        <v>71</v>
      </c>
      <c r="AA1" s="3" t="s">
        <v>70</v>
      </c>
      <c r="AB1" s="3" t="s">
        <v>69</v>
      </c>
      <c r="AC1" s="3" t="s">
        <v>68</v>
      </c>
      <c r="AD1" s="3" t="s">
        <v>67</v>
      </c>
      <c r="AE1" s="3" t="s">
        <v>66</v>
      </c>
      <c r="AF1" s="3" t="s">
        <v>65</v>
      </c>
      <c r="AG1" s="4" t="s">
        <v>64</v>
      </c>
      <c r="AH1" s="3" t="s">
        <v>63</v>
      </c>
      <c r="AI1" s="3" t="s">
        <v>62</v>
      </c>
      <c r="AJ1" s="3" t="s">
        <v>61</v>
      </c>
      <c r="AK1" s="4" t="s">
        <v>60</v>
      </c>
      <c r="AL1" s="3" t="s">
        <v>59</v>
      </c>
      <c r="AM1" s="3" t="s">
        <v>58</v>
      </c>
      <c r="AN1" s="3" t="s">
        <v>57</v>
      </c>
      <c r="AO1" s="3" t="s">
        <v>56</v>
      </c>
      <c r="AP1" s="3" t="s">
        <v>55</v>
      </c>
      <c r="AQ1" s="3" t="s">
        <v>54</v>
      </c>
      <c r="AR1" s="3" t="s">
        <v>53</v>
      </c>
      <c r="AS1" s="3" t="s">
        <v>52</v>
      </c>
      <c r="AT1" s="3" t="s">
        <v>51</v>
      </c>
      <c r="AU1" s="4" t="s">
        <v>50</v>
      </c>
      <c r="AV1" s="4"/>
      <c r="AW1" s="4" t="s">
        <v>49</v>
      </c>
      <c r="AX1" s="5" t="s">
        <v>48</v>
      </c>
      <c r="AY1" s="6" t="s">
        <v>90</v>
      </c>
      <c r="AZ1" s="7" t="s">
        <v>47</v>
      </c>
      <c r="BA1" s="5" t="s">
        <v>46</v>
      </c>
      <c r="BB1" s="8" t="s">
        <v>86</v>
      </c>
      <c r="BC1" s="5" t="s">
        <v>45</v>
      </c>
      <c r="BD1" s="5" t="s">
        <v>44</v>
      </c>
    </row>
    <row r="2" spans="1:58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92</v>
      </c>
      <c r="Q2" s="10" t="s">
        <v>88</v>
      </c>
      <c r="R2" s="10" t="s">
        <v>29</v>
      </c>
      <c r="S2" s="10" t="s">
        <v>228</v>
      </c>
      <c r="T2" s="10" t="s">
        <v>226</v>
      </c>
      <c r="U2" s="10" t="s">
        <v>234</v>
      </c>
      <c r="V2" s="10" t="s">
        <v>28</v>
      </c>
      <c r="W2" s="10" t="s">
        <v>89</v>
      </c>
      <c r="X2" s="10" t="s">
        <v>224</v>
      </c>
      <c r="Y2" s="10" t="s">
        <v>27</v>
      </c>
      <c r="Z2" s="13" t="s">
        <v>26</v>
      </c>
      <c r="AA2" s="12" t="s">
        <v>16</v>
      </c>
      <c r="AB2" s="12" t="s">
        <v>25</v>
      </c>
      <c r="AC2" s="12" t="s">
        <v>24</v>
      </c>
      <c r="AD2" s="12" t="s">
        <v>23</v>
      </c>
      <c r="AE2" s="12" t="s">
        <v>15</v>
      </c>
      <c r="AF2" s="12" t="s">
        <v>22</v>
      </c>
      <c r="AG2" s="13" t="s">
        <v>21</v>
      </c>
      <c r="AH2" s="12" t="s">
        <v>20</v>
      </c>
      <c r="AI2" s="12" t="s">
        <v>19</v>
      </c>
      <c r="AJ2" s="12" t="s">
        <v>18</v>
      </c>
      <c r="AK2" s="13" t="s">
        <v>17</v>
      </c>
      <c r="AL2" s="12" t="s">
        <v>16</v>
      </c>
      <c r="AM2" s="12" t="s">
        <v>15</v>
      </c>
      <c r="AN2" s="12" t="s">
        <v>14</v>
      </c>
      <c r="AO2" s="12" t="s">
        <v>13</v>
      </c>
      <c r="AP2" s="12" t="s">
        <v>12</v>
      </c>
      <c r="AQ2" s="12" t="s">
        <v>11</v>
      </c>
      <c r="AR2" s="12" t="s">
        <v>10</v>
      </c>
      <c r="AS2" s="12" t="s">
        <v>9</v>
      </c>
      <c r="AT2" s="12" t="s">
        <v>8</v>
      </c>
      <c r="AU2" s="13" t="s">
        <v>7</v>
      </c>
      <c r="AV2" s="13"/>
      <c r="AW2" s="13" t="s">
        <v>6</v>
      </c>
      <c r="AX2" s="13" t="s">
        <v>5</v>
      </c>
      <c r="AY2" s="14"/>
      <c r="AZ2" s="15" t="s">
        <v>4</v>
      </c>
      <c r="BA2" s="5" t="s">
        <v>3</v>
      </c>
      <c r="BB2" s="8" t="s">
        <v>87</v>
      </c>
      <c r="BC2" s="5" t="s">
        <v>2</v>
      </c>
      <c r="BD2" s="5" t="s">
        <v>1</v>
      </c>
    </row>
    <row r="3" spans="1:58" s="28" customFormat="1" ht="15" customHeight="1" x14ac:dyDescent="0.25">
      <c r="A3" s="17">
        <f>ROW()-2</f>
        <v>1</v>
      </c>
      <c r="B3" s="18">
        <v>2411</v>
      </c>
      <c r="C3" s="17" t="s">
        <v>227</v>
      </c>
      <c r="D3" s="17" t="s">
        <v>93</v>
      </c>
      <c r="E3" s="19" t="s">
        <v>225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4824.8</v>
      </c>
      <c r="L3" s="22">
        <v>1984.08</v>
      </c>
      <c r="M3" s="22"/>
      <c r="N3" s="22"/>
      <c r="O3" s="22"/>
      <c r="P3" s="22">
        <v>200</v>
      </c>
      <c r="Q3" s="22"/>
      <c r="R3" s="22">
        <v>630</v>
      </c>
      <c r="S3" s="35">
        <v>0</v>
      </c>
      <c r="T3" s="22"/>
      <c r="U3" s="35">
        <v>742</v>
      </c>
      <c r="V3" s="35">
        <v>0</v>
      </c>
      <c r="W3" s="22"/>
      <c r="X3" s="22">
        <v>0</v>
      </c>
      <c r="Y3" s="22">
        <v>0</v>
      </c>
      <c r="Z3" s="23">
        <f t="shared" ref="Z3:Z6" si="0">SUM(J3:Y3)</f>
        <v>9580.880000000001</v>
      </c>
      <c r="AA3" s="24">
        <v>7384</v>
      </c>
      <c r="AB3" s="24">
        <v>590.72</v>
      </c>
      <c r="AC3" s="24">
        <v>147.68</v>
      </c>
      <c r="AD3" s="24">
        <v>36.92</v>
      </c>
      <c r="AE3" s="24">
        <v>2690</v>
      </c>
      <c r="AF3" s="24">
        <f>ROUND(AE3*7%,0)</f>
        <v>188</v>
      </c>
      <c r="AG3" s="23">
        <f t="shared" ref="AG3:AG44" si="1">AB3+AC3+AD3+AF3</f>
        <v>963.32</v>
      </c>
      <c r="AH3" s="25"/>
      <c r="AI3" s="25"/>
      <c r="AJ3" s="25"/>
      <c r="AK3" s="23">
        <f t="shared" ref="AK3:AK48" si="2">Z3-AG3-AH3</f>
        <v>8617.5600000000013</v>
      </c>
      <c r="AL3" s="24">
        <v>7384</v>
      </c>
      <c r="AM3" s="24">
        <v>2690</v>
      </c>
      <c r="AN3" s="24">
        <f>ROUND(AL3*16%,2)</f>
        <v>1181.44</v>
      </c>
      <c r="AO3" s="24">
        <f>ROUND(AL3*9%,2)</f>
        <v>664.56</v>
      </c>
      <c r="AP3" s="24">
        <f t="shared" ref="AP3:AP44" si="3">ROUND(AL3*0.5%,2)</f>
        <v>36.92</v>
      </c>
      <c r="AQ3" s="24">
        <f t="shared" ref="AQ3:AQ44" si="4">ROUND(AL3*0.256%,2)</f>
        <v>18.899999999999999</v>
      </c>
      <c r="AR3" s="24"/>
      <c r="AS3" s="24">
        <f t="shared" ref="AS3:AS44" si="5">ROUND(AM3*7%,0)</f>
        <v>188</v>
      </c>
      <c r="AT3" s="24">
        <f t="shared" ref="AT3:AT44" si="6">ROUND(IF(AL3&lt;24366,AL3*1.5%,24366*1.5%),2)</f>
        <v>110.76</v>
      </c>
      <c r="AU3" s="23">
        <f t="shared" ref="AU3:AU44" si="7">SUM(AN3:AT3)</f>
        <v>2200.5800000000004</v>
      </c>
      <c r="AV3" s="23"/>
      <c r="AW3" s="23"/>
      <c r="AX3" s="23">
        <f t="shared" ref="AX3:AX48" si="8">AU3+Z3+AI3-AJ3+AW3</f>
        <v>11781.460000000001</v>
      </c>
      <c r="AY3" s="26"/>
      <c r="AZ3" s="33"/>
      <c r="BA3" s="23">
        <v>255</v>
      </c>
      <c r="BB3" s="27">
        <f t="shared" ref="BB3:BB44" si="9">ROUND(AX3+BA3+AY3,2)</f>
        <v>12036.46</v>
      </c>
      <c r="BC3" s="23">
        <f t="shared" ref="BC3:BC44" si="10">ROUND(BB3*6%,2)</f>
        <v>722.19</v>
      </c>
      <c r="BD3" s="23">
        <f t="shared" ref="BD3:BD44" si="11">ROUND(SUM(BB3:BC3),2)</f>
        <v>12758.65</v>
      </c>
      <c r="BF3" s="29"/>
    </row>
    <row r="4" spans="1:58" s="28" customFormat="1" ht="15" customHeight="1" x14ac:dyDescent="0.25">
      <c r="A4" s="17">
        <f t="shared" ref="A4:A48" si="12">ROW()-2</f>
        <v>2</v>
      </c>
      <c r="B4" s="18">
        <v>2411</v>
      </c>
      <c r="C4" s="17" t="s">
        <v>103</v>
      </c>
      <c r="D4" s="17" t="s">
        <v>100</v>
      </c>
      <c r="E4" s="19" t="s">
        <v>94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1531</v>
      </c>
      <c r="L4" s="22">
        <v>987.6</v>
      </c>
      <c r="M4" s="22"/>
      <c r="N4" s="22"/>
      <c r="O4" s="22"/>
      <c r="P4" s="22">
        <v>200</v>
      </c>
      <c r="Q4" s="22"/>
      <c r="R4" s="22">
        <v>630</v>
      </c>
      <c r="S4" s="35">
        <v>0</v>
      </c>
      <c r="T4" s="22"/>
      <c r="U4" s="35">
        <v>742</v>
      </c>
      <c r="V4" s="35">
        <v>0</v>
      </c>
      <c r="W4" s="22"/>
      <c r="X4" s="22">
        <v>184.72</v>
      </c>
      <c r="Y4" s="22">
        <v>0</v>
      </c>
      <c r="Z4" s="23">
        <f t="shared" si="0"/>
        <v>5225.3200000000006</v>
      </c>
      <c r="AA4" s="24">
        <v>7384</v>
      </c>
      <c r="AB4" s="24">
        <v>590.72</v>
      </c>
      <c r="AC4" s="24">
        <v>147.68</v>
      </c>
      <c r="AD4" s="24">
        <v>36.92</v>
      </c>
      <c r="AE4" s="24">
        <v>2690</v>
      </c>
      <c r="AF4" s="24">
        <f t="shared" ref="AF4:AF44" si="13">ROUND(AE4*7%,0)</f>
        <v>188</v>
      </c>
      <c r="AG4" s="23">
        <f t="shared" si="1"/>
        <v>963.32</v>
      </c>
      <c r="AH4" s="25"/>
      <c r="AI4" s="25"/>
      <c r="AJ4" s="25"/>
      <c r="AK4" s="23">
        <f t="shared" si="2"/>
        <v>4262.0000000000009</v>
      </c>
      <c r="AL4" s="24">
        <v>7384</v>
      </c>
      <c r="AM4" s="24">
        <v>2690</v>
      </c>
      <c r="AN4" s="24">
        <f t="shared" ref="AN4:AN44" si="14">ROUND(AL4*16%,2)</f>
        <v>1181.44</v>
      </c>
      <c r="AO4" s="24">
        <f t="shared" ref="AO4:AO44" si="15">ROUND(AL4*9%,2)</f>
        <v>664.56</v>
      </c>
      <c r="AP4" s="24">
        <f t="shared" si="3"/>
        <v>36.92</v>
      </c>
      <c r="AQ4" s="24">
        <f t="shared" si="4"/>
        <v>18.899999999999999</v>
      </c>
      <c r="AR4" s="24"/>
      <c r="AS4" s="24">
        <f t="shared" si="5"/>
        <v>188</v>
      </c>
      <c r="AT4" s="24">
        <f t="shared" si="6"/>
        <v>110.76</v>
      </c>
      <c r="AU4" s="23">
        <f t="shared" si="7"/>
        <v>2200.5800000000004</v>
      </c>
      <c r="AV4" s="23"/>
      <c r="AW4" s="23"/>
      <c r="AX4" s="23">
        <f t="shared" si="8"/>
        <v>7425.9000000000015</v>
      </c>
      <c r="AY4" s="26"/>
      <c r="AZ4" s="33"/>
      <c r="BA4" s="23">
        <v>255</v>
      </c>
      <c r="BB4" s="27">
        <f t="shared" si="9"/>
        <v>7680.9</v>
      </c>
      <c r="BC4" s="23">
        <f t="shared" si="10"/>
        <v>460.85</v>
      </c>
      <c r="BD4" s="23">
        <f t="shared" si="11"/>
        <v>8141.75</v>
      </c>
      <c r="BF4" s="29"/>
    </row>
    <row r="5" spans="1:58" s="28" customFormat="1" ht="15" customHeight="1" x14ac:dyDescent="0.25">
      <c r="A5" s="17">
        <f t="shared" si="12"/>
        <v>3</v>
      </c>
      <c r="B5" s="18">
        <v>2411</v>
      </c>
      <c r="C5" s="17" t="s">
        <v>104</v>
      </c>
      <c r="D5" s="17" t="s">
        <v>95</v>
      </c>
      <c r="E5" s="19" t="s">
        <v>96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1467.4</v>
      </c>
      <c r="L5" s="22">
        <v>986.64</v>
      </c>
      <c r="M5" s="22"/>
      <c r="N5" s="22"/>
      <c r="O5" s="22"/>
      <c r="P5" s="22">
        <v>200</v>
      </c>
      <c r="Q5" s="22"/>
      <c r="R5" s="22">
        <v>630</v>
      </c>
      <c r="S5" s="35">
        <v>0</v>
      </c>
      <c r="T5" s="22"/>
      <c r="U5" s="35">
        <v>742</v>
      </c>
      <c r="V5" s="35">
        <v>0</v>
      </c>
      <c r="W5" s="22"/>
      <c r="X5" s="22">
        <v>169.28</v>
      </c>
      <c r="Y5" s="22">
        <v>0</v>
      </c>
      <c r="Z5" s="23">
        <f t="shared" si="0"/>
        <v>5225.32</v>
      </c>
      <c r="AA5" s="24">
        <v>7384</v>
      </c>
      <c r="AB5" s="24">
        <v>590.72</v>
      </c>
      <c r="AC5" s="24">
        <v>147.68</v>
      </c>
      <c r="AD5" s="24">
        <v>36.92</v>
      </c>
      <c r="AE5" s="24">
        <v>2690</v>
      </c>
      <c r="AF5" s="24">
        <f t="shared" si="13"/>
        <v>188</v>
      </c>
      <c r="AG5" s="23">
        <f t="shared" si="1"/>
        <v>963.32</v>
      </c>
      <c r="AH5" s="25"/>
      <c r="AI5" s="25"/>
      <c r="AJ5" s="25"/>
      <c r="AK5" s="23">
        <f t="shared" si="2"/>
        <v>4262</v>
      </c>
      <c r="AL5" s="24">
        <v>7384</v>
      </c>
      <c r="AM5" s="24">
        <v>2690</v>
      </c>
      <c r="AN5" s="24">
        <f t="shared" si="14"/>
        <v>1181.44</v>
      </c>
      <c r="AO5" s="24">
        <f t="shared" si="15"/>
        <v>664.56</v>
      </c>
      <c r="AP5" s="24">
        <f t="shared" si="3"/>
        <v>36.92</v>
      </c>
      <c r="AQ5" s="24">
        <f t="shared" si="4"/>
        <v>18.899999999999999</v>
      </c>
      <c r="AR5" s="24"/>
      <c r="AS5" s="24">
        <f t="shared" si="5"/>
        <v>188</v>
      </c>
      <c r="AT5" s="24">
        <f t="shared" si="6"/>
        <v>110.76</v>
      </c>
      <c r="AU5" s="23">
        <f t="shared" si="7"/>
        <v>2200.5800000000004</v>
      </c>
      <c r="AV5" s="23"/>
      <c r="AW5" s="23"/>
      <c r="AX5" s="23">
        <f t="shared" si="8"/>
        <v>7425.9</v>
      </c>
      <c r="AY5" s="26"/>
      <c r="AZ5" s="33"/>
      <c r="BA5" s="23">
        <v>255</v>
      </c>
      <c r="BB5" s="27">
        <f t="shared" si="9"/>
        <v>7680.9</v>
      </c>
      <c r="BC5" s="23">
        <f t="shared" si="10"/>
        <v>460.85</v>
      </c>
      <c r="BD5" s="23">
        <f t="shared" si="11"/>
        <v>8141.75</v>
      </c>
      <c r="BF5" s="29"/>
    </row>
    <row r="6" spans="1:58" s="28" customFormat="1" ht="15" customHeight="1" x14ac:dyDescent="0.25">
      <c r="A6" s="17">
        <f t="shared" si="12"/>
        <v>4</v>
      </c>
      <c r="B6" s="18">
        <v>2411</v>
      </c>
      <c r="C6" s="17" t="s">
        <v>102</v>
      </c>
      <c r="D6" s="17" t="s">
        <v>97</v>
      </c>
      <c r="E6" s="19" t="s">
        <v>98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4729.8</v>
      </c>
      <c r="L6" s="22">
        <v>1187.1199999999999</v>
      </c>
      <c r="M6" s="22"/>
      <c r="N6" s="22"/>
      <c r="O6" s="22"/>
      <c r="P6" s="22">
        <v>200</v>
      </c>
      <c r="Q6" s="22"/>
      <c r="R6" s="22">
        <v>630</v>
      </c>
      <c r="S6" s="35">
        <v>0</v>
      </c>
      <c r="T6" s="22"/>
      <c r="U6" s="35">
        <v>742</v>
      </c>
      <c r="V6" s="35">
        <v>0</v>
      </c>
      <c r="W6" s="22"/>
      <c r="X6" s="22">
        <v>0</v>
      </c>
      <c r="Y6" s="22">
        <v>0</v>
      </c>
      <c r="Z6" s="23">
        <f t="shared" si="0"/>
        <v>8438.92</v>
      </c>
      <c r="AA6" s="24">
        <v>7384</v>
      </c>
      <c r="AB6" s="24">
        <v>590.72</v>
      </c>
      <c r="AC6" s="24">
        <v>147.68</v>
      </c>
      <c r="AD6" s="24">
        <v>36.92</v>
      </c>
      <c r="AE6" s="24">
        <v>2690</v>
      </c>
      <c r="AF6" s="24">
        <f t="shared" si="13"/>
        <v>188</v>
      </c>
      <c r="AG6" s="23">
        <f t="shared" si="1"/>
        <v>963.32</v>
      </c>
      <c r="AH6" s="25"/>
      <c r="AI6" s="25"/>
      <c r="AJ6" s="25"/>
      <c r="AK6" s="23">
        <f t="shared" si="2"/>
        <v>7475.6</v>
      </c>
      <c r="AL6" s="24">
        <v>7384</v>
      </c>
      <c r="AM6" s="24">
        <v>2690</v>
      </c>
      <c r="AN6" s="24">
        <f t="shared" si="14"/>
        <v>1181.44</v>
      </c>
      <c r="AO6" s="24">
        <f t="shared" si="15"/>
        <v>664.56</v>
      </c>
      <c r="AP6" s="24">
        <f t="shared" si="3"/>
        <v>36.92</v>
      </c>
      <c r="AQ6" s="24">
        <f t="shared" si="4"/>
        <v>18.899999999999999</v>
      </c>
      <c r="AR6" s="24"/>
      <c r="AS6" s="24">
        <f t="shared" si="5"/>
        <v>188</v>
      </c>
      <c r="AT6" s="24">
        <f t="shared" si="6"/>
        <v>110.76</v>
      </c>
      <c r="AU6" s="23">
        <f t="shared" si="7"/>
        <v>2200.5800000000004</v>
      </c>
      <c r="AV6" s="23"/>
      <c r="AW6" s="23"/>
      <c r="AX6" s="23">
        <f t="shared" si="8"/>
        <v>10639.5</v>
      </c>
      <c r="AY6" s="26"/>
      <c r="AZ6" s="33"/>
      <c r="BA6" s="23">
        <v>255</v>
      </c>
      <c r="BB6" s="27">
        <f t="shared" si="9"/>
        <v>10894.5</v>
      </c>
      <c r="BC6" s="23">
        <f t="shared" si="10"/>
        <v>653.66999999999996</v>
      </c>
      <c r="BD6" s="23">
        <f t="shared" si="11"/>
        <v>11548.17</v>
      </c>
      <c r="BF6" s="29"/>
    </row>
    <row r="7" spans="1:58" s="28" customFormat="1" ht="15" customHeight="1" x14ac:dyDescent="0.25">
      <c r="A7" s="17">
        <f t="shared" si="12"/>
        <v>5</v>
      </c>
      <c r="B7" s="18">
        <v>2411</v>
      </c>
      <c r="C7" s="17" t="s">
        <v>105</v>
      </c>
      <c r="D7" s="17" t="s">
        <v>101</v>
      </c>
      <c r="E7" s="19" t="s">
        <v>99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2216.2399999999998</v>
      </c>
      <c r="L7" s="22">
        <v>1298.56</v>
      </c>
      <c r="M7" s="22"/>
      <c r="N7" s="22"/>
      <c r="O7" s="22"/>
      <c r="P7" s="22">
        <v>200</v>
      </c>
      <c r="Q7" s="22"/>
      <c r="R7" s="22">
        <v>630</v>
      </c>
      <c r="S7" s="35">
        <v>0</v>
      </c>
      <c r="T7" s="22"/>
      <c r="U7" s="35">
        <v>0</v>
      </c>
      <c r="V7" s="35">
        <v>0</v>
      </c>
      <c r="W7" s="22"/>
      <c r="X7" s="22">
        <v>0</v>
      </c>
      <c r="Y7" s="22">
        <v>0</v>
      </c>
      <c r="Z7" s="23">
        <f t="shared" ref="Z7:Z39" si="16">SUM(J7:Y7)</f>
        <v>5294.7999999999993</v>
      </c>
      <c r="AA7" s="24">
        <v>7384</v>
      </c>
      <c r="AB7" s="24">
        <v>590.72</v>
      </c>
      <c r="AC7" s="24">
        <v>147.68</v>
      </c>
      <c r="AD7" s="24">
        <v>36.92</v>
      </c>
      <c r="AE7" s="24">
        <v>2690</v>
      </c>
      <c r="AF7" s="24">
        <f t="shared" si="13"/>
        <v>188</v>
      </c>
      <c r="AG7" s="23">
        <f t="shared" si="1"/>
        <v>963.32</v>
      </c>
      <c r="AH7" s="25"/>
      <c r="AI7" s="25"/>
      <c r="AJ7" s="25"/>
      <c r="AK7" s="23">
        <f t="shared" si="2"/>
        <v>4331.4799999999996</v>
      </c>
      <c r="AL7" s="24">
        <v>7384</v>
      </c>
      <c r="AM7" s="24">
        <v>2690</v>
      </c>
      <c r="AN7" s="24">
        <f t="shared" si="14"/>
        <v>1181.44</v>
      </c>
      <c r="AO7" s="24">
        <f t="shared" si="15"/>
        <v>664.56</v>
      </c>
      <c r="AP7" s="24">
        <f t="shared" si="3"/>
        <v>36.92</v>
      </c>
      <c r="AQ7" s="24">
        <f t="shared" si="4"/>
        <v>18.899999999999999</v>
      </c>
      <c r="AR7" s="24"/>
      <c r="AS7" s="24">
        <f t="shared" si="5"/>
        <v>188</v>
      </c>
      <c r="AT7" s="24">
        <f t="shared" si="6"/>
        <v>110.76</v>
      </c>
      <c r="AU7" s="23">
        <f t="shared" si="7"/>
        <v>2200.5800000000004</v>
      </c>
      <c r="AV7" s="23"/>
      <c r="AW7" s="23"/>
      <c r="AX7" s="23">
        <f t="shared" si="8"/>
        <v>7495.3799999999992</v>
      </c>
      <c r="AY7" s="26"/>
      <c r="AZ7" s="33"/>
      <c r="BA7" s="23">
        <v>255</v>
      </c>
      <c r="BB7" s="27">
        <f t="shared" si="9"/>
        <v>7750.38</v>
      </c>
      <c r="BC7" s="23">
        <f t="shared" si="10"/>
        <v>465.02</v>
      </c>
      <c r="BD7" s="23">
        <f t="shared" si="11"/>
        <v>8215.4</v>
      </c>
      <c r="BF7" s="29"/>
    </row>
    <row r="8" spans="1:58" s="28" customFormat="1" ht="15" customHeight="1" x14ac:dyDescent="0.25">
      <c r="A8" s="17">
        <f t="shared" si="12"/>
        <v>6</v>
      </c>
      <c r="B8" s="18">
        <v>2411</v>
      </c>
      <c r="C8" s="17" t="s">
        <v>177</v>
      </c>
      <c r="D8" s="17" t="s">
        <v>106</v>
      </c>
      <c r="E8" s="19" t="s">
        <v>107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2918.2</v>
      </c>
      <c r="L8" s="22">
        <v>2613.7600000000002</v>
      </c>
      <c r="M8" s="22"/>
      <c r="N8" s="22"/>
      <c r="O8" s="22"/>
      <c r="P8" s="22">
        <v>200</v>
      </c>
      <c r="Q8" s="22"/>
      <c r="R8" s="22">
        <v>630</v>
      </c>
      <c r="S8" s="35">
        <v>0</v>
      </c>
      <c r="T8" s="22"/>
      <c r="U8" s="35">
        <v>742</v>
      </c>
      <c r="V8" s="35">
        <v>0</v>
      </c>
      <c r="W8" s="22"/>
      <c r="X8" s="22">
        <v>0</v>
      </c>
      <c r="Y8" s="22">
        <v>-200</v>
      </c>
      <c r="Z8" s="23">
        <f t="shared" si="16"/>
        <v>7803.96</v>
      </c>
      <c r="AA8" s="24">
        <v>7384</v>
      </c>
      <c r="AB8" s="24">
        <v>590.72</v>
      </c>
      <c r="AC8" s="24">
        <v>147.68</v>
      </c>
      <c r="AD8" s="24">
        <v>36.92</v>
      </c>
      <c r="AE8" s="24">
        <v>6878</v>
      </c>
      <c r="AF8" s="24">
        <f t="shared" si="13"/>
        <v>481</v>
      </c>
      <c r="AG8" s="23">
        <f t="shared" si="1"/>
        <v>1256.3200000000002</v>
      </c>
      <c r="AH8" s="25"/>
      <c r="AI8" s="25"/>
      <c r="AJ8" s="25"/>
      <c r="AK8" s="23">
        <f t="shared" si="2"/>
        <v>6547.6399999999994</v>
      </c>
      <c r="AL8" s="24">
        <v>7384</v>
      </c>
      <c r="AM8" s="24">
        <v>6878</v>
      </c>
      <c r="AN8" s="24">
        <f t="shared" si="14"/>
        <v>1181.44</v>
      </c>
      <c r="AO8" s="24">
        <f t="shared" si="15"/>
        <v>664.56</v>
      </c>
      <c r="AP8" s="24">
        <f t="shared" si="3"/>
        <v>36.92</v>
      </c>
      <c r="AQ8" s="24">
        <f t="shared" si="4"/>
        <v>18.899999999999999</v>
      </c>
      <c r="AR8" s="24"/>
      <c r="AS8" s="24">
        <f t="shared" si="5"/>
        <v>481</v>
      </c>
      <c r="AT8" s="24">
        <f t="shared" si="6"/>
        <v>110.76</v>
      </c>
      <c r="AU8" s="23">
        <f t="shared" si="7"/>
        <v>2493.5800000000004</v>
      </c>
      <c r="AV8" s="23"/>
      <c r="AW8" s="23"/>
      <c r="AX8" s="23">
        <f t="shared" si="8"/>
        <v>10297.540000000001</v>
      </c>
      <c r="AY8" s="26"/>
      <c r="AZ8" s="33"/>
      <c r="BA8" s="23">
        <v>255</v>
      </c>
      <c r="BB8" s="27">
        <f t="shared" si="9"/>
        <v>10552.54</v>
      </c>
      <c r="BC8" s="23">
        <f t="shared" si="10"/>
        <v>633.15</v>
      </c>
      <c r="BD8" s="23">
        <f t="shared" si="11"/>
        <v>11185.69</v>
      </c>
      <c r="BF8" s="29"/>
    </row>
    <row r="9" spans="1:58" s="28" customFormat="1" ht="15" customHeight="1" x14ac:dyDescent="0.25">
      <c r="A9" s="17">
        <f t="shared" si="12"/>
        <v>7</v>
      </c>
      <c r="B9" s="18">
        <v>2411</v>
      </c>
      <c r="C9" s="17" t="s">
        <v>178</v>
      </c>
      <c r="D9" s="17" t="s">
        <v>108</v>
      </c>
      <c r="E9" s="19" t="s">
        <v>109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2588.6999999999998</v>
      </c>
      <c r="L9" s="22">
        <v>1943.2</v>
      </c>
      <c r="M9" s="22"/>
      <c r="N9" s="22"/>
      <c r="O9" s="22"/>
      <c r="P9" s="22">
        <v>200</v>
      </c>
      <c r="Q9" s="22"/>
      <c r="R9" s="22">
        <v>630</v>
      </c>
      <c r="S9" s="35">
        <v>0</v>
      </c>
      <c r="T9" s="22"/>
      <c r="U9" s="35">
        <v>1113</v>
      </c>
      <c r="V9" s="35">
        <v>0</v>
      </c>
      <c r="W9" s="22"/>
      <c r="X9" s="22">
        <v>0</v>
      </c>
      <c r="Y9" s="22">
        <v>-200</v>
      </c>
      <c r="Z9" s="23">
        <f t="shared" si="16"/>
        <v>7474.9</v>
      </c>
      <c r="AA9" s="24">
        <v>8131</v>
      </c>
      <c r="AB9" s="24">
        <v>650.48</v>
      </c>
      <c r="AC9" s="24">
        <v>162.62</v>
      </c>
      <c r="AD9" s="24">
        <v>40.659999999999997</v>
      </c>
      <c r="AE9" s="24">
        <v>8131</v>
      </c>
      <c r="AF9" s="24">
        <f t="shared" si="13"/>
        <v>569</v>
      </c>
      <c r="AG9" s="23">
        <f t="shared" si="1"/>
        <v>1422.76</v>
      </c>
      <c r="AH9" s="25"/>
      <c r="AI9" s="25"/>
      <c r="AJ9" s="25"/>
      <c r="AK9" s="23">
        <f t="shared" si="2"/>
        <v>6052.1399999999994</v>
      </c>
      <c r="AL9" s="24">
        <v>8131</v>
      </c>
      <c r="AM9" s="24">
        <v>8131</v>
      </c>
      <c r="AN9" s="24">
        <f t="shared" si="14"/>
        <v>1300.96</v>
      </c>
      <c r="AO9" s="24">
        <v>731.8</v>
      </c>
      <c r="AP9" s="24">
        <f t="shared" si="3"/>
        <v>40.659999999999997</v>
      </c>
      <c r="AQ9" s="24">
        <f t="shared" si="4"/>
        <v>20.82</v>
      </c>
      <c r="AR9" s="24"/>
      <c r="AS9" s="24">
        <f t="shared" si="5"/>
        <v>569</v>
      </c>
      <c r="AT9" s="24">
        <f t="shared" si="6"/>
        <v>121.97</v>
      </c>
      <c r="AU9" s="23">
        <f t="shared" si="7"/>
        <v>2785.21</v>
      </c>
      <c r="AV9" s="23"/>
      <c r="AW9" s="23"/>
      <c r="AX9" s="23">
        <f t="shared" si="8"/>
        <v>10260.11</v>
      </c>
      <c r="AY9" s="26"/>
      <c r="AZ9" s="33"/>
      <c r="BA9" s="23">
        <v>255</v>
      </c>
      <c r="BB9" s="27">
        <f t="shared" si="9"/>
        <v>10515.11</v>
      </c>
      <c r="BC9" s="23">
        <f t="shared" si="10"/>
        <v>630.91</v>
      </c>
      <c r="BD9" s="23">
        <f t="shared" si="11"/>
        <v>11146.02</v>
      </c>
      <c r="BF9" s="29"/>
    </row>
    <row r="10" spans="1:58" s="28" customFormat="1" ht="15" customHeight="1" x14ac:dyDescent="0.25">
      <c r="A10" s="17">
        <f t="shared" si="12"/>
        <v>8</v>
      </c>
      <c r="B10" s="18">
        <v>2411</v>
      </c>
      <c r="C10" s="17" t="s">
        <v>179</v>
      </c>
      <c r="D10" s="17" t="s">
        <v>110</v>
      </c>
      <c r="E10" s="19" t="s">
        <v>111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3528</v>
      </c>
      <c r="L10" s="22">
        <v>4442.68</v>
      </c>
      <c r="M10" s="22"/>
      <c r="N10" s="22"/>
      <c r="O10" s="22"/>
      <c r="P10" s="22">
        <v>200</v>
      </c>
      <c r="Q10" s="22"/>
      <c r="R10" s="22">
        <v>630</v>
      </c>
      <c r="S10" s="35">
        <v>0</v>
      </c>
      <c r="T10" s="22"/>
      <c r="U10" s="35">
        <v>1113</v>
      </c>
      <c r="V10" s="35">
        <v>0</v>
      </c>
      <c r="W10" s="22"/>
      <c r="X10" s="22">
        <v>0</v>
      </c>
      <c r="Y10" s="22">
        <v>0</v>
      </c>
      <c r="Z10" s="23">
        <f t="shared" si="16"/>
        <v>11213.68</v>
      </c>
      <c r="AA10" s="24">
        <v>12760</v>
      </c>
      <c r="AB10" s="24">
        <v>1020.8</v>
      </c>
      <c r="AC10" s="24">
        <v>255.2</v>
      </c>
      <c r="AD10" s="24">
        <v>63.8</v>
      </c>
      <c r="AE10" s="24">
        <v>12760</v>
      </c>
      <c r="AF10" s="24">
        <f t="shared" si="13"/>
        <v>893</v>
      </c>
      <c r="AG10" s="23">
        <f t="shared" si="1"/>
        <v>2232.8000000000002</v>
      </c>
      <c r="AH10" s="25"/>
      <c r="AI10" s="25"/>
      <c r="AJ10" s="25"/>
      <c r="AK10" s="23">
        <f t="shared" si="2"/>
        <v>8980.880000000001</v>
      </c>
      <c r="AL10" s="24">
        <v>12760</v>
      </c>
      <c r="AM10" s="24">
        <v>12760</v>
      </c>
      <c r="AN10" s="24">
        <f t="shared" si="14"/>
        <v>2041.6</v>
      </c>
      <c r="AO10" s="24">
        <f t="shared" si="15"/>
        <v>1148.4000000000001</v>
      </c>
      <c r="AP10" s="24">
        <f t="shared" si="3"/>
        <v>63.8</v>
      </c>
      <c r="AQ10" s="24">
        <f t="shared" si="4"/>
        <v>32.67</v>
      </c>
      <c r="AR10" s="24"/>
      <c r="AS10" s="24">
        <f t="shared" si="5"/>
        <v>893</v>
      </c>
      <c r="AT10" s="24">
        <f t="shared" si="6"/>
        <v>191.4</v>
      </c>
      <c r="AU10" s="23">
        <f t="shared" si="7"/>
        <v>4370.87</v>
      </c>
      <c r="AV10" s="23"/>
      <c r="AW10" s="23"/>
      <c r="AX10" s="23">
        <f t="shared" si="8"/>
        <v>15584.55</v>
      </c>
      <c r="AY10" s="26"/>
      <c r="AZ10" s="33"/>
      <c r="BA10" s="23">
        <v>255</v>
      </c>
      <c r="BB10" s="27">
        <f t="shared" si="9"/>
        <v>15839.55</v>
      </c>
      <c r="BC10" s="23">
        <f t="shared" si="10"/>
        <v>950.37</v>
      </c>
      <c r="BD10" s="23">
        <f t="shared" si="11"/>
        <v>16789.919999999998</v>
      </c>
      <c r="BF10" s="29"/>
    </row>
    <row r="11" spans="1:58" s="28" customFormat="1" ht="15" customHeight="1" x14ac:dyDescent="0.25">
      <c r="A11" s="17">
        <f t="shared" si="12"/>
        <v>9</v>
      </c>
      <c r="B11" s="18">
        <v>2411</v>
      </c>
      <c r="C11" s="17" t="s">
        <v>180</v>
      </c>
      <c r="D11" s="17" t="s">
        <v>112</v>
      </c>
      <c r="E11" s="19" t="s">
        <v>113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2532.64</v>
      </c>
      <c r="L11" s="22">
        <v>2216.7199999999998</v>
      </c>
      <c r="M11" s="22"/>
      <c r="N11" s="22"/>
      <c r="O11" s="22"/>
      <c r="P11" s="22">
        <v>200</v>
      </c>
      <c r="Q11" s="22"/>
      <c r="R11" s="22">
        <v>630</v>
      </c>
      <c r="S11" s="35">
        <v>0</v>
      </c>
      <c r="T11" s="22"/>
      <c r="U11" s="35">
        <v>742</v>
      </c>
      <c r="V11" s="35">
        <v>0</v>
      </c>
      <c r="W11" s="22"/>
      <c r="X11" s="22">
        <v>0</v>
      </c>
      <c r="Y11" s="22">
        <v>-500</v>
      </c>
      <c r="Z11" s="23">
        <f t="shared" si="16"/>
        <v>6851.36</v>
      </c>
      <c r="AA11" s="24">
        <v>7384</v>
      </c>
      <c r="AB11" s="24">
        <v>590.72</v>
      </c>
      <c r="AC11" s="24">
        <v>147.68</v>
      </c>
      <c r="AD11" s="24">
        <v>36.92</v>
      </c>
      <c r="AE11" s="24">
        <v>4668</v>
      </c>
      <c r="AF11" s="24">
        <f t="shared" si="13"/>
        <v>327</v>
      </c>
      <c r="AG11" s="23">
        <f t="shared" si="1"/>
        <v>1102.3200000000002</v>
      </c>
      <c r="AH11" s="25"/>
      <c r="AI11" s="25"/>
      <c r="AJ11" s="25"/>
      <c r="AK11" s="23">
        <f t="shared" si="2"/>
        <v>5749.0399999999991</v>
      </c>
      <c r="AL11" s="24">
        <v>7384</v>
      </c>
      <c r="AM11" s="24">
        <v>4668</v>
      </c>
      <c r="AN11" s="24">
        <f t="shared" si="14"/>
        <v>1181.44</v>
      </c>
      <c r="AO11" s="24">
        <f t="shared" si="15"/>
        <v>664.56</v>
      </c>
      <c r="AP11" s="24">
        <f t="shared" si="3"/>
        <v>36.92</v>
      </c>
      <c r="AQ11" s="24">
        <f t="shared" si="4"/>
        <v>18.899999999999999</v>
      </c>
      <c r="AR11" s="24"/>
      <c r="AS11" s="24">
        <f t="shared" si="5"/>
        <v>327</v>
      </c>
      <c r="AT11" s="24">
        <f t="shared" si="6"/>
        <v>110.76</v>
      </c>
      <c r="AU11" s="23">
        <f t="shared" si="7"/>
        <v>2339.5800000000004</v>
      </c>
      <c r="AV11" s="23"/>
      <c r="AW11" s="23"/>
      <c r="AX11" s="23">
        <f t="shared" si="8"/>
        <v>9190.94</v>
      </c>
      <c r="AY11" s="26"/>
      <c r="AZ11" s="33"/>
      <c r="BA11" s="23">
        <v>255</v>
      </c>
      <c r="BB11" s="27">
        <f t="shared" si="9"/>
        <v>9445.94</v>
      </c>
      <c r="BC11" s="23">
        <f t="shared" si="10"/>
        <v>566.76</v>
      </c>
      <c r="BD11" s="23">
        <f t="shared" si="11"/>
        <v>10012.700000000001</v>
      </c>
      <c r="BF11" s="29"/>
    </row>
    <row r="12" spans="1:58" s="28" customFormat="1" ht="15" customHeight="1" x14ac:dyDescent="0.25">
      <c r="A12" s="17">
        <f t="shared" si="12"/>
        <v>10</v>
      </c>
      <c r="B12" s="18">
        <v>2411</v>
      </c>
      <c r="C12" s="17" t="s">
        <v>181</v>
      </c>
      <c r="D12" s="17" t="s">
        <v>114</v>
      </c>
      <c r="E12" s="19" t="s">
        <v>115</v>
      </c>
      <c r="F12" s="20">
        <v>45444</v>
      </c>
      <c r="G12" s="20">
        <v>45808</v>
      </c>
      <c r="H12" s="17"/>
      <c r="I12" s="21" t="s">
        <v>0</v>
      </c>
      <c r="J12" s="22">
        <v>1030</v>
      </c>
      <c r="K12" s="22">
        <v>1357.86</v>
      </c>
      <c r="L12" s="22">
        <v>678</v>
      </c>
      <c r="M12" s="22"/>
      <c r="N12" s="22"/>
      <c r="O12" s="22"/>
      <c r="P12" s="22">
        <v>200</v>
      </c>
      <c r="Q12" s="22"/>
      <c r="R12" s="22">
        <v>630</v>
      </c>
      <c r="S12" s="35">
        <v>0</v>
      </c>
      <c r="T12" s="22"/>
      <c r="U12" s="35">
        <v>371</v>
      </c>
      <c r="V12" s="35">
        <v>0</v>
      </c>
      <c r="W12" s="22"/>
      <c r="X12" s="22">
        <v>699.46</v>
      </c>
      <c r="Y12" s="22">
        <v>0</v>
      </c>
      <c r="Z12" s="23">
        <f t="shared" si="16"/>
        <v>4966.32</v>
      </c>
      <c r="AA12" s="24">
        <v>7384</v>
      </c>
      <c r="AB12" s="24">
        <v>590.72</v>
      </c>
      <c r="AC12" s="24">
        <v>147.68</v>
      </c>
      <c r="AD12" s="24">
        <v>36.92</v>
      </c>
      <c r="AE12" s="24">
        <v>4289</v>
      </c>
      <c r="AF12" s="24">
        <f t="shared" si="13"/>
        <v>300</v>
      </c>
      <c r="AG12" s="23">
        <f t="shared" si="1"/>
        <v>1075.3200000000002</v>
      </c>
      <c r="AH12" s="25"/>
      <c r="AI12" s="25"/>
      <c r="AJ12" s="25"/>
      <c r="AK12" s="23">
        <f t="shared" si="2"/>
        <v>3890.9999999999995</v>
      </c>
      <c r="AL12" s="24">
        <v>7384</v>
      </c>
      <c r="AM12" s="24">
        <v>4289</v>
      </c>
      <c r="AN12" s="24">
        <f t="shared" si="14"/>
        <v>1181.44</v>
      </c>
      <c r="AO12" s="24">
        <f t="shared" si="15"/>
        <v>664.56</v>
      </c>
      <c r="AP12" s="24">
        <f t="shared" si="3"/>
        <v>36.92</v>
      </c>
      <c r="AQ12" s="24">
        <f t="shared" si="4"/>
        <v>18.899999999999999</v>
      </c>
      <c r="AR12" s="24"/>
      <c r="AS12" s="24">
        <f t="shared" si="5"/>
        <v>300</v>
      </c>
      <c r="AT12" s="24">
        <f t="shared" si="6"/>
        <v>110.76</v>
      </c>
      <c r="AU12" s="23">
        <f t="shared" si="7"/>
        <v>2312.5800000000004</v>
      </c>
      <c r="AV12" s="23"/>
      <c r="AW12" s="23"/>
      <c r="AX12" s="23">
        <f t="shared" si="8"/>
        <v>7278.9</v>
      </c>
      <c r="AY12" s="26"/>
      <c r="AZ12" s="33"/>
      <c r="BA12" s="23">
        <v>255</v>
      </c>
      <c r="BB12" s="27">
        <f t="shared" si="9"/>
        <v>7533.9</v>
      </c>
      <c r="BC12" s="23">
        <f t="shared" si="10"/>
        <v>452.03</v>
      </c>
      <c r="BD12" s="23">
        <f t="shared" si="11"/>
        <v>7985.93</v>
      </c>
      <c r="BF12" s="29"/>
    </row>
    <row r="13" spans="1:58" s="28" customFormat="1" ht="15" customHeight="1" x14ac:dyDescent="0.25">
      <c r="A13" s="17">
        <f t="shared" si="12"/>
        <v>11</v>
      </c>
      <c r="B13" s="18">
        <v>2411</v>
      </c>
      <c r="C13" s="17" t="s">
        <v>182</v>
      </c>
      <c r="D13" s="17" t="s">
        <v>116</v>
      </c>
      <c r="E13" s="19" t="s">
        <v>117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2464.5</v>
      </c>
      <c r="L13" s="22">
        <v>1412.32</v>
      </c>
      <c r="M13" s="22"/>
      <c r="N13" s="22"/>
      <c r="O13" s="22"/>
      <c r="P13" s="22">
        <v>200</v>
      </c>
      <c r="Q13" s="22"/>
      <c r="R13" s="22">
        <v>630</v>
      </c>
      <c r="S13" s="35">
        <v>0</v>
      </c>
      <c r="T13" s="22"/>
      <c r="U13" s="35">
        <v>1113</v>
      </c>
      <c r="V13" s="35">
        <v>0</v>
      </c>
      <c r="W13" s="22"/>
      <c r="X13" s="22">
        <v>0</v>
      </c>
      <c r="Y13" s="22">
        <v>0</v>
      </c>
      <c r="Z13" s="23">
        <f t="shared" si="16"/>
        <v>6849.82</v>
      </c>
      <c r="AA13" s="24">
        <v>7384</v>
      </c>
      <c r="AB13" s="24">
        <v>590.72</v>
      </c>
      <c r="AC13" s="24">
        <v>147.68</v>
      </c>
      <c r="AD13" s="24">
        <v>36.92</v>
      </c>
      <c r="AE13" s="24">
        <v>6644</v>
      </c>
      <c r="AF13" s="24">
        <f t="shared" si="13"/>
        <v>465</v>
      </c>
      <c r="AG13" s="23">
        <f t="shared" si="1"/>
        <v>1240.3200000000002</v>
      </c>
      <c r="AH13" s="25"/>
      <c r="AI13" s="25"/>
      <c r="AJ13" s="25"/>
      <c r="AK13" s="23">
        <f t="shared" si="2"/>
        <v>5609.5</v>
      </c>
      <c r="AL13" s="24">
        <v>7384</v>
      </c>
      <c r="AM13" s="24">
        <v>6644</v>
      </c>
      <c r="AN13" s="24">
        <f t="shared" si="14"/>
        <v>1181.44</v>
      </c>
      <c r="AO13" s="24">
        <f t="shared" si="15"/>
        <v>664.56</v>
      </c>
      <c r="AP13" s="24">
        <f t="shared" si="3"/>
        <v>36.92</v>
      </c>
      <c r="AQ13" s="24">
        <f t="shared" si="4"/>
        <v>18.899999999999999</v>
      </c>
      <c r="AR13" s="24"/>
      <c r="AS13" s="24">
        <f t="shared" si="5"/>
        <v>465</v>
      </c>
      <c r="AT13" s="24">
        <f t="shared" si="6"/>
        <v>110.76</v>
      </c>
      <c r="AU13" s="23">
        <f t="shared" si="7"/>
        <v>2477.5800000000004</v>
      </c>
      <c r="AV13" s="23"/>
      <c r="AW13" s="23"/>
      <c r="AX13" s="23">
        <f t="shared" si="8"/>
        <v>9327.4</v>
      </c>
      <c r="AY13" s="26"/>
      <c r="AZ13" s="33"/>
      <c r="BA13" s="23">
        <v>255</v>
      </c>
      <c r="BB13" s="27">
        <f t="shared" si="9"/>
        <v>9582.4</v>
      </c>
      <c r="BC13" s="23">
        <f t="shared" si="10"/>
        <v>574.94000000000005</v>
      </c>
      <c r="BD13" s="23">
        <f t="shared" si="11"/>
        <v>10157.34</v>
      </c>
      <c r="BF13" s="29"/>
    </row>
    <row r="14" spans="1:58" s="28" customFormat="1" ht="15" customHeight="1" x14ac:dyDescent="0.25">
      <c r="A14" s="17">
        <f t="shared" si="12"/>
        <v>12</v>
      </c>
      <c r="B14" s="18">
        <v>2411</v>
      </c>
      <c r="C14" s="17" t="s">
        <v>183</v>
      </c>
      <c r="D14" s="17" t="s">
        <v>118</v>
      </c>
      <c r="E14" s="19" t="s">
        <v>119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123.9</v>
      </c>
      <c r="L14" s="22">
        <v>101.44</v>
      </c>
      <c r="M14" s="22"/>
      <c r="N14" s="22"/>
      <c r="O14" s="22"/>
      <c r="P14" s="22">
        <v>50</v>
      </c>
      <c r="Q14" s="22"/>
      <c r="R14" s="22">
        <v>630</v>
      </c>
      <c r="S14" s="35">
        <v>0</v>
      </c>
      <c r="T14" s="22"/>
      <c r="U14" s="35">
        <v>0</v>
      </c>
      <c r="V14" s="35">
        <v>0</v>
      </c>
      <c r="W14" s="22"/>
      <c r="X14" s="22">
        <v>2660.98</v>
      </c>
      <c r="Y14" s="22">
        <v>0</v>
      </c>
      <c r="Z14" s="23">
        <f t="shared" si="16"/>
        <v>4516.32</v>
      </c>
      <c r="AA14" s="24">
        <v>7384</v>
      </c>
      <c r="AB14" s="24">
        <v>590.72</v>
      </c>
      <c r="AC14" s="24">
        <v>147.68</v>
      </c>
      <c r="AD14" s="24">
        <v>36.92</v>
      </c>
      <c r="AE14" s="24">
        <v>5300</v>
      </c>
      <c r="AF14" s="24">
        <f t="shared" si="13"/>
        <v>371</v>
      </c>
      <c r="AG14" s="23">
        <f t="shared" si="1"/>
        <v>1146.3200000000002</v>
      </c>
      <c r="AH14" s="25"/>
      <c r="AI14" s="25"/>
      <c r="AJ14" s="25"/>
      <c r="AK14" s="23">
        <f t="shared" si="2"/>
        <v>3369.9999999999995</v>
      </c>
      <c r="AL14" s="24">
        <v>7384</v>
      </c>
      <c r="AM14" s="24">
        <v>5300</v>
      </c>
      <c r="AN14" s="24">
        <f t="shared" si="14"/>
        <v>1181.44</v>
      </c>
      <c r="AO14" s="24">
        <f t="shared" si="15"/>
        <v>664.56</v>
      </c>
      <c r="AP14" s="24">
        <f t="shared" si="3"/>
        <v>36.92</v>
      </c>
      <c r="AQ14" s="24">
        <f t="shared" si="4"/>
        <v>18.899999999999999</v>
      </c>
      <c r="AR14" s="24"/>
      <c r="AS14" s="24">
        <f t="shared" si="5"/>
        <v>371</v>
      </c>
      <c r="AT14" s="24">
        <f t="shared" si="6"/>
        <v>110.76</v>
      </c>
      <c r="AU14" s="23">
        <f t="shared" si="7"/>
        <v>2383.5800000000004</v>
      </c>
      <c r="AV14" s="23"/>
      <c r="AW14" s="23"/>
      <c r="AX14" s="23">
        <f t="shared" si="8"/>
        <v>6899.9</v>
      </c>
      <c r="AY14" s="26"/>
      <c r="AZ14" s="33"/>
      <c r="BA14" s="23">
        <v>255</v>
      </c>
      <c r="BB14" s="27">
        <f t="shared" si="9"/>
        <v>7154.9</v>
      </c>
      <c r="BC14" s="23">
        <f t="shared" si="10"/>
        <v>429.29</v>
      </c>
      <c r="BD14" s="23">
        <f t="shared" si="11"/>
        <v>7584.19</v>
      </c>
      <c r="BF14" s="29"/>
    </row>
    <row r="15" spans="1:58" s="28" customFormat="1" ht="15" customHeight="1" x14ac:dyDescent="0.25">
      <c r="A15" s="17">
        <f t="shared" si="12"/>
        <v>13</v>
      </c>
      <c r="B15" s="18">
        <v>2411</v>
      </c>
      <c r="C15" s="17" t="s">
        <v>184</v>
      </c>
      <c r="D15" s="17" t="s">
        <v>120</v>
      </c>
      <c r="E15" s="19" t="s">
        <v>121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2176.1999999999998</v>
      </c>
      <c r="L15" s="22">
        <v>1387.68</v>
      </c>
      <c r="M15" s="22"/>
      <c r="N15" s="22"/>
      <c r="O15" s="22"/>
      <c r="P15" s="22">
        <v>200</v>
      </c>
      <c r="Q15" s="22"/>
      <c r="R15" s="22">
        <v>630</v>
      </c>
      <c r="S15" s="35">
        <v>0</v>
      </c>
      <c r="T15" s="22"/>
      <c r="U15" s="35">
        <v>1113</v>
      </c>
      <c r="V15" s="35">
        <v>0</v>
      </c>
      <c r="W15" s="22"/>
      <c r="X15" s="22">
        <v>0</v>
      </c>
      <c r="Y15" s="22">
        <v>0</v>
      </c>
      <c r="Z15" s="23">
        <f t="shared" si="16"/>
        <v>6706.88</v>
      </c>
      <c r="AA15" s="24">
        <v>7384</v>
      </c>
      <c r="AB15" s="24">
        <v>590.72</v>
      </c>
      <c r="AC15" s="24">
        <v>147.68</v>
      </c>
      <c r="AD15" s="24">
        <v>36.92</v>
      </c>
      <c r="AE15" s="24">
        <v>5351</v>
      </c>
      <c r="AF15" s="24">
        <f t="shared" si="13"/>
        <v>375</v>
      </c>
      <c r="AG15" s="23">
        <f t="shared" si="1"/>
        <v>1150.3200000000002</v>
      </c>
      <c r="AH15" s="25"/>
      <c r="AI15" s="25"/>
      <c r="AJ15" s="25"/>
      <c r="AK15" s="23">
        <f t="shared" si="2"/>
        <v>5556.5599999999995</v>
      </c>
      <c r="AL15" s="24">
        <v>7384</v>
      </c>
      <c r="AM15" s="24">
        <v>5351</v>
      </c>
      <c r="AN15" s="24">
        <f t="shared" si="14"/>
        <v>1181.44</v>
      </c>
      <c r="AO15" s="24">
        <f t="shared" si="15"/>
        <v>664.56</v>
      </c>
      <c r="AP15" s="24">
        <f t="shared" si="3"/>
        <v>36.92</v>
      </c>
      <c r="AQ15" s="24">
        <f t="shared" si="4"/>
        <v>18.899999999999999</v>
      </c>
      <c r="AR15" s="24"/>
      <c r="AS15" s="24">
        <f t="shared" si="5"/>
        <v>375</v>
      </c>
      <c r="AT15" s="24">
        <f t="shared" si="6"/>
        <v>110.76</v>
      </c>
      <c r="AU15" s="23">
        <f t="shared" si="7"/>
        <v>2387.5800000000004</v>
      </c>
      <c r="AV15" s="23"/>
      <c r="AW15" s="23"/>
      <c r="AX15" s="23">
        <f t="shared" si="8"/>
        <v>9094.4600000000009</v>
      </c>
      <c r="AY15" s="26"/>
      <c r="AZ15" s="33"/>
      <c r="BA15" s="23">
        <v>255</v>
      </c>
      <c r="BB15" s="27">
        <f t="shared" si="9"/>
        <v>9349.4599999999991</v>
      </c>
      <c r="BC15" s="23">
        <f t="shared" si="10"/>
        <v>560.97</v>
      </c>
      <c r="BD15" s="23">
        <f t="shared" si="11"/>
        <v>9910.43</v>
      </c>
      <c r="BF15" s="29"/>
    </row>
    <row r="16" spans="1:58" s="28" customFormat="1" ht="15" customHeight="1" x14ac:dyDescent="0.25">
      <c r="A16" s="17">
        <f t="shared" si="12"/>
        <v>14</v>
      </c>
      <c r="B16" s="18">
        <v>2411</v>
      </c>
      <c r="C16" s="17" t="s">
        <v>185</v>
      </c>
      <c r="D16" s="17" t="s">
        <v>122</v>
      </c>
      <c r="E16" s="19" t="s">
        <v>123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4106</v>
      </c>
      <c r="L16" s="22">
        <v>4382.96</v>
      </c>
      <c r="M16" s="22"/>
      <c r="N16" s="22"/>
      <c r="O16" s="22"/>
      <c r="P16" s="22">
        <v>200</v>
      </c>
      <c r="Q16" s="22"/>
      <c r="R16" s="22">
        <v>630</v>
      </c>
      <c r="S16" s="35">
        <v>0</v>
      </c>
      <c r="T16" s="22"/>
      <c r="U16" s="35">
        <v>0</v>
      </c>
      <c r="V16" s="35">
        <v>0</v>
      </c>
      <c r="W16" s="22"/>
      <c r="X16" s="22">
        <v>0</v>
      </c>
      <c r="Y16" s="22">
        <v>0</v>
      </c>
      <c r="Z16" s="23">
        <f t="shared" si="16"/>
        <v>10348.959999999999</v>
      </c>
      <c r="AA16" s="24">
        <v>12769</v>
      </c>
      <c r="AB16" s="24">
        <v>1021.52</v>
      </c>
      <c r="AC16" s="24">
        <v>255.38</v>
      </c>
      <c r="AD16" s="24">
        <v>63.85</v>
      </c>
      <c r="AE16" s="24">
        <v>12769</v>
      </c>
      <c r="AF16" s="24">
        <f t="shared" si="13"/>
        <v>894</v>
      </c>
      <c r="AG16" s="23">
        <f t="shared" si="1"/>
        <v>2234.75</v>
      </c>
      <c r="AH16" s="25"/>
      <c r="AI16" s="25"/>
      <c r="AJ16" s="25"/>
      <c r="AK16" s="23">
        <f t="shared" si="2"/>
        <v>8114.2099999999991</v>
      </c>
      <c r="AL16" s="24">
        <v>12769</v>
      </c>
      <c r="AM16" s="24">
        <v>12769</v>
      </c>
      <c r="AN16" s="24">
        <f t="shared" si="14"/>
        <v>2043.04</v>
      </c>
      <c r="AO16" s="24">
        <v>1149.22</v>
      </c>
      <c r="AP16" s="24">
        <f t="shared" si="3"/>
        <v>63.85</v>
      </c>
      <c r="AQ16" s="24">
        <f t="shared" si="4"/>
        <v>32.69</v>
      </c>
      <c r="AR16" s="24"/>
      <c r="AS16" s="24">
        <f t="shared" si="5"/>
        <v>894</v>
      </c>
      <c r="AT16" s="24">
        <f t="shared" si="6"/>
        <v>191.54</v>
      </c>
      <c r="AU16" s="23">
        <f t="shared" si="7"/>
        <v>4374.34</v>
      </c>
      <c r="AV16" s="23"/>
      <c r="AW16" s="23"/>
      <c r="AX16" s="23">
        <f t="shared" si="8"/>
        <v>14723.3</v>
      </c>
      <c r="AY16" s="26"/>
      <c r="AZ16" s="33"/>
      <c r="BA16" s="23">
        <v>255</v>
      </c>
      <c r="BB16" s="27">
        <f t="shared" si="9"/>
        <v>14978.3</v>
      </c>
      <c r="BC16" s="23">
        <f t="shared" si="10"/>
        <v>898.7</v>
      </c>
      <c r="BD16" s="23">
        <f t="shared" si="11"/>
        <v>15877</v>
      </c>
      <c r="BF16" s="29"/>
    </row>
    <row r="17" spans="1:58" s="28" customFormat="1" ht="15" customHeight="1" x14ac:dyDescent="0.25">
      <c r="A17" s="17">
        <f t="shared" si="12"/>
        <v>15</v>
      </c>
      <c r="B17" s="18">
        <v>2411</v>
      </c>
      <c r="C17" s="17" t="s">
        <v>186</v>
      </c>
      <c r="D17" s="17" t="s">
        <v>124</v>
      </c>
      <c r="E17" s="19" t="s">
        <v>125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3007.2</v>
      </c>
      <c r="L17" s="22">
        <v>1768.4</v>
      </c>
      <c r="M17" s="22"/>
      <c r="N17" s="22"/>
      <c r="O17" s="22"/>
      <c r="P17" s="22">
        <v>200</v>
      </c>
      <c r="Q17" s="22"/>
      <c r="R17" s="22">
        <v>630</v>
      </c>
      <c r="S17" s="35">
        <v>0</v>
      </c>
      <c r="T17" s="22"/>
      <c r="U17" s="35">
        <v>371</v>
      </c>
      <c r="V17" s="35">
        <v>0</v>
      </c>
      <c r="W17" s="22"/>
      <c r="X17" s="22">
        <v>0</v>
      </c>
      <c r="Y17" s="22">
        <v>0</v>
      </c>
      <c r="Z17" s="23">
        <f t="shared" si="16"/>
        <v>7006.6</v>
      </c>
      <c r="AA17" s="24">
        <v>7556</v>
      </c>
      <c r="AB17" s="24">
        <v>604.48</v>
      </c>
      <c r="AC17" s="24">
        <v>151.12</v>
      </c>
      <c r="AD17" s="24">
        <v>37.78</v>
      </c>
      <c r="AE17" s="24">
        <v>7556</v>
      </c>
      <c r="AF17" s="24">
        <f t="shared" si="13"/>
        <v>529</v>
      </c>
      <c r="AG17" s="23">
        <f t="shared" si="1"/>
        <v>1322.38</v>
      </c>
      <c r="AH17" s="25"/>
      <c r="AI17" s="25"/>
      <c r="AJ17" s="25"/>
      <c r="AK17" s="23">
        <f t="shared" si="2"/>
        <v>5684.22</v>
      </c>
      <c r="AL17" s="24">
        <v>7556</v>
      </c>
      <c r="AM17" s="24">
        <v>7556</v>
      </c>
      <c r="AN17" s="24">
        <f t="shared" si="14"/>
        <v>1208.96</v>
      </c>
      <c r="AO17" s="24">
        <f t="shared" si="15"/>
        <v>680.04</v>
      </c>
      <c r="AP17" s="24">
        <f t="shared" si="3"/>
        <v>37.78</v>
      </c>
      <c r="AQ17" s="24">
        <f t="shared" si="4"/>
        <v>19.34</v>
      </c>
      <c r="AR17" s="24"/>
      <c r="AS17" s="24">
        <f t="shared" si="5"/>
        <v>529</v>
      </c>
      <c r="AT17" s="24">
        <f t="shared" si="6"/>
        <v>113.34</v>
      </c>
      <c r="AU17" s="23">
        <f t="shared" si="7"/>
        <v>2588.46</v>
      </c>
      <c r="AV17" s="23"/>
      <c r="AW17" s="23"/>
      <c r="AX17" s="23">
        <f t="shared" si="8"/>
        <v>9595.0600000000013</v>
      </c>
      <c r="AY17" s="26"/>
      <c r="AZ17" s="33"/>
      <c r="BA17" s="23">
        <v>255</v>
      </c>
      <c r="BB17" s="27">
        <f t="shared" si="9"/>
        <v>9850.06</v>
      </c>
      <c r="BC17" s="23">
        <f t="shared" si="10"/>
        <v>591</v>
      </c>
      <c r="BD17" s="23">
        <f t="shared" si="11"/>
        <v>10441.06</v>
      </c>
      <c r="BF17" s="29"/>
    </row>
    <row r="18" spans="1:58" s="28" customFormat="1" ht="15" customHeight="1" x14ac:dyDescent="0.25">
      <c r="A18" s="17">
        <f t="shared" si="12"/>
        <v>16</v>
      </c>
      <c r="B18" s="18">
        <v>2411</v>
      </c>
      <c r="C18" s="17" t="s">
        <v>187</v>
      </c>
      <c r="D18" s="17" t="s">
        <v>126</v>
      </c>
      <c r="E18" s="19" t="s">
        <v>127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1685.25</v>
      </c>
      <c r="L18" s="22">
        <v>1155.04</v>
      </c>
      <c r="M18" s="22"/>
      <c r="N18" s="22"/>
      <c r="O18" s="22"/>
      <c r="P18" s="22">
        <v>200</v>
      </c>
      <c r="Q18" s="22"/>
      <c r="R18" s="22">
        <v>630</v>
      </c>
      <c r="S18" s="35">
        <v>0</v>
      </c>
      <c r="T18" s="22"/>
      <c r="U18" s="35">
        <v>371</v>
      </c>
      <c r="V18" s="35">
        <v>0</v>
      </c>
      <c r="W18" s="22"/>
      <c r="X18" s="22">
        <v>157.03</v>
      </c>
      <c r="Y18" s="22">
        <v>-200</v>
      </c>
      <c r="Z18" s="23">
        <f t="shared" si="16"/>
        <v>5028.32</v>
      </c>
      <c r="AA18" s="24">
        <v>7384</v>
      </c>
      <c r="AB18" s="24">
        <v>590.72</v>
      </c>
      <c r="AC18" s="24">
        <v>147.68</v>
      </c>
      <c r="AD18" s="24">
        <v>36.92</v>
      </c>
      <c r="AE18" s="24">
        <v>5176</v>
      </c>
      <c r="AF18" s="24">
        <f t="shared" si="13"/>
        <v>362</v>
      </c>
      <c r="AG18" s="23">
        <f t="shared" si="1"/>
        <v>1137.3200000000002</v>
      </c>
      <c r="AH18" s="25"/>
      <c r="AI18" s="25"/>
      <c r="AJ18" s="25"/>
      <c r="AK18" s="23">
        <f t="shared" si="2"/>
        <v>3890.9999999999995</v>
      </c>
      <c r="AL18" s="24">
        <v>7384</v>
      </c>
      <c r="AM18" s="24">
        <v>5176</v>
      </c>
      <c r="AN18" s="24">
        <f t="shared" si="14"/>
        <v>1181.44</v>
      </c>
      <c r="AO18" s="24">
        <f t="shared" si="15"/>
        <v>664.56</v>
      </c>
      <c r="AP18" s="24">
        <f t="shared" si="3"/>
        <v>36.92</v>
      </c>
      <c r="AQ18" s="24">
        <f t="shared" si="4"/>
        <v>18.899999999999999</v>
      </c>
      <c r="AR18" s="24"/>
      <c r="AS18" s="24">
        <f t="shared" si="5"/>
        <v>362</v>
      </c>
      <c r="AT18" s="24">
        <f t="shared" si="6"/>
        <v>110.76</v>
      </c>
      <c r="AU18" s="23">
        <f t="shared" si="7"/>
        <v>2374.5800000000004</v>
      </c>
      <c r="AV18" s="23"/>
      <c r="AW18" s="23"/>
      <c r="AX18" s="23">
        <f t="shared" si="8"/>
        <v>7402.9</v>
      </c>
      <c r="AY18" s="26"/>
      <c r="AZ18" s="33"/>
      <c r="BA18" s="23">
        <v>255</v>
      </c>
      <c r="BB18" s="27">
        <f t="shared" si="9"/>
        <v>7657.9</v>
      </c>
      <c r="BC18" s="23">
        <f t="shared" si="10"/>
        <v>459.47</v>
      </c>
      <c r="BD18" s="23">
        <f t="shared" si="11"/>
        <v>8117.37</v>
      </c>
      <c r="BF18" s="29"/>
    </row>
    <row r="19" spans="1:58" s="28" customFormat="1" ht="15" customHeight="1" x14ac:dyDescent="0.25">
      <c r="A19" s="17">
        <f t="shared" si="12"/>
        <v>17</v>
      </c>
      <c r="B19" s="18">
        <v>2411</v>
      </c>
      <c r="C19" s="17" t="s">
        <v>188</v>
      </c>
      <c r="D19" s="17" t="s">
        <v>128</v>
      </c>
      <c r="E19" s="19" t="s">
        <v>129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2563.1999999999998</v>
      </c>
      <c r="L19" s="22">
        <v>2490.48</v>
      </c>
      <c r="M19" s="22"/>
      <c r="N19" s="22"/>
      <c r="O19" s="22"/>
      <c r="P19" s="22">
        <v>200</v>
      </c>
      <c r="Q19" s="22"/>
      <c r="R19" s="22">
        <v>630</v>
      </c>
      <c r="S19" s="35">
        <v>0</v>
      </c>
      <c r="T19" s="22"/>
      <c r="U19" s="35">
        <v>1113</v>
      </c>
      <c r="V19" s="35">
        <v>0</v>
      </c>
      <c r="W19" s="22"/>
      <c r="X19" s="22">
        <v>0</v>
      </c>
      <c r="Y19" s="22">
        <v>-500</v>
      </c>
      <c r="Z19" s="23">
        <f t="shared" si="16"/>
        <v>7446.68</v>
      </c>
      <c r="AA19" s="24">
        <v>7384</v>
      </c>
      <c r="AB19" s="24">
        <v>590.72</v>
      </c>
      <c r="AC19" s="24">
        <v>147.68</v>
      </c>
      <c r="AD19" s="24">
        <v>36.92</v>
      </c>
      <c r="AE19" s="24">
        <v>7189</v>
      </c>
      <c r="AF19" s="24">
        <f t="shared" si="13"/>
        <v>503</v>
      </c>
      <c r="AG19" s="23">
        <f t="shared" si="1"/>
        <v>1278.3200000000002</v>
      </c>
      <c r="AH19" s="25"/>
      <c r="AI19" s="25"/>
      <c r="AJ19" s="25"/>
      <c r="AK19" s="23">
        <f t="shared" si="2"/>
        <v>6168.3600000000006</v>
      </c>
      <c r="AL19" s="24">
        <v>7384</v>
      </c>
      <c r="AM19" s="24">
        <v>7189</v>
      </c>
      <c r="AN19" s="24">
        <f t="shared" si="14"/>
        <v>1181.44</v>
      </c>
      <c r="AO19" s="24">
        <f t="shared" si="15"/>
        <v>664.56</v>
      </c>
      <c r="AP19" s="24">
        <f t="shared" si="3"/>
        <v>36.92</v>
      </c>
      <c r="AQ19" s="24">
        <f t="shared" si="4"/>
        <v>18.899999999999999</v>
      </c>
      <c r="AR19" s="24"/>
      <c r="AS19" s="24">
        <f t="shared" si="5"/>
        <v>503</v>
      </c>
      <c r="AT19" s="24">
        <f t="shared" si="6"/>
        <v>110.76</v>
      </c>
      <c r="AU19" s="23">
        <f t="shared" si="7"/>
        <v>2515.5800000000004</v>
      </c>
      <c r="AV19" s="23"/>
      <c r="AW19" s="23"/>
      <c r="AX19" s="23">
        <f t="shared" si="8"/>
        <v>9962.26</v>
      </c>
      <c r="AY19" s="26"/>
      <c r="AZ19" s="33"/>
      <c r="BA19" s="23">
        <v>255</v>
      </c>
      <c r="BB19" s="27">
        <f t="shared" si="9"/>
        <v>10217.26</v>
      </c>
      <c r="BC19" s="23">
        <f t="shared" si="10"/>
        <v>613.04</v>
      </c>
      <c r="BD19" s="23">
        <f t="shared" si="11"/>
        <v>10830.3</v>
      </c>
      <c r="BF19" s="29"/>
    </row>
    <row r="20" spans="1:58" s="28" customFormat="1" ht="15" customHeight="1" x14ac:dyDescent="0.25">
      <c r="A20" s="17">
        <f t="shared" si="12"/>
        <v>18</v>
      </c>
      <c r="B20" s="18">
        <v>2411</v>
      </c>
      <c r="C20" s="17" t="s">
        <v>189</v>
      </c>
      <c r="D20" s="17" t="s">
        <v>130</v>
      </c>
      <c r="E20" s="19" t="s">
        <v>131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2043.64</v>
      </c>
      <c r="L20" s="22">
        <v>1991.88</v>
      </c>
      <c r="M20" s="22"/>
      <c r="N20" s="22"/>
      <c r="O20" s="22"/>
      <c r="P20" s="22">
        <v>200</v>
      </c>
      <c r="Q20" s="22"/>
      <c r="R20" s="22">
        <v>630</v>
      </c>
      <c r="S20" s="35">
        <v>0</v>
      </c>
      <c r="T20" s="22"/>
      <c r="U20" s="35">
        <v>0</v>
      </c>
      <c r="V20" s="35">
        <v>0</v>
      </c>
      <c r="W20" s="22"/>
      <c r="X20" s="22">
        <v>0</v>
      </c>
      <c r="Y20" s="22">
        <v>0</v>
      </c>
      <c r="Z20" s="23">
        <f t="shared" si="16"/>
        <v>5895.52</v>
      </c>
      <c r="AA20" s="24">
        <v>7384</v>
      </c>
      <c r="AB20" s="24">
        <v>590.72</v>
      </c>
      <c r="AC20" s="24">
        <v>147.68</v>
      </c>
      <c r="AD20" s="24">
        <v>36.92</v>
      </c>
      <c r="AE20" s="24">
        <v>5148</v>
      </c>
      <c r="AF20" s="24">
        <f t="shared" si="13"/>
        <v>360</v>
      </c>
      <c r="AG20" s="23">
        <f t="shared" si="1"/>
        <v>1135.3200000000002</v>
      </c>
      <c r="AH20" s="25"/>
      <c r="AI20" s="25"/>
      <c r="AJ20" s="25"/>
      <c r="AK20" s="23">
        <f t="shared" si="2"/>
        <v>4760.2000000000007</v>
      </c>
      <c r="AL20" s="24">
        <v>7384</v>
      </c>
      <c r="AM20" s="24">
        <v>5148</v>
      </c>
      <c r="AN20" s="24">
        <f t="shared" si="14"/>
        <v>1181.44</v>
      </c>
      <c r="AO20" s="24">
        <f t="shared" si="15"/>
        <v>664.56</v>
      </c>
      <c r="AP20" s="24">
        <f t="shared" si="3"/>
        <v>36.92</v>
      </c>
      <c r="AQ20" s="24">
        <f t="shared" si="4"/>
        <v>18.899999999999999</v>
      </c>
      <c r="AR20" s="24"/>
      <c r="AS20" s="24">
        <f t="shared" si="5"/>
        <v>360</v>
      </c>
      <c r="AT20" s="24">
        <f t="shared" si="6"/>
        <v>110.76</v>
      </c>
      <c r="AU20" s="23">
        <f t="shared" si="7"/>
        <v>2372.5800000000004</v>
      </c>
      <c r="AV20" s="23"/>
      <c r="AW20" s="23"/>
      <c r="AX20" s="23">
        <f t="shared" si="8"/>
        <v>8268.1</v>
      </c>
      <c r="AY20" s="26"/>
      <c r="AZ20" s="33"/>
      <c r="BA20" s="23">
        <v>255</v>
      </c>
      <c r="BB20" s="27">
        <f t="shared" si="9"/>
        <v>8523.1</v>
      </c>
      <c r="BC20" s="23">
        <f t="shared" si="10"/>
        <v>511.39</v>
      </c>
      <c r="BD20" s="23">
        <f t="shared" si="11"/>
        <v>9034.49</v>
      </c>
      <c r="BF20" s="29"/>
    </row>
    <row r="21" spans="1:58" s="28" customFormat="1" ht="15" customHeight="1" x14ac:dyDescent="0.25">
      <c r="A21" s="17">
        <f t="shared" si="12"/>
        <v>19</v>
      </c>
      <c r="B21" s="18">
        <v>2411</v>
      </c>
      <c r="C21" s="17" t="s">
        <v>190</v>
      </c>
      <c r="D21" s="17" t="s">
        <v>132</v>
      </c>
      <c r="E21" s="19" t="s">
        <v>133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0</v>
      </c>
      <c r="L21" s="22">
        <v>280</v>
      </c>
      <c r="M21" s="22"/>
      <c r="N21" s="22"/>
      <c r="O21" s="22"/>
      <c r="P21" s="22">
        <v>0</v>
      </c>
      <c r="Q21" s="22"/>
      <c r="R21" s="22">
        <v>0</v>
      </c>
      <c r="S21" s="35">
        <v>0</v>
      </c>
      <c r="T21" s="22"/>
      <c r="U21" s="35">
        <v>0</v>
      </c>
      <c r="V21" s="35">
        <v>0</v>
      </c>
      <c r="W21" s="22"/>
      <c r="X21" s="22">
        <v>2067.3200000000002</v>
      </c>
      <c r="Y21" s="22">
        <v>0</v>
      </c>
      <c r="Z21" s="23">
        <f t="shared" si="16"/>
        <v>3247.32</v>
      </c>
      <c r="AA21" s="24">
        <v>7384</v>
      </c>
      <c r="AB21" s="24">
        <v>590.72</v>
      </c>
      <c r="AC21" s="24">
        <v>147.68</v>
      </c>
      <c r="AD21" s="24">
        <v>36.92</v>
      </c>
      <c r="AE21" s="24">
        <v>4570</v>
      </c>
      <c r="AF21" s="24">
        <f t="shared" si="13"/>
        <v>320</v>
      </c>
      <c r="AG21" s="23">
        <f t="shared" si="1"/>
        <v>1095.3200000000002</v>
      </c>
      <c r="AH21" s="25"/>
      <c r="AI21" s="25"/>
      <c r="AJ21" s="25"/>
      <c r="AK21" s="23">
        <f t="shared" si="2"/>
        <v>2152</v>
      </c>
      <c r="AL21" s="24">
        <v>7384</v>
      </c>
      <c r="AM21" s="24">
        <v>4570</v>
      </c>
      <c r="AN21" s="24">
        <f t="shared" si="14"/>
        <v>1181.44</v>
      </c>
      <c r="AO21" s="24">
        <f t="shared" si="15"/>
        <v>664.56</v>
      </c>
      <c r="AP21" s="24">
        <f t="shared" si="3"/>
        <v>36.92</v>
      </c>
      <c r="AQ21" s="24">
        <f t="shared" si="4"/>
        <v>18.899999999999999</v>
      </c>
      <c r="AR21" s="24"/>
      <c r="AS21" s="24">
        <f t="shared" si="5"/>
        <v>320</v>
      </c>
      <c r="AT21" s="24">
        <f t="shared" si="6"/>
        <v>110.76</v>
      </c>
      <c r="AU21" s="23">
        <f t="shared" si="7"/>
        <v>2332.5800000000004</v>
      </c>
      <c r="AV21" s="23"/>
      <c r="AW21" s="23"/>
      <c r="AX21" s="23">
        <f t="shared" si="8"/>
        <v>5579.9000000000005</v>
      </c>
      <c r="AY21" s="26"/>
      <c r="AZ21" s="33"/>
      <c r="BA21" s="23">
        <v>255</v>
      </c>
      <c r="BB21" s="27">
        <f t="shared" si="9"/>
        <v>5834.9</v>
      </c>
      <c r="BC21" s="23">
        <f t="shared" si="10"/>
        <v>350.09</v>
      </c>
      <c r="BD21" s="23">
        <f t="shared" si="11"/>
        <v>6184.99</v>
      </c>
      <c r="BF21" s="29"/>
    </row>
    <row r="22" spans="1:58" s="28" customFormat="1" ht="15" customHeight="1" x14ac:dyDescent="0.25">
      <c r="A22" s="17">
        <f t="shared" si="12"/>
        <v>20</v>
      </c>
      <c r="B22" s="18">
        <v>2411</v>
      </c>
      <c r="C22" s="17" t="s">
        <v>191</v>
      </c>
      <c r="D22" s="17" t="s">
        <v>134</v>
      </c>
      <c r="E22" s="19" t="s">
        <v>135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2982.4</v>
      </c>
      <c r="L22" s="22">
        <v>2275.6</v>
      </c>
      <c r="M22" s="22"/>
      <c r="N22" s="22"/>
      <c r="O22" s="22"/>
      <c r="P22" s="22">
        <v>200</v>
      </c>
      <c r="Q22" s="22"/>
      <c r="R22" s="22">
        <v>630</v>
      </c>
      <c r="S22" s="35">
        <v>0</v>
      </c>
      <c r="T22" s="22"/>
      <c r="U22" s="35">
        <v>0</v>
      </c>
      <c r="V22" s="35">
        <v>0</v>
      </c>
      <c r="W22" s="22"/>
      <c r="X22" s="22">
        <v>0</v>
      </c>
      <c r="Y22" s="22">
        <v>0</v>
      </c>
      <c r="Z22" s="23">
        <f t="shared" si="16"/>
        <v>6988</v>
      </c>
      <c r="AA22" s="24">
        <v>8182</v>
      </c>
      <c r="AB22" s="24">
        <v>654.55999999999995</v>
      </c>
      <c r="AC22" s="24">
        <v>163.63999999999999</v>
      </c>
      <c r="AD22" s="24">
        <v>40.909999999999997</v>
      </c>
      <c r="AE22" s="24">
        <v>8182</v>
      </c>
      <c r="AF22" s="24">
        <f t="shared" si="13"/>
        <v>573</v>
      </c>
      <c r="AG22" s="23">
        <f t="shared" si="1"/>
        <v>1432.11</v>
      </c>
      <c r="AH22" s="25"/>
      <c r="AI22" s="25"/>
      <c r="AJ22" s="25"/>
      <c r="AK22" s="23">
        <f t="shared" si="2"/>
        <v>5555.89</v>
      </c>
      <c r="AL22" s="24">
        <v>8182</v>
      </c>
      <c r="AM22" s="24">
        <v>8182</v>
      </c>
      <c r="AN22" s="24">
        <f t="shared" si="14"/>
        <v>1309.1199999999999</v>
      </c>
      <c r="AO22" s="24">
        <f t="shared" si="15"/>
        <v>736.38</v>
      </c>
      <c r="AP22" s="24">
        <f t="shared" si="3"/>
        <v>40.909999999999997</v>
      </c>
      <c r="AQ22" s="24">
        <f t="shared" si="4"/>
        <v>20.95</v>
      </c>
      <c r="AR22" s="24"/>
      <c r="AS22" s="24">
        <f t="shared" si="5"/>
        <v>573</v>
      </c>
      <c r="AT22" s="24">
        <f t="shared" si="6"/>
        <v>122.73</v>
      </c>
      <c r="AU22" s="23">
        <f t="shared" si="7"/>
        <v>2803.0899999999997</v>
      </c>
      <c r="AV22" s="23"/>
      <c r="AW22" s="23"/>
      <c r="AX22" s="23">
        <f t="shared" si="8"/>
        <v>9791.09</v>
      </c>
      <c r="AY22" s="26"/>
      <c r="AZ22" s="33"/>
      <c r="BA22" s="23">
        <v>255</v>
      </c>
      <c r="BB22" s="27">
        <f t="shared" si="9"/>
        <v>10046.09</v>
      </c>
      <c r="BC22" s="23">
        <f t="shared" si="10"/>
        <v>602.77</v>
      </c>
      <c r="BD22" s="23">
        <f t="shared" si="11"/>
        <v>10648.86</v>
      </c>
      <c r="BF22" s="29"/>
    </row>
    <row r="23" spans="1:58" s="28" customFormat="1" ht="15" customHeight="1" x14ac:dyDescent="0.25">
      <c r="A23" s="17">
        <f t="shared" si="12"/>
        <v>21</v>
      </c>
      <c r="B23" s="18">
        <v>2411</v>
      </c>
      <c r="C23" s="17" t="s">
        <v>192</v>
      </c>
      <c r="D23" s="17" t="s">
        <v>136</v>
      </c>
      <c r="E23" s="19" t="s">
        <v>137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2605.1999999999998</v>
      </c>
      <c r="L23" s="22">
        <v>847.44</v>
      </c>
      <c r="M23" s="22"/>
      <c r="N23" s="22"/>
      <c r="O23" s="22"/>
      <c r="P23" s="22">
        <v>200</v>
      </c>
      <c r="Q23" s="22"/>
      <c r="R23" s="22">
        <v>630</v>
      </c>
      <c r="S23" s="35">
        <v>0</v>
      </c>
      <c r="T23" s="22"/>
      <c r="U23" s="35">
        <v>0</v>
      </c>
      <c r="V23" s="35">
        <v>0</v>
      </c>
      <c r="W23" s="22"/>
      <c r="X23" s="22">
        <v>0</v>
      </c>
      <c r="Y23" s="22">
        <v>0</v>
      </c>
      <c r="Z23" s="23">
        <f t="shared" si="16"/>
        <v>5232.6399999999994</v>
      </c>
      <c r="AA23" s="24">
        <v>7384</v>
      </c>
      <c r="AB23" s="24">
        <v>590.72</v>
      </c>
      <c r="AC23" s="24">
        <v>147.68</v>
      </c>
      <c r="AD23" s="24">
        <v>36.92</v>
      </c>
      <c r="AE23" s="24">
        <v>6353</v>
      </c>
      <c r="AF23" s="24">
        <f t="shared" si="13"/>
        <v>445</v>
      </c>
      <c r="AG23" s="23">
        <f t="shared" si="1"/>
        <v>1220.3200000000002</v>
      </c>
      <c r="AH23" s="25"/>
      <c r="AI23" s="25"/>
      <c r="AJ23" s="25"/>
      <c r="AK23" s="23">
        <f t="shared" si="2"/>
        <v>4012.3199999999993</v>
      </c>
      <c r="AL23" s="24">
        <v>7384</v>
      </c>
      <c r="AM23" s="24">
        <v>6353</v>
      </c>
      <c r="AN23" s="24">
        <f t="shared" si="14"/>
        <v>1181.44</v>
      </c>
      <c r="AO23" s="24">
        <f t="shared" si="15"/>
        <v>664.56</v>
      </c>
      <c r="AP23" s="24">
        <f t="shared" si="3"/>
        <v>36.92</v>
      </c>
      <c r="AQ23" s="24">
        <f t="shared" si="4"/>
        <v>18.899999999999999</v>
      </c>
      <c r="AR23" s="24"/>
      <c r="AS23" s="24">
        <f t="shared" si="5"/>
        <v>445</v>
      </c>
      <c r="AT23" s="24">
        <f t="shared" si="6"/>
        <v>110.76</v>
      </c>
      <c r="AU23" s="23">
        <f t="shared" si="7"/>
        <v>2457.5800000000004</v>
      </c>
      <c r="AV23" s="23"/>
      <c r="AW23" s="23"/>
      <c r="AX23" s="23">
        <f t="shared" si="8"/>
        <v>7690.2199999999993</v>
      </c>
      <c r="AY23" s="26"/>
      <c r="AZ23" s="33"/>
      <c r="BA23" s="23">
        <v>255</v>
      </c>
      <c r="BB23" s="27">
        <f t="shared" si="9"/>
        <v>7945.22</v>
      </c>
      <c r="BC23" s="23">
        <f t="shared" si="10"/>
        <v>476.71</v>
      </c>
      <c r="BD23" s="23">
        <f t="shared" si="11"/>
        <v>8421.93</v>
      </c>
      <c r="BF23" s="29"/>
    </row>
    <row r="24" spans="1:58" s="28" customFormat="1" ht="15" customHeight="1" x14ac:dyDescent="0.25">
      <c r="A24" s="17">
        <f t="shared" si="12"/>
        <v>22</v>
      </c>
      <c r="B24" s="18">
        <v>2411</v>
      </c>
      <c r="C24" s="17" t="s">
        <v>193</v>
      </c>
      <c r="D24" s="17" t="s">
        <v>138</v>
      </c>
      <c r="E24" s="19" t="s">
        <v>139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1348.2</v>
      </c>
      <c r="L24" s="22">
        <v>1785.36</v>
      </c>
      <c r="M24" s="22"/>
      <c r="N24" s="22"/>
      <c r="O24" s="22"/>
      <c r="P24" s="22">
        <v>200</v>
      </c>
      <c r="Q24" s="22"/>
      <c r="R24" s="22">
        <v>630</v>
      </c>
      <c r="S24" s="35">
        <v>0</v>
      </c>
      <c r="T24" s="22"/>
      <c r="U24" s="35">
        <v>371</v>
      </c>
      <c r="V24" s="35">
        <v>0</v>
      </c>
      <c r="W24" s="22"/>
      <c r="X24" s="22">
        <v>0</v>
      </c>
      <c r="Y24" s="22">
        <v>0</v>
      </c>
      <c r="Z24" s="23">
        <f t="shared" si="16"/>
        <v>5364.5599999999995</v>
      </c>
      <c r="AA24" s="24">
        <v>7384</v>
      </c>
      <c r="AB24" s="24">
        <v>590.72</v>
      </c>
      <c r="AC24" s="24">
        <v>147.68</v>
      </c>
      <c r="AD24" s="24">
        <v>36.92</v>
      </c>
      <c r="AE24" s="24">
        <v>7034</v>
      </c>
      <c r="AF24" s="24">
        <f t="shared" si="13"/>
        <v>492</v>
      </c>
      <c r="AG24" s="23">
        <f t="shared" si="1"/>
        <v>1267.3200000000002</v>
      </c>
      <c r="AH24" s="25"/>
      <c r="AI24" s="25"/>
      <c r="AJ24" s="25"/>
      <c r="AK24" s="23">
        <f t="shared" si="2"/>
        <v>4097.24</v>
      </c>
      <c r="AL24" s="24">
        <v>7384</v>
      </c>
      <c r="AM24" s="24">
        <v>7034</v>
      </c>
      <c r="AN24" s="24">
        <f t="shared" si="14"/>
        <v>1181.44</v>
      </c>
      <c r="AO24" s="24">
        <f t="shared" si="15"/>
        <v>664.56</v>
      </c>
      <c r="AP24" s="24">
        <f t="shared" si="3"/>
        <v>36.92</v>
      </c>
      <c r="AQ24" s="24">
        <f t="shared" si="4"/>
        <v>18.899999999999999</v>
      </c>
      <c r="AR24" s="24"/>
      <c r="AS24" s="24">
        <f t="shared" si="5"/>
        <v>492</v>
      </c>
      <c r="AT24" s="24">
        <f t="shared" si="6"/>
        <v>110.76</v>
      </c>
      <c r="AU24" s="23">
        <f t="shared" si="7"/>
        <v>2504.5800000000004</v>
      </c>
      <c r="AV24" s="23"/>
      <c r="AW24" s="23"/>
      <c r="AX24" s="23">
        <f t="shared" si="8"/>
        <v>7869.1399999999994</v>
      </c>
      <c r="AY24" s="26"/>
      <c r="AZ24" s="33"/>
      <c r="BA24" s="23">
        <v>255</v>
      </c>
      <c r="BB24" s="27">
        <f t="shared" si="9"/>
        <v>8124.14</v>
      </c>
      <c r="BC24" s="23">
        <f t="shared" si="10"/>
        <v>487.45</v>
      </c>
      <c r="BD24" s="23">
        <f t="shared" si="11"/>
        <v>8611.59</v>
      </c>
      <c r="BF24" s="29"/>
    </row>
    <row r="25" spans="1:58" s="28" customFormat="1" ht="15" customHeight="1" x14ac:dyDescent="0.25">
      <c r="A25" s="17">
        <f t="shared" si="12"/>
        <v>23</v>
      </c>
      <c r="B25" s="18">
        <v>2411</v>
      </c>
      <c r="C25" s="17" t="s">
        <v>194</v>
      </c>
      <c r="D25" s="17" t="s">
        <v>140</v>
      </c>
      <c r="E25" s="19" t="s">
        <v>141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993.3</v>
      </c>
      <c r="L25" s="22">
        <v>825.04</v>
      </c>
      <c r="M25" s="22"/>
      <c r="N25" s="22"/>
      <c r="O25" s="22"/>
      <c r="P25" s="22">
        <v>200</v>
      </c>
      <c r="Q25" s="22"/>
      <c r="R25" s="22">
        <v>630</v>
      </c>
      <c r="S25" s="35">
        <v>0</v>
      </c>
      <c r="T25" s="22"/>
      <c r="U25" s="35">
        <v>0</v>
      </c>
      <c r="V25" s="35">
        <v>0</v>
      </c>
      <c r="W25" s="22"/>
      <c r="X25" s="22">
        <v>1038.98</v>
      </c>
      <c r="Y25" s="22">
        <v>0</v>
      </c>
      <c r="Z25" s="23">
        <f t="shared" si="16"/>
        <v>4637.32</v>
      </c>
      <c r="AA25" s="24">
        <v>7384</v>
      </c>
      <c r="AB25" s="24">
        <v>590.72</v>
      </c>
      <c r="AC25" s="24">
        <v>147.68</v>
      </c>
      <c r="AD25" s="24">
        <v>36.92</v>
      </c>
      <c r="AE25" s="24">
        <v>4880</v>
      </c>
      <c r="AF25" s="24">
        <f t="shared" si="13"/>
        <v>342</v>
      </c>
      <c r="AG25" s="23">
        <f t="shared" si="1"/>
        <v>1117.3200000000002</v>
      </c>
      <c r="AH25" s="25"/>
      <c r="AI25" s="25"/>
      <c r="AJ25" s="25"/>
      <c r="AK25" s="23">
        <f t="shared" si="2"/>
        <v>3519.9999999999995</v>
      </c>
      <c r="AL25" s="24">
        <v>7384</v>
      </c>
      <c r="AM25" s="24">
        <v>4880</v>
      </c>
      <c r="AN25" s="24">
        <f t="shared" si="14"/>
        <v>1181.44</v>
      </c>
      <c r="AO25" s="24">
        <f t="shared" si="15"/>
        <v>664.56</v>
      </c>
      <c r="AP25" s="24">
        <f t="shared" si="3"/>
        <v>36.92</v>
      </c>
      <c r="AQ25" s="24">
        <f t="shared" si="4"/>
        <v>18.899999999999999</v>
      </c>
      <c r="AR25" s="24"/>
      <c r="AS25" s="24">
        <f t="shared" si="5"/>
        <v>342</v>
      </c>
      <c r="AT25" s="24">
        <f t="shared" si="6"/>
        <v>110.76</v>
      </c>
      <c r="AU25" s="23">
        <f t="shared" si="7"/>
        <v>2354.5800000000004</v>
      </c>
      <c r="AV25" s="23"/>
      <c r="AW25" s="23"/>
      <c r="AX25" s="23">
        <f t="shared" si="8"/>
        <v>6991.9</v>
      </c>
      <c r="AY25" s="26"/>
      <c r="AZ25" s="33"/>
      <c r="BA25" s="23">
        <v>255</v>
      </c>
      <c r="BB25" s="27">
        <f t="shared" si="9"/>
        <v>7246.9</v>
      </c>
      <c r="BC25" s="23">
        <f t="shared" si="10"/>
        <v>434.81</v>
      </c>
      <c r="BD25" s="23">
        <f t="shared" si="11"/>
        <v>7681.71</v>
      </c>
      <c r="BF25" s="29"/>
    </row>
    <row r="26" spans="1:58" s="28" customFormat="1" ht="15" customHeight="1" x14ac:dyDescent="0.25">
      <c r="A26" s="17">
        <f t="shared" si="12"/>
        <v>24</v>
      </c>
      <c r="B26" s="18">
        <v>2411</v>
      </c>
      <c r="C26" s="17" t="s">
        <v>195</v>
      </c>
      <c r="D26" s="17" t="s">
        <v>142</v>
      </c>
      <c r="E26" s="19" t="s">
        <v>143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1327.6</v>
      </c>
      <c r="L26" s="22">
        <v>710</v>
      </c>
      <c r="M26" s="22"/>
      <c r="N26" s="22"/>
      <c r="O26" s="22"/>
      <c r="P26" s="22">
        <v>200</v>
      </c>
      <c r="Q26" s="22"/>
      <c r="R26" s="22">
        <v>630</v>
      </c>
      <c r="S26" s="35">
        <v>0</v>
      </c>
      <c r="T26" s="22"/>
      <c r="U26" s="35">
        <v>742</v>
      </c>
      <c r="V26" s="35">
        <v>0</v>
      </c>
      <c r="W26" s="22"/>
      <c r="X26" s="22">
        <v>790.72</v>
      </c>
      <c r="Y26" s="22">
        <v>0</v>
      </c>
      <c r="Z26" s="23">
        <f t="shared" si="16"/>
        <v>5350.3200000000006</v>
      </c>
      <c r="AA26" s="24">
        <v>7384</v>
      </c>
      <c r="AB26" s="24">
        <v>590.72</v>
      </c>
      <c r="AC26" s="24">
        <v>147.68</v>
      </c>
      <c r="AD26" s="24">
        <v>36.92</v>
      </c>
      <c r="AE26" s="24">
        <v>4467</v>
      </c>
      <c r="AF26" s="24">
        <f t="shared" si="13"/>
        <v>313</v>
      </c>
      <c r="AG26" s="23">
        <f t="shared" si="1"/>
        <v>1088.3200000000002</v>
      </c>
      <c r="AH26" s="25"/>
      <c r="AI26" s="25"/>
      <c r="AJ26" s="25"/>
      <c r="AK26" s="23">
        <f t="shared" si="2"/>
        <v>4262</v>
      </c>
      <c r="AL26" s="24">
        <v>7384</v>
      </c>
      <c r="AM26" s="24">
        <v>4467</v>
      </c>
      <c r="AN26" s="24">
        <f t="shared" si="14"/>
        <v>1181.44</v>
      </c>
      <c r="AO26" s="24">
        <f t="shared" si="15"/>
        <v>664.56</v>
      </c>
      <c r="AP26" s="24">
        <f t="shared" si="3"/>
        <v>36.92</v>
      </c>
      <c r="AQ26" s="24">
        <f t="shared" si="4"/>
        <v>18.899999999999999</v>
      </c>
      <c r="AR26" s="24"/>
      <c r="AS26" s="24">
        <f t="shared" si="5"/>
        <v>313</v>
      </c>
      <c r="AT26" s="24">
        <f t="shared" si="6"/>
        <v>110.76</v>
      </c>
      <c r="AU26" s="23">
        <f t="shared" si="7"/>
        <v>2325.5800000000004</v>
      </c>
      <c r="AV26" s="23"/>
      <c r="AW26" s="23"/>
      <c r="AX26" s="23">
        <f t="shared" si="8"/>
        <v>7675.9000000000015</v>
      </c>
      <c r="AY26" s="26"/>
      <c r="AZ26" s="33"/>
      <c r="BA26" s="23">
        <v>255</v>
      </c>
      <c r="BB26" s="27">
        <f t="shared" si="9"/>
        <v>7930.9</v>
      </c>
      <c r="BC26" s="23">
        <f t="shared" si="10"/>
        <v>475.85</v>
      </c>
      <c r="BD26" s="23">
        <f t="shared" si="11"/>
        <v>8406.75</v>
      </c>
      <c r="BF26" s="29"/>
    </row>
    <row r="27" spans="1:58" s="28" customFormat="1" ht="15" customHeight="1" x14ac:dyDescent="0.25">
      <c r="A27" s="17">
        <f t="shared" si="12"/>
        <v>25</v>
      </c>
      <c r="B27" s="18">
        <v>2411</v>
      </c>
      <c r="C27" s="17" t="s">
        <v>197</v>
      </c>
      <c r="D27" s="17" t="s">
        <v>145</v>
      </c>
      <c r="E27" s="19" t="s">
        <v>146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2588.16</v>
      </c>
      <c r="L27" s="22">
        <v>1352.08</v>
      </c>
      <c r="M27" s="22"/>
      <c r="N27" s="22"/>
      <c r="O27" s="22"/>
      <c r="P27" s="22">
        <v>200</v>
      </c>
      <c r="Q27" s="22"/>
      <c r="R27" s="22">
        <v>630</v>
      </c>
      <c r="S27" s="35">
        <v>0</v>
      </c>
      <c r="T27" s="22"/>
      <c r="U27" s="35">
        <v>0</v>
      </c>
      <c r="V27" s="35">
        <v>0</v>
      </c>
      <c r="W27" s="22"/>
      <c r="X27" s="22">
        <v>0</v>
      </c>
      <c r="Y27" s="22">
        <v>0</v>
      </c>
      <c r="Z27" s="23">
        <f t="shared" si="16"/>
        <v>5720.24</v>
      </c>
      <c r="AA27" s="24">
        <v>7384</v>
      </c>
      <c r="AB27" s="24">
        <v>590.72</v>
      </c>
      <c r="AC27" s="24">
        <v>147.68</v>
      </c>
      <c r="AD27" s="24">
        <v>36.92</v>
      </c>
      <c r="AE27" s="24">
        <v>4492</v>
      </c>
      <c r="AF27" s="24">
        <f t="shared" si="13"/>
        <v>314</v>
      </c>
      <c r="AG27" s="23">
        <f t="shared" si="1"/>
        <v>1089.3200000000002</v>
      </c>
      <c r="AH27" s="25"/>
      <c r="AI27" s="25"/>
      <c r="AJ27" s="25"/>
      <c r="AK27" s="23">
        <f t="shared" si="2"/>
        <v>4630.92</v>
      </c>
      <c r="AL27" s="24">
        <v>7384</v>
      </c>
      <c r="AM27" s="24">
        <v>4492</v>
      </c>
      <c r="AN27" s="24">
        <f t="shared" si="14"/>
        <v>1181.44</v>
      </c>
      <c r="AO27" s="24">
        <f t="shared" si="15"/>
        <v>664.56</v>
      </c>
      <c r="AP27" s="24">
        <f t="shared" si="3"/>
        <v>36.92</v>
      </c>
      <c r="AQ27" s="24">
        <f t="shared" si="4"/>
        <v>18.899999999999999</v>
      </c>
      <c r="AR27" s="24"/>
      <c r="AS27" s="24">
        <f t="shared" si="5"/>
        <v>314</v>
      </c>
      <c r="AT27" s="24">
        <f t="shared" si="6"/>
        <v>110.76</v>
      </c>
      <c r="AU27" s="23">
        <f t="shared" si="7"/>
        <v>2326.5800000000004</v>
      </c>
      <c r="AV27" s="23"/>
      <c r="AW27" s="23"/>
      <c r="AX27" s="23">
        <f t="shared" si="8"/>
        <v>8046.82</v>
      </c>
      <c r="AY27" s="26"/>
      <c r="AZ27" s="33"/>
      <c r="BA27" s="23">
        <v>255</v>
      </c>
      <c r="BB27" s="27">
        <f t="shared" si="9"/>
        <v>8301.82</v>
      </c>
      <c r="BC27" s="23">
        <f t="shared" si="10"/>
        <v>498.11</v>
      </c>
      <c r="BD27" s="23">
        <f t="shared" si="11"/>
        <v>8799.93</v>
      </c>
      <c r="BF27" s="29"/>
    </row>
    <row r="28" spans="1:58" s="28" customFormat="1" ht="15" customHeight="1" x14ac:dyDescent="0.25">
      <c r="A28" s="17">
        <f t="shared" si="12"/>
        <v>26</v>
      </c>
      <c r="B28" s="18">
        <v>2411</v>
      </c>
      <c r="C28" s="17" t="s">
        <v>198</v>
      </c>
      <c r="D28" s="17" t="s">
        <v>147</v>
      </c>
      <c r="E28" s="19" t="s">
        <v>148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8630</v>
      </c>
      <c r="L28" s="22">
        <v>5861.04</v>
      </c>
      <c r="M28" s="22"/>
      <c r="N28" s="22"/>
      <c r="O28" s="22"/>
      <c r="P28" s="22">
        <v>200</v>
      </c>
      <c r="Q28" s="22"/>
      <c r="R28" s="22">
        <v>630</v>
      </c>
      <c r="S28" s="35">
        <v>30</v>
      </c>
      <c r="T28" s="22"/>
      <c r="U28" s="35">
        <v>0</v>
      </c>
      <c r="V28" s="35">
        <v>2000</v>
      </c>
      <c r="W28" s="22"/>
      <c r="X28" s="22">
        <v>0</v>
      </c>
      <c r="Y28" s="22">
        <v>0</v>
      </c>
      <c r="Z28" s="23">
        <f t="shared" si="16"/>
        <v>18381.04</v>
      </c>
      <c r="AA28" s="24">
        <v>13877</v>
      </c>
      <c r="AB28" s="24">
        <v>1110.1600000000001</v>
      </c>
      <c r="AC28" s="24">
        <v>277.54000000000002</v>
      </c>
      <c r="AD28" s="24">
        <v>69.39</v>
      </c>
      <c r="AE28" s="24">
        <v>13877</v>
      </c>
      <c r="AF28" s="24">
        <f t="shared" si="13"/>
        <v>971</v>
      </c>
      <c r="AG28" s="23">
        <f t="shared" si="1"/>
        <v>2428.09</v>
      </c>
      <c r="AH28" s="25"/>
      <c r="AI28" s="25"/>
      <c r="AJ28" s="25"/>
      <c r="AK28" s="23">
        <f t="shared" si="2"/>
        <v>15952.95</v>
      </c>
      <c r="AL28" s="24">
        <v>13877</v>
      </c>
      <c r="AM28" s="24">
        <v>13877</v>
      </c>
      <c r="AN28" s="24">
        <f t="shared" si="14"/>
        <v>2220.3200000000002</v>
      </c>
      <c r="AO28" s="24">
        <v>1248.94</v>
      </c>
      <c r="AP28" s="24">
        <f t="shared" si="3"/>
        <v>69.39</v>
      </c>
      <c r="AQ28" s="24">
        <f t="shared" si="4"/>
        <v>35.53</v>
      </c>
      <c r="AR28" s="24"/>
      <c r="AS28" s="24">
        <f t="shared" si="5"/>
        <v>971</v>
      </c>
      <c r="AT28" s="24">
        <f t="shared" si="6"/>
        <v>208.16</v>
      </c>
      <c r="AU28" s="23">
        <f t="shared" si="7"/>
        <v>4753.34</v>
      </c>
      <c r="AV28" s="23"/>
      <c r="AW28" s="23"/>
      <c r="AX28" s="23">
        <f t="shared" si="8"/>
        <v>23134.38</v>
      </c>
      <c r="AY28" s="26"/>
      <c r="AZ28" s="33"/>
      <c r="BA28" s="23">
        <v>255</v>
      </c>
      <c r="BB28" s="27">
        <f t="shared" si="9"/>
        <v>23389.38</v>
      </c>
      <c r="BC28" s="23">
        <f t="shared" si="10"/>
        <v>1403.36</v>
      </c>
      <c r="BD28" s="23">
        <f t="shared" si="11"/>
        <v>24792.74</v>
      </c>
      <c r="BF28" s="29"/>
    </row>
    <row r="29" spans="1:58" s="28" customFormat="1" ht="15" customHeight="1" x14ac:dyDescent="0.25">
      <c r="A29" s="17">
        <f t="shared" si="12"/>
        <v>27</v>
      </c>
      <c r="B29" s="18">
        <v>2411</v>
      </c>
      <c r="C29" s="17" t="s">
        <v>199</v>
      </c>
      <c r="D29" s="17" t="s">
        <v>149</v>
      </c>
      <c r="E29" s="19" t="s">
        <v>150</v>
      </c>
      <c r="F29" s="20">
        <v>45444</v>
      </c>
      <c r="G29" s="20">
        <v>45808</v>
      </c>
      <c r="H29" s="17"/>
      <c r="I29" s="21" t="s">
        <v>0</v>
      </c>
      <c r="J29" s="22">
        <v>950</v>
      </c>
      <c r="K29" s="22">
        <v>8062</v>
      </c>
      <c r="L29" s="22">
        <v>4369.68</v>
      </c>
      <c r="M29" s="22"/>
      <c r="N29" s="22"/>
      <c r="O29" s="22"/>
      <c r="P29" s="22">
        <v>200</v>
      </c>
      <c r="Q29" s="22"/>
      <c r="R29" s="22">
        <v>630</v>
      </c>
      <c r="S29" s="35">
        <v>0</v>
      </c>
      <c r="T29" s="22"/>
      <c r="U29" s="35">
        <v>0</v>
      </c>
      <c r="V29" s="35">
        <v>2000</v>
      </c>
      <c r="W29" s="22"/>
      <c r="X29" s="22">
        <v>0</v>
      </c>
      <c r="Y29" s="22">
        <v>0</v>
      </c>
      <c r="Z29" s="23">
        <f t="shared" si="16"/>
        <v>16211.68</v>
      </c>
      <c r="AA29" s="24">
        <v>8878</v>
      </c>
      <c r="AB29" s="24">
        <v>710.24</v>
      </c>
      <c r="AC29" s="24">
        <v>177.56</v>
      </c>
      <c r="AD29" s="24">
        <v>44.39</v>
      </c>
      <c r="AE29" s="24">
        <v>8878</v>
      </c>
      <c r="AF29" s="24">
        <f t="shared" si="13"/>
        <v>621</v>
      </c>
      <c r="AG29" s="23">
        <f t="shared" si="1"/>
        <v>1553.19</v>
      </c>
      <c r="AH29" s="25"/>
      <c r="AI29" s="25"/>
      <c r="AJ29" s="25"/>
      <c r="AK29" s="23">
        <f t="shared" si="2"/>
        <v>14658.49</v>
      </c>
      <c r="AL29" s="24">
        <v>8878</v>
      </c>
      <c r="AM29" s="24">
        <v>8878</v>
      </c>
      <c r="AN29" s="24">
        <f t="shared" si="14"/>
        <v>1420.48</v>
      </c>
      <c r="AO29" s="24">
        <f t="shared" si="15"/>
        <v>799.02</v>
      </c>
      <c r="AP29" s="24">
        <f t="shared" si="3"/>
        <v>44.39</v>
      </c>
      <c r="AQ29" s="24">
        <f t="shared" si="4"/>
        <v>22.73</v>
      </c>
      <c r="AR29" s="24"/>
      <c r="AS29" s="24">
        <f t="shared" si="5"/>
        <v>621</v>
      </c>
      <c r="AT29" s="24">
        <f t="shared" si="6"/>
        <v>133.16999999999999</v>
      </c>
      <c r="AU29" s="23">
        <f t="shared" si="7"/>
        <v>3040.79</v>
      </c>
      <c r="AV29" s="23"/>
      <c r="AW29" s="23"/>
      <c r="AX29" s="23">
        <f t="shared" si="8"/>
        <v>19252.47</v>
      </c>
      <c r="AY29" s="26"/>
      <c r="AZ29" s="33"/>
      <c r="BA29" s="23">
        <v>255</v>
      </c>
      <c r="BB29" s="27">
        <f t="shared" si="9"/>
        <v>19507.47</v>
      </c>
      <c r="BC29" s="23">
        <f t="shared" si="10"/>
        <v>1170.45</v>
      </c>
      <c r="BD29" s="23">
        <f t="shared" si="11"/>
        <v>20677.919999999998</v>
      </c>
      <c r="BF29" s="29"/>
    </row>
    <row r="30" spans="1:58" s="28" customFormat="1" ht="15" customHeight="1" x14ac:dyDescent="0.25">
      <c r="A30" s="17">
        <f t="shared" si="12"/>
        <v>28</v>
      </c>
      <c r="B30" s="18">
        <v>2411</v>
      </c>
      <c r="C30" s="17" t="s">
        <v>200</v>
      </c>
      <c r="D30" s="17" t="s">
        <v>151</v>
      </c>
      <c r="E30" s="19" t="s">
        <v>152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4886</v>
      </c>
      <c r="L30" s="22">
        <v>3454.88</v>
      </c>
      <c r="M30" s="22"/>
      <c r="N30" s="22"/>
      <c r="O30" s="22"/>
      <c r="P30" s="22">
        <v>200</v>
      </c>
      <c r="Q30" s="22"/>
      <c r="R30" s="22">
        <v>630</v>
      </c>
      <c r="S30" s="35">
        <v>0</v>
      </c>
      <c r="T30" s="22"/>
      <c r="U30" s="35">
        <v>0</v>
      </c>
      <c r="V30" s="35">
        <v>2000</v>
      </c>
      <c r="W30" s="22"/>
      <c r="X30" s="22">
        <v>0</v>
      </c>
      <c r="Y30" s="22">
        <v>0</v>
      </c>
      <c r="Z30" s="23">
        <f t="shared" si="16"/>
        <v>12120.880000000001</v>
      </c>
      <c r="AA30" s="24">
        <v>8677</v>
      </c>
      <c r="AB30" s="24">
        <v>694.16</v>
      </c>
      <c r="AC30" s="24">
        <v>173.54</v>
      </c>
      <c r="AD30" s="24">
        <v>43.39</v>
      </c>
      <c r="AE30" s="24">
        <v>8677</v>
      </c>
      <c r="AF30" s="24">
        <f t="shared" si="13"/>
        <v>607</v>
      </c>
      <c r="AG30" s="23">
        <f t="shared" si="1"/>
        <v>1518.09</v>
      </c>
      <c r="AH30" s="25"/>
      <c r="AI30" s="25"/>
      <c r="AJ30" s="25"/>
      <c r="AK30" s="23">
        <f t="shared" si="2"/>
        <v>10602.79</v>
      </c>
      <c r="AL30" s="24">
        <v>8677</v>
      </c>
      <c r="AM30" s="24">
        <v>8677</v>
      </c>
      <c r="AN30" s="24">
        <f t="shared" si="14"/>
        <v>1388.32</v>
      </c>
      <c r="AO30" s="24">
        <v>780.94</v>
      </c>
      <c r="AP30" s="24">
        <f t="shared" si="3"/>
        <v>43.39</v>
      </c>
      <c r="AQ30" s="24">
        <f t="shared" si="4"/>
        <v>22.21</v>
      </c>
      <c r="AR30" s="24"/>
      <c r="AS30" s="24">
        <f t="shared" si="5"/>
        <v>607</v>
      </c>
      <c r="AT30" s="24">
        <f t="shared" si="6"/>
        <v>130.16</v>
      </c>
      <c r="AU30" s="23">
        <f t="shared" si="7"/>
        <v>2972.02</v>
      </c>
      <c r="AV30" s="23"/>
      <c r="AW30" s="23"/>
      <c r="AX30" s="23">
        <f t="shared" si="8"/>
        <v>15092.900000000001</v>
      </c>
      <c r="AY30" s="26"/>
      <c r="AZ30" s="33"/>
      <c r="BA30" s="23">
        <v>255</v>
      </c>
      <c r="BB30" s="27">
        <f t="shared" si="9"/>
        <v>15347.9</v>
      </c>
      <c r="BC30" s="23">
        <f t="shared" si="10"/>
        <v>920.87</v>
      </c>
      <c r="BD30" s="23">
        <f t="shared" si="11"/>
        <v>16268.77</v>
      </c>
      <c r="BF30" s="29"/>
    </row>
    <row r="31" spans="1:58" s="28" customFormat="1" ht="15" customHeight="1" x14ac:dyDescent="0.25">
      <c r="A31" s="17">
        <f t="shared" si="12"/>
        <v>29</v>
      </c>
      <c r="B31" s="18">
        <v>2411</v>
      </c>
      <c r="C31" s="17" t="s">
        <v>201</v>
      </c>
      <c r="D31" s="17" t="s">
        <v>153</v>
      </c>
      <c r="E31" s="19" t="s">
        <v>154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8394</v>
      </c>
      <c r="L31" s="22">
        <v>3325.68</v>
      </c>
      <c r="M31" s="22"/>
      <c r="N31" s="22"/>
      <c r="O31" s="22"/>
      <c r="P31" s="22">
        <v>200</v>
      </c>
      <c r="Q31" s="22"/>
      <c r="R31" s="22">
        <v>630</v>
      </c>
      <c r="S31" s="35">
        <v>0</v>
      </c>
      <c r="T31" s="22"/>
      <c r="U31" s="35">
        <v>0</v>
      </c>
      <c r="V31" s="35">
        <v>2000</v>
      </c>
      <c r="W31" s="22"/>
      <c r="X31" s="22">
        <v>0</v>
      </c>
      <c r="Y31" s="22">
        <v>0</v>
      </c>
      <c r="Z31" s="23">
        <f t="shared" si="16"/>
        <v>15499.68</v>
      </c>
      <c r="AA31" s="24">
        <v>7384</v>
      </c>
      <c r="AB31" s="24">
        <v>590.72</v>
      </c>
      <c r="AC31" s="24">
        <v>147.68</v>
      </c>
      <c r="AD31" s="24">
        <v>36.92</v>
      </c>
      <c r="AE31" s="24">
        <v>5109</v>
      </c>
      <c r="AF31" s="24">
        <f t="shared" si="13"/>
        <v>358</v>
      </c>
      <c r="AG31" s="23">
        <f t="shared" si="1"/>
        <v>1133.3200000000002</v>
      </c>
      <c r="AH31" s="25"/>
      <c r="AI31" s="25"/>
      <c r="AJ31" s="25"/>
      <c r="AK31" s="23">
        <f t="shared" si="2"/>
        <v>14366.36</v>
      </c>
      <c r="AL31" s="24">
        <v>7384</v>
      </c>
      <c r="AM31" s="24">
        <v>5109</v>
      </c>
      <c r="AN31" s="24">
        <f t="shared" si="14"/>
        <v>1181.44</v>
      </c>
      <c r="AO31" s="24">
        <f t="shared" si="15"/>
        <v>664.56</v>
      </c>
      <c r="AP31" s="24">
        <f t="shared" si="3"/>
        <v>36.92</v>
      </c>
      <c r="AQ31" s="24">
        <f t="shared" si="4"/>
        <v>18.899999999999999</v>
      </c>
      <c r="AR31" s="24"/>
      <c r="AS31" s="24">
        <f t="shared" si="5"/>
        <v>358</v>
      </c>
      <c r="AT31" s="24">
        <f t="shared" si="6"/>
        <v>110.76</v>
      </c>
      <c r="AU31" s="23">
        <f t="shared" si="7"/>
        <v>2370.5800000000004</v>
      </c>
      <c r="AV31" s="23"/>
      <c r="AW31" s="23"/>
      <c r="AX31" s="23">
        <f t="shared" si="8"/>
        <v>17870.260000000002</v>
      </c>
      <c r="AY31" s="26"/>
      <c r="AZ31" s="33"/>
      <c r="BA31" s="23">
        <v>255</v>
      </c>
      <c r="BB31" s="27">
        <f t="shared" si="9"/>
        <v>18125.259999999998</v>
      </c>
      <c r="BC31" s="23">
        <f t="shared" si="10"/>
        <v>1087.52</v>
      </c>
      <c r="BD31" s="23">
        <f t="shared" si="11"/>
        <v>19212.78</v>
      </c>
      <c r="BF31" s="29"/>
    </row>
    <row r="32" spans="1:58" s="28" customFormat="1" ht="15" customHeight="1" x14ac:dyDescent="0.25">
      <c r="A32" s="17">
        <f t="shared" si="12"/>
        <v>30</v>
      </c>
      <c r="B32" s="18">
        <v>2411</v>
      </c>
      <c r="C32" s="17" t="s">
        <v>203</v>
      </c>
      <c r="D32" s="17" t="s">
        <v>157</v>
      </c>
      <c r="E32" s="19" t="s">
        <v>158</v>
      </c>
      <c r="F32" s="20">
        <v>45444</v>
      </c>
      <c r="G32" s="20">
        <v>45808</v>
      </c>
      <c r="H32" s="17"/>
      <c r="I32" s="21" t="s">
        <v>0</v>
      </c>
      <c r="J32" s="22">
        <v>800</v>
      </c>
      <c r="K32" s="22">
        <v>884.1</v>
      </c>
      <c r="L32" s="22">
        <v>602.48</v>
      </c>
      <c r="M32" s="22"/>
      <c r="N32" s="22"/>
      <c r="O32" s="22"/>
      <c r="P32" s="22">
        <v>200</v>
      </c>
      <c r="Q32" s="22"/>
      <c r="R32" s="22">
        <v>630</v>
      </c>
      <c r="S32" s="35">
        <v>0</v>
      </c>
      <c r="T32" s="22"/>
      <c r="U32" s="35">
        <v>0</v>
      </c>
      <c r="V32" s="35">
        <v>0</v>
      </c>
      <c r="W32" s="22"/>
      <c r="X32" s="22">
        <v>1758.74</v>
      </c>
      <c r="Y32" s="22">
        <v>-200</v>
      </c>
      <c r="Z32" s="23">
        <f t="shared" si="16"/>
        <v>4675.32</v>
      </c>
      <c r="AA32" s="24">
        <v>7384</v>
      </c>
      <c r="AB32" s="24">
        <v>590.72</v>
      </c>
      <c r="AC32" s="24">
        <v>147.68</v>
      </c>
      <c r="AD32" s="24">
        <v>36.92</v>
      </c>
      <c r="AE32" s="24">
        <v>5432</v>
      </c>
      <c r="AF32" s="24">
        <f t="shared" si="13"/>
        <v>380</v>
      </c>
      <c r="AG32" s="23">
        <f t="shared" si="1"/>
        <v>1155.3200000000002</v>
      </c>
      <c r="AH32" s="25"/>
      <c r="AI32" s="25"/>
      <c r="AJ32" s="25"/>
      <c r="AK32" s="23">
        <f t="shared" si="2"/>
        <v>3519.9999999999995</v>
      </c>
      <c r="AL32" s="24">
        <v>7384</v>
      </c>
      <c r="AM32" s="24">
        <v>5432</v>
      </c>
      <c r="AN32" s="24">
        <f t="shared" si="14"/>
        <v>1181.44</v>
      </c>
      <c r="AO32" s="24">
        <f t="shared" si="15"/>
        <v>664.56</v>
      </c>
      <c r="AP32" s="24">
        <f t="shared" si="3"/>
        <v>36.92</v>
      </c>
      <c r="AQ32" s="24">
        <f t="shared" si="4"/>
        <v>18.899999999999999</v>
      </c>
      <c r="AR32" s="24"/>
      <c r="AS32" s="24">
        <f t="shared" si="5"/>
        <v>380</v>
      </c>
      <c r="AT32" s="24">
        <f t="shared" si="6"/>
        <v>110.76</v>
      </c>
      <c r="AU32" s="23">
        <f t="shared" si="7"/>
        <v>2392.5800000000004</v>
      </c>
      <c r="AV32" s="23"/>
      <c r="AW32" s="23"/>
      <c r="AX32" s="23">
        <f t="shared" si="8"/>
        <v>7067.9</v>
      </c>
      <c r="AY32" s="26"/>
      <c r="AZ32" s="33"/>
      <c r="BA32" s="23">
        <v>255</v>
      </c>
      <c r="BB32" s="27">
        <f t="shared" si="9"/>
        <v>7322.9</v>
      </c>
      <c r="BC32" s="23">
        <f t="shared" si="10"/>
        <v>439.37</v>
      </c>
      <c r="BD32" s="23">
        <f t="shared" si="11"/>
        <v>7762.27</v>
      </c>
      <c r="BF32" s="29"/>
    </row>
    <row r="33" spans="1:58" s="28" customFormat="1" ht="15" customHeight="1" x14ac:dyDescent="0.25">
      <c r="A33" s="17">
        <f t="shared" si="12"/>
        <v>31</v>
      </c>
      <c r="B33" s="18">
        <v>2411</v>
      </c>
      <c r="C33" s="17" t="s">
        <v>204</v>
      </c>
      <c r="D33" s="17" t="s">
        <v>159</v>
      </c>
      <c r="E33" s="19" t="s">
        <v>160</v>
      </c>
      <c r="F33" s="20">
        <v>45444</v>
      </c>
      <c r="G33" s="20">
        <v>45808</v>
      </c>
      <c r="H33" s="17"/>
      <c r="I33" s="21" t="s">
        <v>0</v>
      </c>
      <c r="J33" s="22">
        <v>900</v>
      </c>
      <c r="K33" s="22">
        <v>2839.85</v>
      </c>
      <c r="L33" s="22">
        <v>1863.96</v>
      </c>
      <c r="M33" s="22"/>
      <c r="N33" s="22"/>
      <c r="O33" s="22"/>
      <c r="P33" s="22">
        <v>200</v>
      </c>
      <c r="Q33" s="22"/>
      <c r="R33" s="22">
        <v>630</v>
      </c>
      <c r="S33" s="35">
        <v>0</v>
      </c>
      <c r="T33" s="22"/>
      <c r="U33" s="35">
        <v>742</v>
      </c>
      <c r="V33" s="35">
        <v>0</v>
      </c>
      <c r="W33" s="22"/>
      <c r="X33" s="22">
        <v>0</v>
      </c>
      <c r="Y33" s="22">
        <v>-500</v>
      </c>
      <c r="Z33" s="23">
        <f t="shared" si="16"/>
        <v>6675.8099999999995</v>
      </c>
      <c r="AA33" s="24">
        <v>7606</v>
      </c>
      <c r="AB33" s="24">
        <v>608.48</v>
      </c>
      <c r="AC33" s="24">
        <v>152.12</v>
      </c>
      <c r="AD33" s="24">
        <v>38.03</v>
      </c>
      <c r="AE33" s="24">
        <v>7606</v>
      </c>
      <c r="AF33" s="24">
        <f t="shared" si="13"/>
        <v>532</v>
      </c>
      <c r="AG33" s="23">
        <f t="shared" si="1"/>
        <v>1330.63</v>
      </c>
      <c r="AH33" s="25"/>
      <c r="AI33" s="25"/>
      <c r="AJ33" s="25"/>
      <c r="AK33" s="23">
        <f t="shared" si="2"/>
        <v>5345.1799999999994</v>
      </c>
      <c r="AL33" s="24">
        <v>7606</v>
      </c>
      <c r="AM33" s="24">
        <v>7606</v>
      </c>
      <c r="AN33" s="24">
        <f t="shared" si="14"/>
        <v>1216.96</v>
      </c>
      <c r="AO33" s="24">
        <f t="shared" si="15"/>
        <v>684.54</v>
      </c>
      <c r="AP33" s="24">
        <f t="shared" si="3"/>
        <v>38.03</v>
      </c>
      <c r="AQ33" s="24">
        <f t="shared" si="4"/>
        <v>19.47</v>
      </c>
      <c r="AR33" s="24"/>
      <c r="AS33" s="24">
        <f t="shared" si="5"/>
        <v>532</v>
      </c>
      <c r="AT33" s="24">
        <f t="shared" si="6"/>
        <v>114.09</v>
      </c>
      <c r="AU33" s="23">
        <f t="shared" si="7"/>
        <v>2605.09</v>
      </c>
      <c r="AV33" s="23"/>
      <c r="AW33" s="23"/>
      <c r="AX33" s="23">
        <f t="shared" si="8"/>
        <v>9280.9</v>
      </c>
      <c r="AY33" s="26"/>
      <c r="AZ33" s="33"/>
      <c r="BA33" s="23">
        <v>255</v>
      </c>
      <c r="BB33" s="27">
        <f t="shared" si="9"/>
        <v>9535.9</v>
      </c>
      <c r="BC33" s="23">
        <f t="shared" si="10"/>
        <v>572.15</v>
      </c>
      <c r="BD33" s="23">
        <f t="shared" si="11"/>
        <v>10108.049999999999</v>
      </c>
      <c r="BF33" s="29"/>
    </row>
    <row r="34" spans="1:58" s="28" customFormat="1" ht="15" customHeight="1" x14ac:dyDescent="0.25">
      <c r="A34" s="17">
        <f t="shared" si="12"/>
        <v>32</v>
      </c>
      <c r="B34" s="18">
        <v>2411</v>
      </c>
      <c r="C34" s="17" t="s">
        <v>205</v>
      </c>
      <c r="D34" s="17" t="s">
        <v>161</v>
      </c>
      <c r="E34" s="19" t="s">
        <v>162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2814</v>
      </c>
      <c r="L34" s="22">
        <v>2445.92</v>
      </c>
      <c r="M34" s="22"/>
      <c r="N34" s="22"/>
      <c r="O34" s="22"/>
      <c r="P34" s="22">
        <v>200</v>
      </c>
      <c r="Q34" s="22"/>
      <c r="R34" s="22">
        <v>630</v>
      </c>
      <c r="S34" s="35">
        <v>0</v>
      </c>
      <c r="T34" s="22"/>
      <c r="U34" s="35">
        <v>0</v>
      </c>
      <c r="V34" s="35">
        <v>1800</v>
      </c>
      <c r="W34" s="22"/>
      <c r="X34" s="22">
        <v>0</v>
      </c>
      <c r="Y34" s="22">
        <v>0</v>
      </c>
      <c r="Z34" s="23">
        <f t="shared" si="16"/>
        <v>8919.92</v>
      </c>
      <c r="AA34" s="24">
        <v>7384</v>
      </c>
      <c r="AB34" s="24">
        <v>590.72</v>
      </c>
      <c r="AC34" s="24">
        <v>147.68</v>
      </c>
      <c r="AD34" s="24">
        <v>36.92</v>
      </c>
      <c r="AE34" s="24">
        <v>5402</v>
      </c>
      <c r="AF34" s="24">
        <f t="shared" si="13"/>
        <v>378</v>
      </c>
      <c r="AG34" s="23">
        <f t="shared" si="1"/>
        <v>1153.3200000000002</v>
      </c>
      <c r="AH34" s="25"/>
      <c r="AI34" s="25"/>
      <c r="AJ34" s="25"/>
      <c r="AK34" s="23">
        <f t="shared" si="2"/>
        <v>7766.6</v>
      </c>
      <c r="AL34" s="24">
        <v>7384</v>
      </c>
      <c r="AM34" s="24">
        <v>5402</v>
      </c>
      <c r="AN34" s="24">
        <f t="shared" si="14"/>
        <v>1181.44</v>
      </c>
      <c r="AO34" s="24">
        <f t="shared" si="15"/>
        <v>664.56</v>
      </c>
      <c r="AP34" s="24">
        <f t="shared" si="3"/>
        <v>36.92</v>
      </c>
      <c r="AQ34" s="24">
        <f t="shared" si="4"/>
        <v>18.899999999999999</v>
      </c>
      <c r="AR34" s="24"/>
      <c r="AS34" s="24">
        <f t="shared" si="5"/>
        <v>378</v>
      </c>
      <c r="AT34" s="24">
        <f t="shared" si="6"/>
        <v>110.76</v>
      </c>
      <c r="AU34" s="23">
        <f t="shared" si="7"/>
        <v>2390.5800000000004</v>
      </c>
      <c r="AV34" s="23"/>
      <c r="AW34" s="23"/>
      <c r="AX34" s="23">
        <f t="shared" si="8"/>
        <v>11310.5</v>
      </c>
      <c r="AY34" s="26"/>
      <c r="AZ34" s="33"/>
      <c r="BA34" s="23">
        <v>255</v>
      </c>
      <c r="BB34" s="27">
        <f t="shared" si="9"/>
        <v>11565.5</v>
      </c>
      <c r="BC34" s="23">
        <f t="shared" si="10"/>
        <v>693.93</v>
      </c>
      <c r="BD34" s="23">
        <f t="shared" si="11"/>
        <v>12259.43</v>
      </c>
      <c r="BF34" s="29"/>
    </row>
    <row r="35" spans="1:58" s="28" customFormat="1" ht="15" customHeight="1" x14ac:dyDescent="0.25">
      <c r="A35" s="17">
        <f t="shared" si="12"/>
        <v>33</v>
      </c>
      <c r="B35" s="18">
        <v>2411</v>
      </c>
      <c r="C35" s="17" t="s">
        <v>206</v>
      </c>
      <c r="D35" s="17" t="s">
        <v>163</v>
      </c>
      <c r="E35" s="19" t="s">
        <v>164</v>
      </c>
      <c r="F35" s="20">
        <v>45444</v>
      </c>
      <c r="G35" s="20">
        <v>45808</v>
      </c>
      <c r="H35" s="17"/>
      <c r="I35" s="21" t="s">
        <v>0</v>
      </c>
      <c r="J35" s="22">
        <v>1030</v>
      </c>
      <c r="K35" s="22">
        <v>8190</v>
      </c>
      <c r="L35" s="22">
        <v>4411.2</v>
      </c>
      <c r="M35" s="22"/>
      <c r="N35" s="22"/>
      <c r="O35" s="22"/>
      <c r="P35" s="22">
        <v>200</v>
      </c>
      <c r="Q35" s="22"/>
      <c r="R35" s="22">
        <v>630</v>
      </c>
      <c r="S35" s="35">
        <v>0</v>
      </c>
      <c r="T35" s="22"/>
      <c r="U35" s="35">
        <v>0</v>
      </c>
      <c r="V35" s="35">
        <v>2000</v>
      </c>
      <c r="W35" s="22"/>
      <c r="X35" s="22">
        <v>0</v>
      </c>
      <c r="Y35" s="22">
        <v>0</v>
      </c>
      <c r="Z35" s="23">
        <f t="shared" si="16"/>
        <v>16461.2</v>
      </c>
      <c r="AA35" s="24">
        <v>10751</v>
      </c>
      <c r="AB35" s="24">
        <v>860.08</v>
      </c>
      <c r="AC35" s="24">
        <v>215.02</v>
      </c>
      <c r="AD35" s="24">
        <v>53.76</v>
      </c>
      <c r="AE35" s="24">
        <v>10751</v>
      </c>
      <c r="AF35" s="24">
        <f t="shared" si="13"/>
        <v>753</v>
      </c>
      <c r="AG35" s="23">
        <f t="shared" si="1"/>
        <v>1881.8600000000001</v>
      </c>
      <c r="AH35" s="25"/>
      <c r="AI35" s="25"/>
      <c r="AJ35" s="25"/>
      <c r="AK35" s="23">
        <f t="shared" si="2"/>
        <v>14579.34</v>
      </c>
      <c r="AL35" s="24">
        <v>10751</v>
      </c>
      <c r="AM35" s="24">
        <v>10751</v>
      </c>
      <c r="AN35" s="24">
        <f t="shared" si="14"/>
        <v>1720.16</v>
      </c>
      <c r="AO35" s="24">
        <v>967.6</v>
      </c>
      <c r="AP35" s="24">
        <f t="shared" si="3"/>
        <v>53.76</v>
      </c>
      <c r="AQ35" s="24">
        <f t="shared" si="4"/>
        <v>27.52</v>
      </c>
      <c r="AR35" s="24"/>
      <c r="AS35" s="24">
        <f t="shared" si="5"/>
        <v>753</v>
      </c>
      <c r="AT35" s="24">
        <f t="shared" si="6"/>
        <v>161.27000000000001</v>
      </c>
      <c r="AU35" s="23">
        <f t="shared" si="7"/>
        <v>3683.3100000000004</v>
      </c>
      <c r="AV35" s="23"/>
      <c r="AW35" s="23"/>
      <c r="AX35" s="23">
        <f t="shared" si="8"/>
        <v>20144.510000000002</v>
      </c>
      <c r="AY35" s="26"/>
      <c r="AZ35" s="33"/>
      <c r="BA35" s="23">
        <v>255</v>
      </c>
      <c r="BB35" s="27">
        <f t="shared" si="9"/>
        <v>20399.509999999998</v>
      </c>
      <c r="BC35" s="23">
        <f t="shared" si="10"/>
        <v>1223.97</v>
      </c>
      <c r="BD35" s="23">
        <f t="shared" si="11"/>
        <v>21623.48</v>
      </c>
      <c r="BF35" s="29"/>
    </row>
    <row r="36" spans="1:58" s="28" customFormat="1" ht="15" customHeight="1" x14ac:dyDescent="0.25">
      <c r="A36" s="17">
        <f t="shared" si="12"/>
        <v>34</v>
      </c>
      <c r="B36" s="18">
        <v>2411</v>
      </c>
      <c r="C36" s="17" t="s">
        <v>207</v>
      </c>
      <c r="D36" s="17" t="s">
        <v>165</v>
      </c>
      <c r="E36" s="19" t="s">
        <v>166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2418</v>
      </c>
      <c r="L36" s="22">
        <v>2269.08</v>
      </c>
      <c r="M36" s="22"/>
      <c r="N36" s="22"/>
      <c r="O36" s="22"/>
      <c r="P36" s="22">
        <v>200</v>
      </c>
      <c r="Q36" s="22"/>
      <c r="R36" s="22">
        <v>630</v>
      </c>
      <c r="S36" s="35">
        <v>0</v>
      </c>
      <c r="T36" s="22"/>
      <c r="U36" s="35">
        <v>0</v>
      </c>
      <c r="V36" s="35">
        <v>2000</v>
      </c>
      <c r="W36" s="22"/>
      <c r="X36" s="22">
        <v>0</v>
      </c>
      <c r="Y36" s="22">
        <v>0</v>
      </c>
      <c r="Z36" s="23">
        <f t="shared" si="16"/>
        <v>8547.08</v>
      </c>
      <c r="AA36" s="24">
        <v>7384</v>
      </c>
      <c r="AB36" s="24">
        <v>590.72</v>
      </c>
      <c r="AC36" s="24">
        <v>147.68</v>
      </c>
      <c r="AD36" s="24">
        <v>36.92</v>
      </c>
      <c r="AE36" s="24">
        <v>4849</v>
      </c>
      <c r="AF36" s="24">
        <f t="shared" si="13"/>
        <v>339</v>
      </c>
      <c r="AG36" s="23">
        <f t="shared" si="1"/>
        <v>1114.3200000000002</v>
      </c>
      <c r="AH36" s="25"/>
      <c r="AI36" s="25"/>
      <c r="AJ36" s="25"/>
      <c r="AK36" s="23">
        <f t="shared" si="2"/>
        <v>7432.76</v>
      </c>
      <c r="AL36" s="24">
        <v>7384</v>
      </c>
      <c r="AM36" s="24">
        <v>4849</v>
      </c>
      <c r="AN36" s="24">
        <f t="shared" si="14"/>
        <v>1181.44</v>
      </c>
      <c r="AO36" s="24">
        <f t="shared" si="15"/>
        <v>664.56</v>
      </c>
      <c r="AP36" s="24">
        <f t="shared" si="3"/>
        <v>36.92</v>
      </c>
      <c r="AQ36" s="24">
        <f t="shared" si="4"/>
        <v>18.899999999999999</v>
      </c>
      <c r="AR36" s="24"/>
      <c r="AS36" s="24">
        <f t="shared" si="5"/>
        <v>339</v>
      </c>
      <c r="AT36" s="24">
        <f t="shared" si="6"/>
        <v>110.76</v>
      </c>
      <c r="AU36" s="23">
        <f t="shared" si="7"/>
        <v>2351.5800000000004</v>
      </c>
      <c r="AV36" s="23"/>
      <c r="AW36" s="23"/>
      <c r="AX36" s="23">
        <f t="shared" si="8"/>
        <v>10898.66</v>
      </c>
      <c r="AY36" s="26"/>
      <c r="AZ36" s="33"/>
      <c r="BA36" s="23">
        <v>255</v>
      </c>
      <c r="BB36" s="27">
        <f t="shared" si="9"/>
        <v>11153.66</v>
      </c>
      <c r="BC36" s="23">
        <f t="shared" si="10"/>
        <v>669.22</v>
      </c>
      <c r="BD36" s="23">
        <f t="shared" si="11"/>
        <v>11822.88</v>
      </c>
      <c r="BF36" s="29"/>
    </row>
    <row r="37" spans="1:58" s="28" customFormat="1" ht="15" customHeight="1" x14ac:dyDescent="0.25">
      <c r="A37" s="17">
        <f t="shared" si="12"/>
        <v>35</v>
      </c>
      <c r="B37" s="18">
        <v>2411</v>
      </c>
      <c r="C37" s="17" t="s">
        <v>209</v>
      </c>
      <c r="D37" s="17" t="s">
        <v>168</v>
      </c>
      <c r="E37" s="19" t="s">
        <v>169</v>
      </c>
      <c r="F37" s="20">
        <v>45444</v>
      </c>
      <c r="G37" s="20">
        <v>45808</v>
      </c>
      <c r="H37" s="17"/>
      <c r="I37" s="21" t="s">
        <v>0</v>
      </c>
      <c r="J37" s="22">
        <v>1510</v>
      </c>
      <c r="K37" s="22">
        <v>3297.2</v>
      </c>
      <c r="L37" s="22">
        <v>3068.12</v>
      </c>
      <c r="M37" s="22"/>
      <c r="N37" s="22"/>
      <c r="O37" s="22"/>
      <c r="P37" s="22">
        <v>200</v>
      </c>
      <c r="Q37" s="22"/>
      <c r="R37" s="22">
        <v>630</v>
      </c>
      <c r="S37" s="35">
        <v>0</v>
      </c>
      <c r="T37" s="22"/>
      <c r="U37" s="35">
        <v>1113</v>
      </c>
      <c r="V37" s="35">
        <v>0</v>
      </c>
      <c r="W37" s="22"/>
      <c r="X37" s="22">
        <v>0</v>
      </c>
      <c r="Y37" s="22">
        <v>0</v>
      </c>
      <c r="Z37" s="23">
        <f t="shared" si="16"/>
        <v>9818.32</v>
      </c>
      <c r="AA37" s="24">
        <v>12662</v>
      </c>
      <c r="AB37" s="24">
        <v>1012.96</v>
      </c>
      <c r="AC37" s="24">
        <v>253.24</v>
      </c>
      <c r="AD37" s="24">
        <v>63.31</v>
      </c>
      <c r="AE37" s="24">
        <v>12662</v>
      </c>
      <c r="AF37" s="24">
        <f t="shared" si="13"/>
        <v>886</v>
      </c>
      <c r="AG37" s="23">
        <f t="shared" si="1"/>
        <v>2215.5100000000002</v>
      </c>
      <c r="AH37" s="25"/>
      <c r="AI37" s="25"/>
      <c r="AJ37" s="25"/>
      <c r="AK37" s="23">
        <f t="shared" si="2"/>
        <v>7602.8099999999995</v>
      </c>
      <c r="AL37" s="24">
        <v>12662</v>
      </c>
      <c r="AM37" s="24">
        <v>12662</v>
      </c>
      <c r="AN37" s="24">
        <f t="shared" si="14"/>
        <v>2025.92</v>
      </c>
      <c r="AO37" s="24">
        <f t="shared" si="15"/>
        <v>1139.58</v>
      </c>
      <c r="AP37" s="24">
        <f t="shared" si="3"/>
        <v>63.31</v>
      </c>
      <c r="AQ37" s="24">
        <f t="shared" si="4"/>
        <v>32.409999999999997</v>
      </c>
      <c r="AR37" s="24"/>
      <c r="AS37" s="24">
        <f t="shared" si="5"/>
        <v>886</v>
      </c>
      <c r="AT37" s="24">
        <f t="shared" si="6"/>
        <v>189.93</v>
      </c>
      <c r="AU37" s="23">
        <f t="shared" si="7"/>
        <v>4337.1499999999996</v>
      </c>
      <c r="AV37" s="23"/>
      <c r="AW37" s="23"/>
      <c r="AX37" s="23">
        <f t="shared" si="8"/>
        <v>14155.47</v>
      </c>
      <c r="AY37" s="26"/>
      <c r="AZ37" s="33"/>
      <c r="BA37" s="23">
        <v>255</v>
      </c>
      <c r="BB37" s="27">
        <f t="shared" si="9"/>
        <v>14410.47</v>
      </c>
      <c r="BC37" s="23">
        <f t="shared" si="10"/>
        <v>864.63</v>
      </c>
      <c r="BD37" s="23">
        <f t="shared" si="11"/>
        <v>15275.1</v>
      </c>
      <c r="BF37" s="29"/>
    </row>
    <row r="38" spans="1:58" s="28" customFormat="1" ht="15" customHeight="1" x14ac:dyDescent="0.25">
      <c r="A38" s="17">
        <f t="shared" si="12"/>
        <v>36</v>
      </c>
      <c r="B38" s="18">
        <v>2411</v>
      </c>
      <c r="C38" s="17" t="s">
        <v>210</v>
      </c>
      <c r="D38" s="17" t="s">
        <v>170</v>
      </c>
      <c r="E38" s="19" t="s">
        <v>171</v>
      </c>
      <c r="F38" s="20">
        <v>45444</v>
      </c>
      <c r="G38" s="20">
        <v>45808</v>
      </c>
      <c r="H38" s="17"/>
      <c r="I38" s="21" t="s">
        <v>0</v>
      </c>
      <c r="J38" s="22">
        <v>1200</v>
      </c>
      <c r="K38" s="22">
        <v>2991.6</v>
      </c>
      <c r="L38" s="22">
        <v>2090.84</v>
      </c>
      <c r="M38" s="22"/>
      <c r="N38" s="22"/>
      <c r="O38" s="22"/>
      <c r="P38" s="22">
        <v>200</v>
      </c>
      <c r="Q38" s="22"/>
      <c r="R38" s="22">
        <v>630</v>
      </c>
      <c r="S38" s="35">
        <v>0</v>
      </c>
      <c r="T38" s="22"/>
      <c r="U38" s="35">
        <v>0</v>
      </c>
      <c r="V38" s="35">
        <v>0</v>
      </c>
      <c r="W38" s="22"/>
      <c r="X38" s="22">
        <v>0</v>
      </c>
      <c r="Y38" s="22">
        <v>0</v>
      </c>
      <c r="Z38" s="23">
        <f t="shared" si="16"/>
        <v>7112.4400000000005</v>
      </c>
      <c r="AA38" s="24">
        <v>7384</v>
      </c>
      <c r="AB38" s="24">
        <v>590.72</v>
      </c>
      <c r="AC38" s="24">
        <v>147.68</v>
      </c>
      <c r="AD38" s="24">
        <v>36.92</v>
      </c>
      <c r="AE38" s="24">
        <v>2690</v>
      </c>
      <c r="AF38" s="24">
        <f t="shared" si="13"/>
        <v>188</v>
      </c>
      <c r="AG38" s="23">
        <f t="shared" si="1"/>
        <v>963.32</v>
      </c>
      <c r="AH38" s="25"/>
      <c r="AI38" s="25"/>
      <c r="AJ38" s="25"/>
      <c r="AK38" s="23">
        <f t="shared" si="2"/>
        <v>6149.1200000000008</v>
      </c>
      <c r="AL38" s="24">
        <v>7384</v>
      </c>
      <c r="AM38" s="24">
        <v>2690</v>
      </c>
      <c r="AN38" s="24">
        <f t="shared" si="14"/>
        <v>1181.44</v>
      </c>
      <c r="AO38" s="24">
        <f t="shared" si="15"/>
        <v>664.56</v>
      </c>
      <c r="AP38" s="24">
        <f t="shared" si="3"/>
        <v>36.92</v>
      </c>
      <c r="AQ38" s="24">
        <f t="shared" si="4"/>
        <v>18.899999999999999</v>
      </c>
      <c r="AR38" s="24"/>
      <c r="AS38" s="24">
        <f t="shared" si="5"/>
        <v>188</v>
      </c>
      <c r="AT38" s="24">
        <f t="shared" si="6"/>
        <v>110.76</v>
      </c>
      <c r="AU38" s="23">
        <f t="shared" si="7"/>
        <v>2200.5800000000004</v>
      </c>
      <c r="AV38" s="23"/>
      <c r="AW38" s="23"/>
      <c r="AX38" s="23">
        <f t="shared" si="8"/>
        <v>9313.02</v>
      </c>
      <c r="AY38" s="26"/>
      <c r="AZ38" s="33"/>
      <c r="BA38" s="23">
        <v>255</v>
      </c>
      <c r="BB38" s="27">
        <f t="shared" si="9"/>
        <v>9568.02</v>
      </c>
      <c r="BC38" s="23">
        <f t="shared" si="10"/>
        <v>574.08000000000004</v>
      </c>
      <c r="BD38" s="23">
        <f t="shared" si="11"/>
        <v>10142.1</v>
      </c>
      <c r="BF38" s="29"/>
    </row>
    <row r="39" spans="1:58" s="28" customFormat="1" ht="15" customHeight="1" x14ac:dyDescent="0.25">
      <c r="A39" s="17">
        <f t="shared" si="12"/>
        <v>37</v>
      </c>
      <c r="B39" s="18">
        <v>2411</v>
      </c>
      <c r="C39" s="17" t="s">
        <v>212</v>
      </c>
      <c r="D39" s="17" t="s">
        <v>172</v>
      </c>
      <c r="E39" s="19" t="s">
        <v>173</v>
      </c>
      <c r="F39" s="20">
        <v>45444</v>
      </c>
      <c r="G39" s="20">
        <v>45808</v>
      </c>
      <c r="H39" s="17"/>
      <c r="I39" s="21" t="s">
        <v>0</v>
      </c>
      <c r="J39" s="22">
        <v>800</v>
      </c>
      <c r="K39" s="22">
        <v>245.7</v>
      </c>
      <c r="L39" s="22">
        <v>199.68</v>
      </c>
      <c r="M39" s="22"/>
      <c r="N39" s="22"/>
      <c r="O39" s="22"/>
      <c r="P39" s="22">
        <v>50</v>
      </c>
      <c r="Q39" s="22"/>
      <c r="R39" s="22">
        <v>630</v>
      </c>
      <c r="S39" s="35">
        <v>0</v>
      </c>
      <c r="T39" s="22"/>
      <c r="U39" s="35">
        <v>0</v>
      </c>
      <c r="V39" s="35">
        <v>0</v>
      </c>
      <c r="W39" s="22"/>
      <c r="X39" s="22">
        <v>2407.94</v>
      </c>
      <c r="Y39" s="22">
        <v>0</v>
      </c>
      <c r="Z39" s="23">
        <f t="shared" si="16"/>
        <v>4333.32</v>
      </c>
      <c r="AA39" s="24">
        <v>7384</v>
      </c>
      <c r="AB39" s="24">
        <v>590.72</v>
      </c>
      <c r="AC39" s="24">
        <v>147.68</v>
      </c>
      <c r="AD39" s="24">
        <v>36.92</v>
      </c>
      <c r="AE39" s="24">
        <v>2690</v>
      </c>
      <c r="AF39" s="24">
        <f t="shared" si="13"/>
        <v>188</v>
      </c>
      <c r="AG39" s="23">
        <f t="shared" si="1"/>
        <v>963.32</v>
      </c>
      <c r="AH39" s="25"/>
      <c r="AI39" s="25"/>
      <c r="AJ39" s="25"/>
      <c r="AK39" s="23">
        <f t="shared" si="2"/>
        <v>3369.9999999999995</v>
      </c>
      <c r="AL39" s="24">
        <v>7384</v>
      </c>
      <c r="AM39" s="24">
        <v>2690</v>
      </c>
      <c r="AN39" s="24">
        <f t="shared" si="14"/>
        <v>1181.44</v>
      </c>
      <c r="AO39" s="24">
        <f t="shared" si="15"/>
        <v>664.56</v>
      </c>
      <c r="AP39" s="24">
        <f t="shared" si="3"/>
        <v>36.92</v>
      </c>
      <c r="AQ39" s="24">
        <f t="shared" si="4"/>
        <v>18.899999999999999</v>
      </c>
      <c r="AR39" s="24"/>
      <c r="AS39" s="24">
        <f t="shared" si="5"/>
        <v>188</v>
      </c>
      <c r="AT39" s="24">
        <f t="shared" si="6"/>
        <v>110.76</v>
      </c>
      <c r="AU39" s="23">
        <f t="shared" si="7"/>
        <v>2200.5800000000004</v>
      </c>
      <c r="AV39" s="23"/>
      <c r="AW39" s="23"/>
      <c r="AX39" s="23">
        <f t="shared" si="8"/>
        <v>6533.9</v>
      </c>
      <c r="AY39" s="26"/>
      <c r="AZ39" s="33"/>
      <c r="BA39" s="23">
        <v>255</v>
      </c>
      <c r="BB39" s="27">
        <f t="shared" si="9"/>
        <v>6788.9</v>
      </c>
      <c r="BC39" s="23">
        <f t="shared" si="10"/>
        <v>407.33</v>
      </c>
      <c r="BD39" s="23">
        <f t="shared" si="11"/>
        <v>7196.23</v>
      </c>
      <c r="BF39" s="29"/>
    </row>
    <row r="40" spans="1:58" s="28" customFormat="1" ht="15" customHeight="1" x14ac:dyDescent="0.25">
      <c r="A40" s="17">
        <f t="shared" si="12"/>
        <v>38</v>
      </c>
      <c r="B40" s="18">
        <v>2411</v>
      </c>
      <c r="C40" s="17" t="s">
        <v>214</v>
      </c>
      <c r="D40" s="17" t="s">
        <v>175</v>
      </c>
      <c r="E40" s="19" t="s">
        <v>176</v>
      </c>
      <c r="F40" s="20">
        <v>45444</v>
      </c>
      <c r="G40" s="20">
        <v>45808</v>
      </c>
      <c r="H40" s="17"/>
      <c r="I40" s="21" t="s">
        <v>0</v>
      </c>
      <c r="J40" s="22">
        <v>950</v>
      </c>
      <c r="K40" s="22">
        <v>1895.8</v>
      </c>
      <c r="L40" s="22">
        <v>863.6</v>
      </c>
      <c r="M40" s="22"/>
      <c r="N40" s="22"/>
      <c r="O40" s="22"/>
      <c r="P40" s="22">
        <v>200</v>
      </c>
      <c r="Q40" s="22"/>
      <c r="R40" s="22">
        <v>630</v>
      </c>
      <c r="S40" s="35">
        <v>0</v>
      </c>
      <c r="T40" s="22"/>
      <c r="U40" s="35">
        <v>0</v>
      </c>
      <c r="V40" s="35">
        <v>0</v>
      </c>
      <c r="W40" s="22"/>
      <c r="X40" s="22">
        <v>113.92</v>
      </c>
      <c r="Y40" s="22">
        <v>0</v>
      </c>
      <c r="Z40" s="23">
        <f t="shared" ref="Z40:Z44" si="17">SUM(J40:Y40)</f>
        <v>4653.32</v>
      </c>
      <c r="AA40" s="24">
        <v>7384</v>
      </c>
      <c r="AB40" s="24">
        <v>590.72</v>
      </c>
      <c r="AC40" s="24">
        <v>147.68</v>
      </c>
      <c r="AD40" s="24">
        <v>36.92</v>
      </c>
      <c r="AE40" s="24">
        <v>5121</v>
      </c>
      <c r="AF40" s="24">
        <f t="shared" si="13"/>
        <v>358</v>
      </c>
      <c r="AG40" s="23">
        <f t="shared" si="1"/>
        <v>1133.3200000000002</v>
      </c>
      <c r="AH40" s="25"/>
      <c r="AI40" s="25"/>
      <c r="AJ40" s="25"/>
      <c r="AK40" s="23">
        <f t="shared" si="2"/>
        <v>3519.9999999999995</v>
      </c>
      <c r="AL40" s="24">
        <v>7384</v>
      </c>
      <c r="AM40" s="24">
        <v>5121</v>
      </c>
      <c r="AN40" s="24">
        <f t="shared" si="14"/>
        <v>1181.44</v>
      </c>
      <c r="AO40" s="24">
        <f t="shared" si="15"/>
        <v>664.56</v>
      </c>
      <c r="AP40" s="24">
        <f t="shared" si="3"/>
        <v>36.92</v>
      </c>
      <c r="AQ40" s="24">
        <f t="shared" si="4"/>
        <v>18.899999999999999</v>
      </c>
      <c r="AR40" s="24"/>
      <c r="AS40" s="24">
        <f t="shared" si="5"/>
        <v>358</v>
      </c>
      <c r="AT40" s="24">
        <f t="shared" si="6"/>
        <v>110.76</v>
      </c>
      <c r="AU40" s="23">
        <f t="shared" si="7"/>
        <v>2370.5800000000004</v>
      </c>
      <c r="AV40" s="23"/>
      <c r="AW40" s="23"/>
      <c r="AX40" s="23">
        <f t="shared" si="8"/>
        <v>7023.9</v>
      </c>
      <c r="AY40" s="26"/>
      <c r="AZ40" s="33"/>
      <c r="BA40" s="23">
        <v>255</v>
      </c>
      <c r="BB40" s="27">
        <f t="shared" si="9"/>
        <v>7278.9</v>
      </c>
      <c r="BC40" s="23">
        <f t="shared" si="10"/>
        <v>436.73</v>
      </c>
      <c r="BD40" s="23">
        <f t="shared" si="11"/>
        <v>7715.63</v>
      </c>
      <c r="BF40" s="29"/>
    </row>
    <row r="41" spans="1:58" s="28" customFormat="1" ht="15" customHeight="1" x14ac:dyDescent="0.25">
      <c r="A41" s="17">
        <f t="shared" si="12"/>
        <v>39</v>
      </c>
      <c r="B41" s="18">
        <v>2411</v>
      </c>
      <c r="C41" s="17" t="s">
        <v>221</v>
      </c>
      <c r="D41" s="17" t="s">
        <v>215</v>
      </c>
      <c r="E41" s="19" t="s">
        <v>216</v>
      </c>
      <c r="F41" s="20">
        <v>45474</v>
      </c>
      <c r="G41" s="20">
        <v>45838</v>
      </c>
      <c r="H41" s="17"/>
      <c r="I41" s="21" t="s">
        <v>0</v>
      </c>
      <c r="J41" s="22">
        <v>950</v>
      </c>
      <c r="K41" s="22">
        <v>3146</v>
      </c>
      <c r="L41" s="22">
        <v>3064.92</v>
      </c>
      <c r="M41" s="22"/>
      <c r="N41" s="22"/>
      <c r="O41" s="22"/>
      <c r="P41" s="22">
        <v>200</v>
      </c>
      <c r="Q41" s="22"/>
      <c r="R41" s="22">
        <v>630</v>
      </c>
      <c r="S41" s="35">
        <v>0</v>
      </c>
      <c r="T41" s="22"/>
      <c r="U41" s="35">
        <v>1113</v>
      </c>
      <c r="V41" s="35">
        <v>0</v>
      </c>
      <c r="W41" s="22"/>
      <c r="X41" s="22">
        <v>0</v>
      </c>
      <c r="Y41" s="22">
        <v>0</v>
      </c>
      <c r="Z41" s="23">
        <f t="shared" si="17"/>
        <v>9103.92</v>
      </c>
      <c r="AA41" s="24">
        <v>7384</v>
      </c>
      <c r="AB41" s="24">
        <v>590.72</v>
      </c>
      <c r="AC41" s="24">
        <v>147.68</v>
      </c>
      <c r="AD41" s="24">
        <v>36.92</v>
      </c>
      <c r="AE41" s="24">
        <v>2690</v>
      </c>
      <c r="AF41" s="24">
        <f t="shared" si="13"/>
        <v>188</v>
      </c>
      <c r="AG41" s="23">
        <f t="shared" si="1"/>
        <v>963.32</v>
      </c>
      <c r="AH41" s="25"/>
      <c r="AI41" s="25"/>
      <c r="AJ41" s="25"/>
      <c r="AK41" s="23">
        <f t="shared" si="2"/>
        <v>8140.6</v>
      </c>
      <c r="AL41" s="24">
        <v>7384</v>
      </c>
      <c r="AM41" s="24">
        <v>2690</v>
      </c>
      <c r="AN41" s="24">
        <f t="shared" si="14"/>
        <v>1181.44</v>
      </c>
      <c r="AO41" s="24">
        <f t="shared" si="15"/>
        <v>664.56</v>
      </c>
      <c r="AP41" s="24">
        <f t="shared" si="3"/>
        <v>36.92</v>
      </c>
      <c r="AQ41" s="24">
        <f t="shared" si="4"/>
        <v>18.899999999999999</v>
      </c>
      <c r="AR41" s="24"/>
      <c r="AS41" s="24">
        <f t="shared" si="5"/>
        <v>188</v>
      </c>
      <c r="AT41" s="24">
        <f t="shared" si="6"/>
        <v>110.76</v>
      </c>
      <c r="AU41" s="23">
        <f t="shared" si="7"/>
        <v>2200.5800000000004</v>
      </c>
      <c r="AV41" s="23"/>
      <c r="AW41" s="23"/>
      <c r="AX41" s="23">
        <f t="shared" si="8"/>
        <v>11304.5</v>
      </c>
      <c r="AY41" s="26"/>
      <c r="AZ41" s="33"/>
      <c r="BA41" s="23">
        <v>255</v>
      </c>
      <c r="BB41" s="27">
        <f t="shared" si="9"/>
        <v>11559.5</v>
      </c>
      <c r="BC41" s="23">
        <f t="shared" si="10"/>
        <v>693.57</v>
      </c>
      <c r="BD41" s="23">
        <f t="shared" si="11"/>
        <v>12253.07</v>
      </c>
      <c r="BF41" s="29"/>
    </row>
    <row r="42" spans="1:58" s="28" customFormat="1" ht="15" customHeight="1" x14ac:dyDescent="0.25">
      <c r="A42" s="17">
        <f t="shared" si="12"/>
        <v>40</v>
      </c>
      <c r="B42" s="18">
        <v>2411</v>
      </c>
      <c r="C42" s="17" t="s">
        <v>222</v>
      </c>
      <c r="D42" s="17" t="s">
        <v>217</v>
      </c>
      <c r="E42" s="19" t="s">
        <v>218</v>
      </c>
      <c r="F42" s="20">
        <v>45474</v>
      </c>
      <c r="G42" s="20">
        <v>45838</v>
      </c>
      <c r="H42" s="17"/>
      <c r="I42" s="21" t="s">
        <v>0</v>
      </c>
      <c r="J42" s="22">
        <v>950</v>
      </c>
      <c r="K42" s="22">
        <v>3516</v>
      </c>
      <c r="L42" s="22">
        <v>4480.8</v>
      </c>
      <c r="M42" s="22"/>
      <c r="N42" s="22"/>
      <c r="O42" s="22"/>
      <c r="P42" s="22">
        <v>200</v>
      </c>
      <c r="Q42" s="22"/>
      <c r="R42" s="22">
        <v>630</v>
      </c>
      <c r="S42" s="35">
        <v>0</v>
      </c>
      <c r="T42" s="22"/>
      <c r="U42" s="35">
        <v>742</v>
      </c>
      <c r="V42" s="35">
        <v>0</v>
      </c>
      <c r="W42" s="22"/>
      <c r="X42" s="22">
        <v>0</v>
      </c>
      <c r="Y42" s="22">
        <v>-200</v>
      </c>
      <c r="Z42" s="23">
        <f t="shared" si="17"/>
        <v>10318.799999999999</v>
      </c>
      <c r="AA42" s="24">
        <v>7384</v>
      </c>
      <c r="AB42" s="24">
        <v>590.72</v>
      </c>
      <c r="AC42" s="24">
        <v>147.68</v>
      </c>
      <c r="AD42" s="24">
        <v>36.92</v>
      </c>
      <c r="AE42" s="24">
        <v>2690</v>
      </c>
      <c r="AF42" s="24">
        <f t="shared" si="13"/>
        <v>188</v>
      </c>
      <c r="AG42" s="23">
        <f t="shared" si="1"/>
        <v>963.32</v>
      </c>
      <c r="AH42" s="25"/>
      <c r="AI42" s="25"/>
      <c r="AJ42" s="25"/>
      <c r="AK42" s="23">
        <f t="shared" si="2"/>
        <v>9355.48</v>
      </c>
      <c r="AL42" s="24">
        <v>7384</v>
      </c>
      <c r="AM42" s="24">
        <v>2690</v>
      </c>
      <c r="AN42" s="24">
        <f t="shared" si="14"/>
        <v>1181.44</v>
      </c>
      <c r="AO42" s="24">
        <f t="shared" si="15"/>
        <v>664.56</v>
      </c>
      <c r="AP42" s="24">
        <f t="shared" si="3"/>
        <v>36.92</v>
      </c>
      <c r="AQ42" s="24">
        <f t="shared" si="4"/>
        <v>18.899999999999999</v>
      </c>
      <c r="AR42" s="24"/>
      <c r="AS42" s="24">
        <f t="shared" si="5"/>
        <v>188</v>
      </c>
      <c r="AT42" s="24">
        <f t="shared" si="6"/>
        <v>110.76</v>
      </c>
      <c r="AU42" s="23">
        <f t="shared" si="7"/>
        <v>2200.5800000000004</v>
      </c>
      <c r="AV42" s="23"/>
      <c r="AW42" s="23"/>
      <c r="AX42" s="23">
        <f t="shared" si="8"/>
        <v>12519.38</v>
      </c>
      <c r="AY42" s="26"/>
      <c r="AZ42" s="33"/>
      <c r="BA42" s="23">
        <v>255</v>
      </c>
      <c r="BB42" s="27">
        <f t="shared" si="9"/>
        <v>12774.38</v>
      </c>
      <c r="BC42" s="23">
        <f t="shared" si="10"/>
        <v>766.46</v>
      </c>
      <c r="BD42" s="23">
        <f t="shared" si="11"/>
        <v>13540.84</v>
      </c>
      <c r="BF42" s="29"/>
    </row>
    <row r="43" spans="1:58" s="28" customFormat="1" ht="15" customHeight="1" x14ac:dyDescent="0.25">
      <c r="A43" s="17">
        <f t="shared" si="12"/>
        <v>41</v>
      </c>
      <c r="B43" s="18">
        <v>2411</v>
      </c>
      <c r="C43" s="17" t="s">
        <v>202</v>
      </c>
      <c r="D43" s="50" t="s">
        <v>155</v>
      </c>
      <c r="E43" s="19" t="s">
        <v>156</v>
      </c>
      <c r="F43" s="20">
        <v>45444</v>
      </c>
      <c r="G43" s="20">
        <v>45808</v>
      </c>
      <c r="H43" s="17"/>
      <c r="I43" s="21" t="s">
        <v>0</v>
      </c>
      <c r="J43" s="22">
        <v>0</v>
      </c>
      <c r="K43" s="22">
        <v>0</v>
      </c>
      <c r="L43" s="22">
        <v>0</v>
      </c>
      <c r="M43" s="22"/>
      <c r="N43" s="22"/>
      <c r="O43" s="22"/>
      <c r="P43" s="22">
        <v>0</v>
      </c>
      <c r="Q43" s="22"/>
      <c r="R43" s="22">
        <v>0</v>
      </c>
      <c r="S43" s="35">
        <v>0</v>
      </c>
      <c r="T43" s="22"/>
      <c r="U43" s="35">
        <v>0</v>
      </c>
      <c r="V43" s="35">
        <v>0</v>
      </c>
      <c r="W43" s="22"/>
      <c r="X43" s="22">
        <v>0</v>
      </c>
      <c r="Y43" s="22">
        <v>0</v>
      </c>
      <c r="Z43" s="23">
        <f>SUM(J43:Y43)</f>
        <v>0</v>
      </c>
      <c r="AA43" s="24"/>
      <c r="AB43" s="24"/>
      <c r="AC43" s="24"/>
      <c r="AD43" s="24"/>
      <c r="AE43" s="24"/>
      <c r="AF43" s="24"/>
      <c r="AG43" s="23">
        <f>AB43+AC43+AD43+AF43</f>
        <v>0</v>
      </c>
      <c r="AH43" s="25"/>
      <c r="AI43" s="25"/>
      <c r="AJ43" s="25"/>
      <c r="AK43" s="23">
        <f t="shared" si="2"/>
        <v>0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3">
        <f>SUM(AN43:AT43)</f>
        <v>0</v>
      </c>
      <c r="AV43" s="23"/>
      <c r="AW43" s="23"/>
      <c r="AX43" s="23">
        <f t="shared" si="8"/>
        <v>0</v>
      </c>
      <c r="AY43" s="26"/>
      <c r="AZ43" s="33"/>
      <c r="BA43" s="23">
        <v>255</v>
      </c>
      <c r="BB43" s="27">
        <f>ROUND(AX43+BA43+AY43,2)</f>
        <v>255</v>
      </c>
      <c r="BC43" s="23">
        <f>ROUND(BB43*6%,2)</f>
        <v>15.3</v>
      </c>
      <c r="BD43" s="23">
        <f>ROUND(SUM(BB43:BC43),2)</f>
        <v>270.3</v>
      </c>
      <c r="BF43" s="29"/>
    </row>
    <row r="44" spans="1:58" s="28" customFormat="1" ht="15" customHeight="1" x14ac:dyDescent="0.25">
      <c r="A44" s="17">
        <f t="shared" si="12"/>
        <v>42</v>
      </c>
      <c r="B44" s="18">
        <v>2411</v>
      </c>
      <c r="C44" s="17" t="s">
        <v>223</v>
      </c>
      <c r="D44" s="17" t="s">
        <v>219</v>
      </c>
      <c r="E44" s="19" t="s">
        <v>220</v>
      </c>
      <c r="F44" s="20">
        <v>45474</v>
      </c>
      <c r="G44" s="20">
        <v>45838</v>
      </c>
      <c r="H44" s="17"/>
      <c r="I44" s="21" t="s">
        <v>0</v>
      </c>
      <c r="J44" s="22">
        <v>1030</v>
      </c>
      <c r="K44" s="22">
        <v>9190</v>
      </c>
      <c r="L44" s="22">
        <v>6998.36</v>
      </c>
      <c r="M44" s="22"/>
      <c r="N44" s="22"/>
      <c r="O44" s="22"/>
      <c r="P44" s="22">
        <v>200</v>
      </c>
      <c r="Q44" s="22"/>
      <c r="R44" s="22">
        <v>630</v>
      </c>
      <c r="S44" s="35">
        <v>0</v>
      </c>
      <c r="T44" s="22"/>
      <c r="U44" s="35">
        <v>0</v>
      </c>
      <c r="V44" s="35">
        <v>2000</v>
      </c>
      <c r="W44" s="22"/>
      <c r="X44" s="22">
        <v>0</v>
      </c>
      <c r="Y44" s="22">
        <v>0</v>
      </c>
      <c r="Z44" s="23">
        <f t="shared" si="17"/>
        <v>20048.36</v>
      </c>
      <c r="AA44" s="24">
        <v>8196</v>
      </c>
      <c r="AB44" s="24">
        <v>655.68</v>
      </c>
      <c r="AC44" s="24">
        <v>163.92</v>
      </c>
      <c r="AD44" s="24">
        <v>40.98</v>
      </c>
      <c r="AE44" s="24">
        <v>8196</v>
      </c>
      <c r="AF44" s="24">
        <f t="shared" si="13"/>
        <v>574</v>
      </c>
      <c r="AG44" s="23">
        <f t="shared" si="1"/>
        <v>1434.58</v>
      </c>
      <c r="AH44" s="25"/>
      <c r="AI44" s="25"/>
      <c r="AJ44" s="25"/>
      <c r="AK44" s="23">
        <f t="shared" si="2"/>
        <v>18613.78</v>
      </c>
      <c r="AL44" s="24">
        <v>8196</v>
      </c>
      <c r="AM44" s="24">
        <v>8196</v>
      </c>
      <c r="AN44" s="24">
        <f t="shared" si="14"/>
        <v>1311.36</v>
      </c>
      <c r="AO44" s="24">
        <f t="shared" si="15"/>
        <v>737.64</v>
      </c>
      <c r="AP44" s="24">
        <f t="shared" si="3"/>
        <v>40.98</v>
      </c>
      <c r="AQ44" s="24">
        <f t="shared" si="4"/>
        <v>20.98</v>
      </c>
      <c r="AR44" s="24"/>
      <c r="AS44" s="24">
        <f t="shared" si="5"/>
        <v>574</v>
      </c>
      <c r="AT44" s="24">
        <f t="shared" si="6"/>
        <v>122.94</v>
      </c>
      <c r="AU44" s="23">
        <f t="shared" si="7"/>
        <v>2807.9</v>
      </c>
      <c r="AV44" s="23"/>
      <c r="AW44" s="23"/>
      <c r="AX44" s="23">
        <f t="shared" si="8"/>
        <v>22856.260000000002</v>
      </c>
      <c r="AY44" s="26"/>
      <c r="AZ44" s="33"/>
      <c r="BA44" s="23">
        <v>255</v>
      </c>
      <c r="BB44" s="27">
        <f t="shared" si="9"/>
        <v>23111.26</v>
      </c>
      <c r="BC44" s="23">
        <f t="shared" si="10"/>
        <v>1386.68</v>
      </c>
      <c r="BD44" s="23">
        <f t="shared" si="11"/>
        <v>24497.94</v>
      </c>
      <c r="BF44" s="29"/>
    </row>
    <row r="45" spans="1:58" s="28" customFormat="1" ht="15" customHeight="1" x14ac:dyDescent="0.25">
      <c r="A45" s="17">
        <f t="shared" si="12"/>
        <v>43</v>
      </c>
      <c r="B45" s="18">
        <v>2411</v>
      </c>
      <c r="C45" s="17" t="s">
        <v>196</v>
      </c>
      <c r="D45" s="17" t="s">
        <v>144</v>
      </c>
      <c r="E45" s="19" t="s">
        <v>229</v>
      </c>
      <c r="F45" s="20">
        <v>45444</v>
      </c>
      <c r="G45" s="20">
        <v>45808</v>
      </c>
      <c r="H45" s="37">
        <v>45596</v>
      </c>
      <c r="I45" s="21" t="s">
        <v>0</v>
      </c>
      <c r="J45" s="22">
        <v>0</v>
      </c>
      <c r="K45" s="22">
        <v>0</v>
      </c>
      <c r="L45" s="22">
        <v>0</v>
      </c>
      <c r="M45" s="22"/>
      <c r="N45" s="22"/>
      <c r="O45" s="22"/>
      <c r="P45" s="22">
        <v>0</v>
      </c>
      <c r="Q45" s="22"/>
      <c r="R45" s="22">
        <v>0</v>
      </c>
      <c r="S45" s="35">
        <v>0</v>
      </c>
      <c r="T45" s="22"/>
      <c r="U45" s="35">
        <v>0</v>
      </c>
      <c r="V45" s="35">
        <v>0</v>
      </c>
      <c r="W45" s="22"/>
      <c r="X45" s="22">
        <v>0</v>
      </c>
      <c r="Y45" s="22">
        <v>0</v>
      </c>
      <c r="Z45" s="23">
        <f>SUM(J45:Y45)</f>
        <v>0</v>
      </c>
      <c r="AA45" s="24"/>
      <c r="AB45" s="24"/>
      <c r="AC45" s="24"/>
      <c r="AD45" s="24"/>
      <c r="AE45" s="24"/>
      <c r="AF45" s="24"/>
      <c r="AG45" s="23">
        <f>AB45+AC45+AD45+AF45</f>
        <v>0</v>
      </c>
      <c r="AH45" s="25"/>
      <c r="AI45" s="25"/>
      <c r="AJ45" s="25"/>
      <c r="AK45" s="23">
        <f t="shared" si="2"/>
        <v>0</v>
      </c>
      <c r="AL45" s="24"/>
      <c r="AM45" s="24"/>
      <c r="AN45" s="24"/>
      <c r="AO45" s="24"/>
      <c r="AP45" s="24"/>
      <c r="AQ45" s="24"/>
      <c r="AR45" s="24"/>
      <c r="AS45" s="24"/>
      <c r="AT45" s="24"/>
      <c r="AU45" s="23">
        <f>SUM(AN45:AT45)</f>
        <v>0</v>
      </c>
      <c r="AV45" s="23"/>
      <c r="AW45" s="23"/>
      <c r="AX45" s="23">
        <f t="shared" si="8"/>
        <v>0</v>
      </c>
      <c r="AY45" s="26"/>
      <c r="AZ45" s="33"/>
      <c r="BA45" s="23">
        <v>0</v>
      </c>
      <c r="BB45" s="27">
        <f>ROUND(AX45+BA45+AY45,2)</f>
        <v>0</v>
      </c>
      <c r="BC45" s="23">
        <f>ROUND(BB45*6%,2)</f>
        <v>0</v>
      </c>
      <c r="BD45" s="23">
        <f>ROUND(SUM(BB45:BC45),2)</f>
        <v>0</v>
      </c>
      <c r="BF45" s="29"/>
    </row>
    <row r="46" spans="1:58" s="28" customFormat="1" ht="15" customHeight="1" x14ac:dyDescent="0.25">
      <c r="A46" s="17">
        <f t="shared" si="12"/>
        <v>44</v>
      </c>
      <c r="B46" s="18">
        <v>2411</v>
      </c>
      <c r="C46" s="17" t="s">
        <v>208</v>
      </c>
      <c r="D46" s="17" t="s">
        <v>167</v>
      </c>
      <c r="E46" s="19" t="s">
        <v>230</v>
      </c>
      <c r="F46" s="20">
        <v>45444</v>
      </c>
      <c r="G46" s="20">
        <v>45808</v>
      </c>
      <c r="H46" s="37">
        <v>45596</v>
      </c>
      <c r="I46" s="21" t="s">
        <v>0</v>
      </c>
      <c r="J46" s="22">
        <v>0</v>
      </c>
      <c r="K46" s="22">
        <v>136.5</v>
      </c>
      <c r="L46" s="22">
        <v>154.80000000000001</v>
      </c>
      <c r="M46" s="22"/>
      <c r="N46" s="22"/>
      <c r="O46" s="22"/>
      <c r="P46" s="22">
        <v>0</v>
      </c>
      <c r="Q46" s="22"/>
      <c r="R46" s="22">
        <v>0</v>
      </c>
      <c r="S46" s="35">
        <v>0</v>
      </c>
      <c r="T46" s="22"/>
      <c r="U46" s="35">
        <v>0</v>
      </c>
      <c r="V46" s="35">
        <v>0</v>
      </c>
      <c r="W46" s="22"/>
      <c r="X46" s="22">
        <v>0</v>
      </c>
      <c r="Y46" s="22">
        <v>0</v>
      </c>
      <c r="Z46" s="23">
        <f>SUM(J46:Y46)</f>
        <v>291.3</v>
      </c>
      <c r="AA46" s="24"/>
      <c r="AB46" s="24"/>
      <c r="AC46" s="24"/>
      <c r="AD46" s="24"/>
      <c r="AE46" s="24"/>
      <c r="AF46" s="24"/>
      <c r="AG46" s="23">
        <f>AB46+AC46+AD46+AF46</f>
        <v>0</v>
      </c>
      <c r="AH46" s="25"/>
      <c r="AI46" s="25"/>
      <c r="AJ46" s="25"/>
      <c r="AK46" s="23">
        <f t="shared" si="2"/>
        <v>291.3</v>
      </c>
      <c r="AL46" s="24"/>
      <c r="AM46" s="24"/>
      <c r="AN46" s="24"/>
      <c r="AO46" s="24"/>
      <c r="AP46" s="24"/>
      <c r="AQ46" s="24"/>
      <c r="AR46" s="24"/>
      <c r="AS46" s="24"/>
      <c r="AT46" s="24"/>
      <c r="AU46" s="23">
        <f>SUM(AN46:AT46)</f>
        <v>0</v>
      </c>
      <c r="AV46" s="23"/>
      <c r="AW46" s="23"/>
      <c r="AX46" s="23">
        <f t="shared" si="8"/>
        <v>291.3</v>
      </c>
      <c r="AY46" s="26"/>
      <c r="AZ46" s="33"/>
      <c r="BA46" s="23">
        <v>0</v>
      </c>
      <c r="BB46" s="27">
        <f>ROUND(AX46+BA46+AY46,2)</f>
        <v>291.3</v>
      </c>
      <c r="BC46" s="23">
        <f>ROUND(BB46*6%,2)</f>
        <v>17.48</v>
      </c>
      <c r="BD46" s="23">
        <f>ROUND(SUM(BB46:BC46),2)</f>
        <v>308.77999999999997</v>
      </c>
      <c r="BF46" s="29"/>
    </row>
    <row r="47" spans="1:58" s="28" customFormat="1" ht="15" customHeight="1" x14ac:dyDescent="0.25">
      <c r="A47" s="17">
        <f t="shared" si="12"/>
        <v>45</v>
      </c>
      <c r="B47" s="18">
        <v>2411</v>
      </c>
      <c r="C47" s="17" t="s">
        <v>213</v>
      </c>
      <c r="D47" s="17" t="s">
        <v>174</v>
      </c>
      <c r="E47" s="19" t="s">
        <v>231</v>
      </c>
      <c r="F47" s="20">
        <v>45444</v>
      </c>
      <c r="G47" s="20">
        <v>45808</v>
      </c>
      <c r="H47" s="37">
        <v>45596</v>
      </c>
      <c r="I47" s="21" t="s">
        <v>0</v>
      </c>
      <c r="J47" s="22">
        <v>0</v>
      </c>
      <c r="K47" s="22">
        <v>0</v>
      </c>
      <c r="L47" s="22">
        <v>0</v>
      </c>
      <c r="M47" s="22"/>
      <c r="N47" s="22"/>
      <c r="O47" s="22"/>
      <c r="P47" s="22">
        <v>0</v>
      </c>
      <c r="Q47" s="22"/>
      <c r="R47" s="22">
        <v>0</v>
      </c>
      <c r="S47" s="35">
        <v>0</v>
      </c>
      <c r="T47" s="22"/>
      <c r="U47" s="35">
        <v>0</v>
      </c>
      <c r="V47" s="35">
        <v>0</v>
      </c>
      <c r="W47" s="22"/>
      <c r="X47" s="22">
        <v>0</v>
      </c>
      <c r="Y47" s="22">
        <v>0</v>
      </c>
      <c r="Z47" s="23">
        <f>SUM(J47:Y47)</f>
        <v>0</v>
      </c>
      <c r="AA47" s="24"/>
      <c r="AB47" s="24"/>
      <c r="AC47" s="24"/>
      <c r="AD47" s="24"/>
      <c r="AE47" s="24"/>
      <c r="AF47" s="24"/>
      <c r="AG47" s="23">
        <f>AB47+AC47+AD47+AF47</f>
        <v>0</v>
      </c>
      <c r="AH47" s="25"/>
      <c r="AI47" s="25"/>
      <c r="AJ47" s="25"/>
      <c r="AK47" s="23">
        <f t="shared" si="2"/>
        <v>0</v>
      </c>
      <c r="AL47" s="24"/>
      <c r="AM47" s="24"/>
      <c r="AN47" s="24"/>
      <c r="AO47" s="24"/>
      <c r="AP47" s="24"/>
      <c r="AQ47" s="24"/>
      <c r="AR47" s="24"/>
      <c r="AS47" s="24"/>
      <c r="AT47" s="24"/>
      <c r="AU47" s="23">
        <f>SUM(AN47:AT47)</f>
        <v>0</v>
      </c>
      <c r="AV47" s="23"/>
      <c r="AW47" s="23"/>
      <c r="AX47" s="23">
        <f t="shared" si="8"/>
        <v>0</v>
      </c>
      <c r="AY47" s="26"/>
      <c r="AZ47" s="33"/>
      <c r="BA47" s="23">
        <v>0</v>
      </c>
      <c r="BB47" s="27">
        <f>ROUND(AX47+BA47+AY47,2)</f>
        <v>0</v>
      </c>
      <c r="BC47" s="23">
        <f>ROUND(BB47*6%,2)</f>
        <v>0</v>
      </c>
      <c r="BD47" s="23">
        <f>ROUND(SUM(BB47:BC47),2)</f>
        <v>0</v>
      </c>
      <c r="BF47" s="29"/>
    </row>
    <row r="48" spans="1:58" s="28" customFormat="1" ht="15" customHeight="1" x14ac:dyDescent="0.25">
      <c r="A48" s="17">
        <f t="shared" si="12"/>
        <v>46</v>
      </c>
      <c r="B48" s="18">
        <v>2411</v>
      </c>
      <c r="C48" s="17" t="s">
        <v>211</v>
      </c>
      <c r="D48" s="17" t="s">
        <v>233</v>
      </c>
      <c r="E48" s="19" t="s">
        <v>232</v>
      </c>
      <c r="F48" s="20">
        <v>45444</v>
      </c>
      <c r="G48" s="20">
        <v>45808</v>
      </c>
      <c r="H48" s="37">
        <v>45596</v>
      </c>
      <c r="I48" s="21" t="s">
        <v>0</v>
      </c>
      <c r="J48" s="22">
        <v>0</v>
      </c>
      <c r="K48" s="22">
        <v>774</v>
      </c>
      <c r="L48" s="22">
        <v>484</v>
      </c>
      <c r="M48" s="22"/>
      <c r="N48" s="22"/>
      <c r="O48" s="22"/>
      <c r="P48" s="22">
        <v>0</v>
      </c>
      <c r="Q48" s="22"/>
      <c r="R48" s="22">
        <v>0</v>
      </c>
      <c r="S48" s="35">
        <v>0</v>
      </c>
      <c r="T48" s="22"/>
      <c r="U48" s="35">
        <v>0</v>
      </c>
      <c r="V48" s="35">
        <v>0</v>
      </c>
      <c r="W48" s="22"/>
      <c r="X48" s="22">
        <v>0</v>
      </c>
      <c r="Y48" s="22">
        <v>0</v>
      </c>
      <c r="Z48" s="23">
        <f>SUM(J48:Y48)</f>
        <v>1258</v>
      </c>
      <c r="AA48" s="24"/>
      <c r="AB48" s="24"/>
      <c r="AC48" s="24"/>
      <c r="AD48" s="24"/>
      <c r="AE48" s="24"/>
      <c r="AF48" s="24"/>
      <c r="AG48" s="23">
        <f>AB48+AC48+AD48+AF48</f>
        <v>0</v>
      </c>
      <c r="AH48" s="25"/>
      <c r="AI48" s="25"/>
      <c r="AJ48" s="25"/>
      <c r="AK48" s="23">
        <f t="shared" si="2"/>
        <v>1258</v>
      </c>
      <c r="AL48" s="24"/>
      <c r="AM48" s="24"/>
      <c r="AN48" s="24"/>
      <c r="AO48" s="24"/>
      <c r="AP48" s="24"/>
      <c r="AQ48" s="24"/>
      <c r="AR48" s="24"/>
      <c r="AS48" s="24"/>
      <c r="AT48" s="24"/>
      <c r="AU48" s="23">
        <f>SUM(AN48:AT48)</f>
        <v>0</v>
      </c>
      <c r="AV48" s="23"/>
      <c r="AW48" s="23"/>
      <c r="AX48" s="23">
        <f t="shared" si="8"/>
        <v>1258</v>
      </c>
      <c r="AY48" s="26"/>
      <c r="AZ48" s="33"/>
      <c r="BA48" s="23">
        <v>0</v>
      </c>
      <c r="BB48" s="27">
        <f>ROUND(AX48+BA48+AY48,2)</f>
        <v>1258</v>
      </c>
      <c r="BC48" s="23">
        <f>ROUND(BB48*6%,2)</f>
        <v>75.48</v>
      </c>
      <c r="BD48" s="23">
        <f>ROUND(SUM(BB48:BC48),2)</f>
        <v>1333.48</v>
      </c>
      <c r="BF48" s="29"/>
    </row>
    <row r="49" spans="1:58" s="48" customFormat="1" ht="15" customHeight="1" x14ac:dyDescent="0.25">
      <c r="A49" s="45"/>
      <c r="B49" s="38"/>
      <c r="C49" s="45"/>
      <c r="D49" s="45"/>
      <c r="E49" s="46"/>
      <c r="F49" s="39"/>
      <c r="G49" s="39"/>
      <c r="H49" s="39"/>
      <c r="I49" s="40"/>
      <c r="J49" s="41"/>
      <c r="K49" s="41"/>
      <c r="L49" s="41"/>
      <c r="M49" s="41"/>
      <c r="N49" s="41"/>
      <c r="O49" s="41"/>
      <c r="P49" s="41"/>
      <c r="Q49" s="41"/>
      <c r="R49" s="41"/>
      <c r="S49" s="42"/>
      <c r="T49" s="41"/>
      <c r="U49" s="42"/>
      <c r="V49" s="42"/>
      <c r="W49" s="41"/>
      <c r="X49" s="41"/>
      <c r="Y49" s="41"/>
      <c r="Z49" s="47"/>
      <c r="AA49" s="43"/>
      <c r="AB49" s="43"/>
      <c r="AC49" s="43"/>
      <c r="AD49" s="43"/>
      <c r="AE49" s="43"/>
      <c r="AF49" s="43"/>
      <c r="AG49" s="47"/>
      <c r="AH49" s="47"/>
      <c r="AI49" s="47"/>
      <c r="AJ49" s="47"/>
      <c r="AK49" s="47"/>
      <c r="AL49" s="43"/>
      <c r="AM49" s="43"/>
      <c r="AN49" s="43"/>
      <c r="AO49" s="43"/>
      <c r="AP49" s="43"/>
      <c r="AQ49" s="43"/>
      <c r="AR49" s="43"/>
      <c r="AS49" s="43"/>
      <c r="AT49" s="43"/>
      <c r="AU49" s="47"/>
      <c r="AV49" s="47"/>
      <c r="AW49" s="47"/>
      <c r="AX49" s="47"/>
      <c r="AY49" s="47"/>
      <c r="AZ49" s="44"/>
      <c r="BA49" s="47"/>
      <c r="BB49" s="47"/>
      <c r="BC49" s="47"/>
      <c r="BD49" s="47"/>
      <c r="BF49" s="49"/>
    </row>
    <row r="50" spans="1:58" x14ac:dyDescent="0.25">
      <c r="A50" s="30" t="s">
        <v>91</v>
      </c>
      <c r="Z50" s="31">
        <f>SUBTOTAL(9,Z3:Z48)</f>
        <v>336845.35000000003</v>
      </c>
      <c r="AA50" s="31"/>
      <c r="AG50" s="31">
        <f>SUBTOTAL(9,AG3:AG48)</f>
        <v>52766.029999999992</v>
      </c>
      <c r="AI50" s="31"/>
      <c r="AK50" s="31">
        <f>SUBTOTAL(9,AK3:AK48)</f>
        <v>284079.32</v>
      </c>
      <c r="AQ50" s="31"/>
      <c r="AU50" s="31">
        <f>SUBTOTAL(9,AU3:AU48)</f>
        <v>108761.39000000001</v>
      </c>
      <c r="AV50" s="31"/>
      <c r="AW50" s="31">
        <f>SUBTOTAL(9,AW3:AW44)</f>
        <v>0</v>
      </c>
      <c r="AX50" s="31">
        <f>SUBTOTAL(9,AX3:AX48)</f>
        <v>445606.74000000011</v>
      </c>
      <c r="AY50" s="31">
        <f>SUBTOTAL(9,AY3:AY44)</f>
        <v>0</v>
      </c>
      <c r="AZ50" s="31"/>
      <c r="BA50" s="31">
        <f>SUBTOTAL(9,BA3:BA48)</f>
        <v>10710</v>
      </c>
      <c r="BB50" s="36">
        <f>SUBTOTAL(9,BB3:BB48)</f>
        <v>456316.74000000011</v>
      </c>
      <c r="BC50" s="31">
        <f>SUBTOTAL(9,BC3:BC48)</f>
        <v>27378.970000000005</v>
      </c>
      <c r="BD50" s="31">
        <f>SUBTOTAL(9,BD3:BD48)</f>
        <v>483695.70999999985</v>
      </c>
    </row>
    <row r="51" spans="1:58" x14ac:dyDescent="0.25">
      <c r="AY51" s="32"/>
    </row>
    <row r="52" spans="1:58" x14ac:dyDescent="0.25">
      <c r="AN52" s="32"/>
      <c r="AS52" s="32"/>
    </row>
    <row r="53" spans="1:58" x14ac:dyDescent="0.25">
      <c r="AG53" s="32"/>
    </row>
    <row r="55" spans="1:58" x14ac:dyDescent="0.25">
      <c r="AG55" s="32"/>
    </row>
  </sheetData>
  <autoFilter ref="A1:BF44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1">
    <mergeCell ref="M1:Y1"/>
  </mergeCells>
  <phoneticPr fontId="4" type="noConversion"/>
  <conditionalFormatting sqref="D1">
    <cfRule type="duplicateValues" dxfId="19" priority="17"/>
  </conditionalFormatting>
  <conditionalFormatting sqref="D1">
    <cfRule type="duplicateValues" dxfId="18" priority="18"/>
  </conditionalFormatting>
  <conditionalFormatting sqref="D1">
    <cfRule type="duplicateValues" dxfId="17" priority="19"/>
    <cfRule type="duplicateValues" dxfId="16" priority="20"/>
  </conditionalFormatting>
  <conditionalFormatting sqref="D1">
    <cfRule type="duplicateValues" dxfId="15" priority="21"/>
    <cfRule type="duplicateValues" dxfId="14" priority="22"/>
  </conditionalFormatting>
  <conditionalFormatting sqref="D2">
    <cfRule type="duplicateValues" dxfId="13" priority="14"/>
    <cfRule type="duplicateValues" dxfId="12" priority="15"/>
  </conditionalFormatting>
  <conditionalFormatting sqref="D2">
    <cfRule type="duplicateValues" dxfId="11" priority="16"/>
  </conditionalFormatting>
  <conditionalFormatting sqref="C1">
    <cfRule type="duplicateValues" dxfId="10" priority="8"/>
  </conditionalFormatting>
  <conditionalFormatting sqref="C1">
    <cfRule type="duplicateValues" dxfId="9" priority="9"/>
  </conditionalFormatting>
  <conditionalFormatting sqref="C1">
    <cfRule type="duplicateValues" dxfId="8" priority="10"/>
    <cfRule type="duplicateValues" dxfId="7" priority="11"/>
  </conditionalFormatting>
  <conditionalFormatting sqref="C1">
    <cfRule type="duplicateValues" dxfId="6" priority="12"/>
    <cfRule type="duplicateValues" dxfId="5" priority="13"/>
  </conditionalFormatting>
  <conditionalFormatting sqref="C2">
    <cfRule type="duplicateValues" dxfId="4" priority="5"/>
    <cfRule type="duplicateValues" dxfId="3" priority="6"/>
  </conditionalFormatting>
  <conditionalFormatting sqref="C2">
    <cfRule type="duplicateValues" dxfId="2" priority="7"/>
  </conditionalFormatting>
  <conditionalFormatting sqref="AA3:AA49 AL3:AL49">
    <cfRule type="cellIs" dxfId="1" priority="4" operator="lessThan">
      <formula>7384</formula>
    </cfRule>
  </conditionalFormatting>
  <conditionalFormatting sqref="D1:D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5D46-6C23-4BF0-8E4D-DE894D1C1D91}">
  <dimension ref="A1:N26"/>
  <sheetViews>
    <sheetView workbookViewId="0">
      <selection activeCell="D2" sqref="D2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30.44140625" customWidth="1"/>
    <col min="7" max="7" width="25.44140625" bestFit="1" customWidth="1"/>
    <col min="8" max="8" width="14.33203125" bestFit="1" customWidth="1"/>
    <col min="9" max="9" width="10.21875" customWidth="1"/>
    <col min="10" max="10" width="15.77734375" style="106" customWidth="1"/>
    <col min="11" max="14" width="8.88671875" style="106"/>
  </cols>
  <sheetData>
    <row r="1" spans="1:9" x14ac:dyDescent="0.25">
      <c r="A1" s="103" t="s">
        <v>399</v>
      </c>
      <c r="B1" s="104" t="s">
        <v>400</v>
      </c>
      <c r="C1" s="104" t="s">
        <v>401</v>
      </c>
      <c r="D1" s="104">
        <v>155</v>
      </c>
      <c r="E1" s="104" t="s">
        <v>402</v>
      </c>
      <c r="F1" s="104" t="s">
        <v>403</v>
      </c>
      <c r="G1" s="104" t="s">
        <v>404</v>
      </c>
      <c r="H1" s="104" t="s">
        <v>405</v>
      </c>
      <c r="I1" s="105" t="s">
        <v>406</v>
      </c>
    </row>
    <row r="2" spans="1:9" x14ac:dyDescent="0.25">
      <c r="A2" s="103" t="s">
        <v>247</v>
      </c>
      <c r="B2" s="104">
        <f>'202411'!BC50</f>
        <v>27378.970000000005</v>
      </c>
      <c r="C2" s="104">
        <f>系统!E60</f>
        <v>31188.309999999994</v>
      </c>
      <c r="D2" s="104">
        <f>42*155+0.06</f>
        <v>6510.06</v>
      </c>
      <c r="E2" s="104"/>
      <c r="F2" s="104"/>
      <c r="G2" s="104"/>
      <c r="H2" s="104">
        <f>SUM(C2:G2)</f>
        <v>37698.369999999995</v>
      </c>
      <c r="I2" s="107">
        <f t="shared" ref="I2:I10" si="0">B2-C2</f>
        <v>-3809.3399999999892</v>
      </c>
    </row>
    <row r="3" spans="1:9" x14ac:dyDescent="0.25">
      <c r="A3" s="103" t="s">
        <v>407</v>
      </c>
      <c r="B3" s="104">
        <f>'202411'!BA50</f>
        <v>10710</v>
      </c>
      <c r="C3" s="104">
        <v>0</v>
      </c>
      <c r="D3" s="104"/>
      <c r="E3" s="104"/>
      <c r="F3" s="104"/>
      <c r="G3" s="104"/>
      <c r="H3" s="104">
        <f>SUM(C3:G3)</f>
        <v>0</v>
      </c>
      <c r="I3" s="107">
        <f t="shared" si="0"/>
        <v>10710</v>
      </c>
    </row>
    <row r="4" spans="1:9" x14ac:dyDescent="0.25">
      <c r="A4" s="103" t="s">
        <v>408</v>
      </c>
      <c r="B4" s="104">
        <f>'202411'!AG50</f>
        <v>52766.029999999992</v>
      </c>
      <c r="C4" s="104">
        <f>系统!V60</f>
        <v>52766.03</v>
      </c>
      <c r="D4" s="104"/>
      <c r="E4" s="104"/>
      <c r="F4" s="104"/>
      <c r="G4" s="104"/>
      <c r="H4" s="104">
        <f>SUM(C4:G4)</f>
        <v>52766.03</v>
      </c>
      <c r="I4" s="107">
        <f t="shared" si="0"/>
        <v>0</v>
      </c>
    </row>
    <row r="5" spans="1:9" x14ac:dyDescent="0.25">
      <c r="A5" s="103" t="s">
        <v>409</v>
      </c>
      <c r="B5" s="104">
        <f>'202411'!AU50</f>
        <v>108761.39000000001</v>
      </c>
      <c r="C5" s="104">
        <f>系统!O60</f>
        <v>108761.39000000001</v>
      </c>
      <c r="D5" s="104"/>
      <c r="E5" s="108"/>
      <c r="F5" s="104"/>
      <c r="G5" s="104"/>
      <c r="H5" s="104">
        <f>SUM(C5:E5)</f>
        <v>108761.39000000001</v>
      </c>
      <c r="I5" s="107">
        <f t="shared" si="0"/>
        <v>0</v>
      </c>
    </row>
    <row r="6" spans="1:9" x14ac:dyDescent="0.25">
      <c r="A6" s="103" t="s">
        <v>410</v>
      </c>
      <c r="B6" s="104"/>
      <c r="C6" s="104"/>
      <c r="D6" s="104"/>
      <c r="E6" s="104"/>
      <c r="F6" s="104"/>
      <c r="G6" s="104"/>
      <c r="H6" s="104">
        <f t="shared" ref="H6:H11" si="1">SUM(C6:G6)</f>
        <v>0</v>
      </c>
      <c r="I6" s="107">
        <f t="shared" si="0"/>
        <v>0</v>
      </c>
    </row>
    <row r="7" spans="1:9" x14ac:dyDescent="0.25">
      <c r="A7" s="103" t="s">
        <v>411</v>
      </c>
      <c r="B7" s="104">
        <f>'202411'!AK50</f>
        <v>284079.32</v>
      </c>
      <c r="C7" s="104">
        <f>系统!W60</f>
        <v>284079.32000000012</v>
      </c>
      <c r="D7" s="104"/>
      <c r="E7" s="104"/>
      <c r="F7" s="104"/>
      <c r="G7" s="104"/>
      <c r="H7" s="104">
        <f t="shared" si="1"/>
        <v>284079.32000000012</v>
      </c>
      <c r="I7" s="107">
        <f t="shared" si="0"/>
        <v>0</v>
      </c>
    </row>
    <row r="8" spans="1:9" x14ac:dyDescent="0.25">
      <c r="A8" s="103" t="s">
        <v>412</v>
      </c>
      <c r="B8" s="104"/>
      <c r="C8" s="104"/>
      <c r="D8" s="104"/>
      <c r="E8" s="109"/>
      <c r="F8" s="109"/>
      <c r="G8" s="110"/>
      <c r="H8" s="104">
        <f t="shared" si="1"/>
        <v>0</v>
      </c>
      <c r="I8" s="107">
        <f t="shared" si="0"/>
        <v>0</v>
      </c>
    </row>
    <row r="9" spans="1:9" x14ac:dyDescent="0.25">
      <c r="A9" s="103" t="s">
        <v>413</v>
      </c>
      <c r="B9" s="104"/>
      <c r="C9" s="104"/>
      <c r="D9" s="104"/>
      <c r="E9" s="104"/>
      <c r="F9" s="104"/>
      <c r="G9" s="110"/>
      <c r="H9" s="104">
        <f t="shared" si="1"/>
        <v>0</v>
      </c>
      <c r="I9" s="107">
        <f t="shared" si="0"/>
        <v>0</v>
      </c>
    </row>
    <row r="10" spans="1:9" x14ac:dyDescent="0.25">
      <c r="A10" s="103" t="s">
        <v>414</v>
      </c>
      <c r="B10" s="104"/>
      <c r="C10" s="104"/>
      <c r="D10" s="104"/>
      <c r="E10" s="104"/>
      <c r="F10" s="104"/>
      <c r="G10" s="104"/>
      <c r="H10" s="104">
        <f t="shared" si="1"/>
        <v>0</v>
      </c>
      <c r="I10" s="107">
        <f t="shared" si="0"/>
        <v>0</v>
      </c>
    </row>
    <row r="11" spans="1:9" x14ac:dyDescent="0.25">
      <c r="A11" s="111" t="s">
        <v>415</v>
      </c>
      <c r="B11" s="112">
        <f t="shared" ref="B11:G11" si="2">SUM(B2:B10)</f>
        <v>483695.71</v>
      </c>
      <c r="C11" s="112">
        <f t="shared" si="2"/>
        <v>476795.05000000016</v>
      </c>
      <c r="D11" s="112">
        <f>SUM(D2:D10)</f>
        <v>6510.06</v>
      </c>
      <c r="E11" s="112">
        <f t="shared" si="2"/>
        <v>0</v>
      </c>
      <c r="F11" s="112">
        <f t="shared" si="2"/>
        <v>0</v>
      </c>
      <c r="G11" s="112">
        <f t="shared" si="2"/>
        <v>0</v>
      </c>
      <c r="H11" s="112">
        <f t="shared" si="1"/>
        <v>483305.11000000016</v>
      </c>
    </row>
    <row r="12" spans="1:9" x14ac:dyDescent="0.25">
      <c r="A12" s="103" t="s">
        <v>416</v>
      </c>
      <c r="B12" s="104"/>
      <c r="C12" s="104"/>
      <c r="D12" s="104">
        <v>0</v>
      </c>
      <c r="E12" s="104"/>
      <c r="F12" s="104"/>
      <c r="G12" s="104"/>
      <c r="H12" s="104"/>
    </row>
    <row r="13" spans="1:9" x14ac:dyDescent="0.25">
      <c r="A13" s="103" t="s">
        <v>264</v>
      </c>
      <c r="B13" s="104"/>
      <c r="C13" s="104"/>
      <c r="D13" s="104">
        <f>ROUND((D10+D11)*6%,2)</f>
        <v>390.6</v>
      </c>
      <c r="E13" s="104">
        <f t="shared" ref="E13:G13" si="3">ROUND((E11+E12)*6%,2)</f>
        <v>0</v>
      </c>
      <c r="F13" s="104">
        <f t="shared" si="3"/>
        <v>0</v>
      </c>
      <c r="G13" s="104">
        <f t="shared" si="3"/>
        <v>0</v>
      </c>
      <c r="H13" s="104">
        <f>SUM(C13:G13)</f>
        <v>390.6</v>
      </c>
    </row>
    <row r="14" spans="1:9" x14ac:dyDescent="0.25">
      <c r="A14" s="113" t="s">
        <v>44</v>
      </c>
      <c r="B14" s="114">
        <f t="shared" ref="B14:E14" si="4">SUM(B11:B13)</f>
        <v>483695.71</v>
      </c>
      <c r="C14" s="114">
        <f t="shared" si="4"/>
        <v>476795.05000000016</v>
      </c>
      <c r="D14" s="114">
        <f>SUM(D11:D11:D13)</f>
        <v>6900.6600000000008</v>
      </c>
      <c r="E14" s="114">
        <f t="shared" si="4"/>
        <v>0</v>
      </c>
      <c r="F14" s="114">
        <f>SUM(F11:F13)</f>
        <v>0</v>
      </c>
      <c r="G14" s="114">
        <f>SUM(G11:G13)</f>
        <v>0</v>
      </c>
      <c r="H14" s="114">
        <f>SUM(C14:G14)</f>
        <v>483695.71000000014</v>
      </c>
    </row>
    <row r="15" spans="1:9" x14ac:dyDescent="0.25">
      <c r="A15" s="113" t="s">
        <v>417</v>
      </c>
      <c r="B15" s="114"/>
      <c r="C15" s="114"/>
      <c r="D15" s="114"/>
      <c r="E15" s="114"/>
      <c r="F15" s="114"/>
      <c r="G15" s="114"/>
      <c r="H15" s="114">
        <f>B14</f>
        <v>483695.71</v>
      </c>
    </row>
    <row r="16" spans="1:9" x14ac:dyDescent="0.25">
      <c r="A16" s="103" t="s">
        <v>418</v>
      </c>
      <c r="B16" s="104"/>
      <c r="C16" s="104"/>
      <c r="D16" s="104"/>
      <c r="E16" s="104"/>
      <c r="F16" s="104"/>
      <c r="G16" s="104"/>
      <c r="H16" s="104">
        <f>H15-H14</f>
        <v>0</v>
      </c>
    </row>
    <row r="17" spans="1:8" x14ac:dyDescent="0.25">
      <c r="A17" s="103" t="s">
        <v>419</v>
      </c>
      <c r="B17" s="104"/>
      <c r="C17" s="104"/>
      <c r="D17" s="104"/>
      <c r="E17" s="104"/>
      <c r="F17" s="104"/>
      <c r="G17" s="104"/>
      <c r="H17" s="104">
        <f>ROUND(H16/1.06,2)</f>
        <v>0</v>
      </c>
    </row>
    <row r="19" spans="1:8" x14ac:dyDescent="0.25">
      <c r="C19" s="107"/>
      <c r="D19" s="107"/>
    </row>
    <row r="21" spans="1:8" ht="16.2" x14ac:dyDescent="0.25">
      <c r="H21" s="30"/>
    </row>
    <row r="22" spans="1:8" ht="16.2" x14ac:dyDescent="0.25">
      <c r="H22" s="30"/>
    </row>
    <row r="23" spans="1:8" x14ac:dyDescent="0.25">
      <c r="G23" s="107"/>
    </row>
    <row r="24" spans="1:8" x14ac:dyDescent="0.25">
      <c r="H24" s="107"/>
    </row>
    <row r="25" spans="1:8" x14ac:dyDescent="0.25">
      <c r="H25" s="107"/>
    </row>
    <row r="26" spans="1:8" x14ac:dyDescent="0.25">
      <c r="H26" s="107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AE56-2169-4AF0-9C1F-503245B417C1}">
  <dimension ref="A1:AF113"/>
  <sheetViews>
    <sheetView topLeftCell="A9" workbookViewId="0">
      <selection activeCell="A20" sqref="A20:XFD20"/>
    </sheetView>
  </sheetViews>
  <sheetFormatPr defaultRowHeight="13.8" x14ac:dyDescent="0.25"/>
  <cols>
    <col min="1" max="4" width="8.88671875" style="55"/>
    <col min="5" max="24" width="8.88671875" style="56"/>
    <col min="25" max="25" width="10.21875" style="56" bestFit="1" customWidth="1"/>
    <col min="26" max="27" width="8.88671875" style="55"/>
    <col min="28" max="28" width="15.77734375" style="55" customWidth="1"/>
    <col min="29" max="29" width="8.88671875" style="55"/>
    <col min="30" max="30" width="8.88671875" style="56"/>
    <col min="31" max="31" width="8.88671875" style="55"/>
    <col min="32" max="32" width="8.88671875" style="56"/>
    <col min="33" max="16384" width="8.88671875" style="55"/>
  </cols>
  <sheetData>
    <row r="1" spans="1:32" x14ac:dyDescent="0.25">
      <c r="A1" s="54" t="s">
        <v>235</v>
      </c>
    </row>
    <row r="2" spans="1:32" x14ac:dyDescent="0.25">
      <c r="A2" s="54" t="s">
        <v>236</v>
      </c>
    </row>
    <row r="3" spans="1:32" x14ac:dyDescent="0.25">
      <c r="B3" s="54" t="s">
        <v>237</v>
      </c>
    </row>
    <row r="6" spans="1:32" ht="20.399999999999999" x14ac:dyDescent="0.25">
      <c r="D6" s="57" t="s">
        <v>238</v>
      </c>
    </row>
    <row r="7" spans="1:32" ht="20.399999999999999" x14ac:dyDescent="0.25">
      <c r="C7" s="57" t="s">
        <v>239</v>
      </c>
    </row>
    <row r="9" spans="1:32" ht="20.399999999999999" x14ac:dyDescent="0.25">
      <c r="E9" s="58" t="s">
        <v>240</v>
      </c>
    </row>
    <row r="10" spans="1:32" ht="20.399999999999999" x14ac:dyDescent="0.25">
      <c r="E10" s="58" t="s">
        <v>241</v>
      </c>
    </row>
    <row r="11" spans="1:32" ht="15.6" x14ac:dyDescent="0.25">
      <c r="E11" s="59" t="s">
        <v>242</v>
      </c>
    </row>
    <row r="13" spans="1:32" s="61" customFormat="1" ht="13.2" x14ac:dyDescent="0.25">
      <c r="A13" s="60" t="s">
        <v>243</v>
      </c>
      <c r="E13" s="62"/>
      <c r="F13" s="62"/>
      <c r="G13" s="62"/>
      <c r="H13" s="62"/>
      <c r="I13" s="62"/>
      <c r="J13" s="63" t="s">
        <v>244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AD13" s="62"/>
      <c r="AF13" s="62"/>
    </row>
    <row r="14" spans="1:32" s="64" customFormat="1" ht="60" customHeight="1" x14ac:dyDescent="0.15">
      <c r="A14" s="64" t="s">
        <v>83</v>
      </c>
      <c r="B14" s="64" t="s">
        <v>81</v>
      </c>
      <c r="C14" s="64" t="s">
        <v>245</v>
      </c>
      <c r="D14" s="64" t="s">
        <v>246</v>
      </c>
      <c r="E14" s="65" t="s">
        <v>247</v>
      </c>
      <c r="F14" s="65" t="s">
        <v>248</v>
      </c>
      <c r="G14" s="65" t="s">
        <v>249</v>
      </c>
      <c r="H14" s="66" t="s">
        <v>250</v>
      </c>
      <c r="I14" s="67"/>
      <c r="J14" s="67"/>
      <c r="K14" s="67"/>
      <c r="L14" s="67"/>
      <c r="M14" s="68"/>
      <c r="N14" s="69" t="s">
        <v>251</v>
      </c>
      <c r="O14" s="65" t="s">
        <v>252</v>
      </c>
      <c r="P14" s="66" t="s">
        <v>253</v>
      </c>
      <c r="Q14" s="67"/>
      <c r="R14" s="67"/>
      <c r="S14" s="67"/>
      <c r="T14" s="68"/>
      <c r="U14" s="69" t="s">
        <v>254</v>
      </c>
      <c r="V14" s="65" t="s">
        <v>255</v>
      </c>
      <c r="W14" s="65" t="s">
        <v>256</v>
      </c>
      <c r="X14" s="65" t="s">
        <v>257</v>
      </c>
      <c r="Y14" s="70" t="s">
        <v>44</v>
      </c>
      <c r="Z14" s="64" t="s">
        <v>258</v>
      </c>
      <c r="AA14" s="64" t="s">
        <v>259</v>
      </c>
      <c r="AB14" s="64" t="s">
        <v>260</v>
      </c>
      <c r="AC14" s="64" t="s">
        <v>261</v>
      </c>
      <c r="AD14" s="65" t="s">
        <v>262</v>
      </c>
      <c r="AE14" s="64" t="s">
        <v>263</v>
      </c>
      <c r="AF14" s="65" t="s">
        <v>264</v>
      </c>
    </row>
    <row r="15" spans="1:32" s="71" customFormat="1" ht="60" customHeight="1" x14ac:dyDescent="0.25">
      <c r="A15" s="71" t="s">
        <v>265</v>
      </c>
      <c r="B15" s="71" t="s">
        <v>41</v>
      </c>
      <c r="C15" s="71" t="s">
        <v>266</v>
      </c>
      <c r="D15" s="71" t="s">
        <v>267</v>
      </c>
      <c r="E15" s="72" t="s">
        <v>268</v>
      </c>
      <c r="F15" s="72" t="s">
        <v>269</v>
      </c>
      <c r="G15" s="72" t="s">
        <v>270</v>
      </c>
      <c r="H15" s="73" t="s">
        <v>271</v>
      </c>
      <c r="I15" s="73" t="s">
        <v>272</v>
      </c>
      <c r="J15" s="73" t="s">
        <v>273</v>
      </c>
      <c r="K15" s="73" t="s">
        <v>274</v>
      </c>
      <c r="L15" s="73" t="s">
        <v>275</v>
      </c>
      <c r="M15" s="73" t="s">
        <v>276</v>
      </c>
      <c r="N15" s="73" t="s">
        <v>277</v>
      </c>
      <c r="O15" s="72" t="s">
        <v>278</v>
      </c>
      <c r="P15" s="73" t="s">
        <v>271</v>
      </c>
      <c r="Q15" s="73" t="s">
        <v>272</v>
      </c>
      <c r="R15" s="73" t="s">
        <v>273</v>
      </c>
      <c r="S15" s="73" t="s">
        <v>274</v>
      </c>
      <c r="T15" s="73" t="s">
        <v>275</v>
      </c>
      <c r="U15" s="73" t="s">
        <v>277</v>
      </c>
      <c r="V15" s="72" t="s">
        <v>279</v>
      </c>
      <c r="W15" s="72" t="s">
        <v>280</v>
      </c>
      <c r="X15" s="72" t="s">
        <v>281</v>
      </c>
      <c r="Y15" s="74" t="s">
        <v>282</v>
      </c>
      <c r="Z15" s="71" t="s">
        <v>283</v>
      </c>
      <c r="AA15" s="71" t="s">
        <v>284</v>
      </c>
      <c r="AB15" s="71" t="s">
        <v>285</v>
      </c>
      <c r="AC15" s="71" t="s">
        <v>286</v>
      </c>
      <c r="AD15" s="72" t="s">
        <v>287</v>
      </c>
      <c r="AE15" s="71" t="s">
        <v>288</v>
      </c>
      <c r="AF15" s="72" t="s">
        <v>2</v>
      </c>
    </row>
    <row r="16" spans="1:32" s="75" customFormat="1" ht="11.4" x14ac:dyDescent="0.25">
      <c r="A16" s="75">
        <v>1</v>
      </c>
      <c r="B16" s="75" t="s">
        <v>120</v>
      </c>
      <c r="C16" s="75" t="s">
        <v>289</v>
      </c>
      <c r="D16" s="75" t="s">
        <v>290</v>
      </c>
      <c r="E16" s="76">
        <v>651.66</v>
      </c>
      <c r="F16" s="76">
        <v>7384</v>
      </c>
      <c r="G16" s="76">
        <v>5351</v>
      </c>
      <c r="H16" s="76">
        <v>1181.44</v>
      </c>
      <c r="I16" s="76">
        <v>664.56</v>
      </c>
      <c r="J16" s="76">
        <v>36.92</v>
      </c>
      <c r="K16" s="76">
        <v>18.899999999999999</v>
      </c>
      <c r="L16" s="76"/>
      <c r="M16" s="76">
        <v>110.76</v>
      </c>
      <c r="N16" s="76">
        <v>375</v>
      </c>
      <c r="O16" s="76">
        <f t="shared" ref="O16:O59" si="0">SUM(H16:N16)</f>
        <v>2387.58</v>
      </c>
      <c r="P16" s="76">
        <v>590.72</v>
      </c>
      <c r="Q16" s="76">
        <v>147.68</v>
      </c>
      <c r="R16" s="76">
        <v>36.92</v>
      </c>
      <c r="S16" s="76"/>
      <c r="T16" s="76"/>
      <c r="U16" s="76">
        <v>375</v>
      </c>
      <c r="V16" s="76">
        <f t="shared" ref="V16:V59" si="1">SUM(P16:U16)</f>
        <v>1150.3200000000002</v>
      </c>
      <c r="W16" s="76">
        <v>5556.56</v>
      </c>
      <c r="X16" s="76"/>
      <c r="Y16" s="77">
        <f t="shared" ref="Y16:Y58" si="2">SUM(E16,O16,V16:X16)</f>
        <v>9746.119999999999</v>
      </c>
      <c r="AA16" s="75" t="s">
        <v>291</v>
      </c>
      <c r="AB16" s="75" t="s">
        <v>121</v>
      </c>
      <c r="AC16" s="75" t="s">
        <v>292</v>
      </c>
      <c r="AD16" s="78">
        <v>9194.4500000000007</v>
      </c>
      <c r="AE16" s="75" t="s">
        <v>293</v>
      </c>
      <c r="AF16" s="78">
        <v>551.66999999999996</v>
      </c>
    </row>
    <row r="17" spans="1:32" s="75" customFormat="1" ht="11.4" x14ac:dyDescent="0.25">
      <c r="A17" s="75">
        <v>2</v>
      </c>
      <c r="B17" s="75" t="s">
        <v>163</v>
      </c>
      <c r="C17" s="75" t="s">
        <v>289</v>
      </c>
      <c r="D17" s="75" t="s">
        <v>290</v>
      </c>
      <c r="E17" s="76">
        <v>1314.67</v>
      </c>
      <c r="F17" s="76">
        <v>10751</v>
      </c>
      <c r="G17" s="76">
        <v>10751</v>
      </c>
      <c r="H17" s="76">
        <v>1720.16</v>
      </c>
      <c r="I17" s="76">
        <v>967.6</v>
      </c>
      <c r="J17" s="76">
        <v>53.76</v>
      </c>
      <c r="K17" s="76">
        <v>27.52</v>
      </c>
      <c r="L17" s="76"/>
      <c r="M17" s="76">
        <v>161.27000000000001</v>
      </c>
      <c r="N17" s="76">
        <v>753</v>
      </c>
      <c r="O17" s="76">
        <f t="shared" si="0"/>
        <v>3683.3100000000004</v>
      </c>
      <c r="P17" s="76">
        <v>860.08</v>
      </c>
      <c r="Q17" s="76">
        <v>215.02</v>
      </c>
      <c r="R17" s="76">
        <v>53.76</v>
      </c>
      <c r="S17" s="76"/>
      <c r="T17" s="76"/>
      <c r="U17" s="76">
        <v>753</v>
      </c>
      <c r="V17" s="76">
        <f t="shared" si="1"/>
        <v>1881.8600000000001</v>
      </c>
      <c r="W17" s="76">
        <v>14579.34</v>
      </c>
      <c r="X17" s="76"/>
      <c r="Y17" s="77">
        <f t="shared" si="2"/>
        <v>21459.18</v>
      </c>
      <c r="AA17" s="75" t="s">
        <v>294</v>
      </c>
      <c r="AB17" s="75" t="s">
        <v>164</v>
      </c>
      <c r="AC17" s="75" t="s">
        <v>292</v>
      </c>
      <c r="AD17" s="78">
        <v>20244.5</v>
      </c>
      <c r="AE17" s="75" t="s">
        <v>293</v>
      </c>
      <c r="AF17" s="78">
        <v>1214.68</v>
      </c>
    </row>
    <row r="18" spans="1:32" s="75" customFormat="1" ht="11.4" x14ac:dyDescent="0.25">
      <c r="A18" s="75">
        <v>3</v>
      </c>
      <c r="B18" s="75" t="s">
        <v>116</v>
      </c>
      <c r="C18" s="75" t="s">
        <v>289</v>
      </c>
      <c r="D18" s="75" t="s">
        <v>290</v>
      </c>
      <c r="E18" s="76">
        <v>665.64</v>
      </c>
      <c r="F18" s="76">
        <v>7384</v>
      </c>
      <c r="G18" s="76">
        <v>6644</v>
      </c>
      <c r="H18" s="76">
        <v>1181.44</v>
      </c>
      <c r="I18" s="76">
        <v>664.56</v>
      </c>
      <c r="J18" s="76">
        <v>36.92</v>
      </c>
      <c r="K18" s="76">
        <v>18.899999999999999</v>
      </c>
      <c r="L18" s="76"/>
      <c r="M18" s="76">
        <v>110.76</v>
      </c>
      <c r="N18" s="76">
        <v>465</v>
      </c>
      <c r="O18" s="76">
        <f t="shared" si="0"/>
        <v>2477.58</v>
      </c>
      <c r="P18" s="76">
        <v>590.72</v>
      </c>
      <c r="Q18" s="76">
        <v>147.68</v>
      </c>
      <c r="R18" s="76">
        <v>36.92</v>
      </c>
      <c r="S18" s="76"/>
      <c r="T18" s="76"/>
      <c r="U18" s="76">
        <v>465</v>
      </c>
      <c r="V18" s="76">
        <f t="shared" si="1"/>
        <v>1240.3200000000002</v>
      </c>
      <c r="W18" s="76">
        <v>5609.5</v>
      </c>
      <c r="X18" s="76"/>
      <c r="Y18" s="77">
        <f t="shared" si="2"/>
        <v>9993.0400000000009</v>
      </c>
      <c r="AA18" s="75" t="s">
        <v>295</v>
      </c>
      <c r="AB18" s="75" t="s">
        <v>117</v>
      </c>
      <c r="AC18" s="75" t="s">
        <v>292</v>
      </c>
      <c r="AD18" s="78">
        <v>9427.39</v>
      </c>
      <c r="AE18" s="75" t="s">
        <v>293</v>
      </c>
      <c r="AF18" s="78">
        <v>565.65</v>
      </c>
    </row>
    <row r="19" spans="1:32" s="75" customFormat="1" ht="11.4" x14ac:dyDescent="0.25">
      <c r="A19" s="75">
        <v>4</v>
      </c>
      <c r="B19" s="75" t="s">
        <v>217</v>
      </c>
      <c r="C19" s="75" t="s">
        <v>289</v>
      </c>
      <c r="D19" s="75" t="s">
        <v>296</v>
      </c>
      <c r="E19" s="76">
        <v>857.16</v>
      </c>
      <c r="F19" s="76">
        <v>7384</v>
      </c>
      <c r="G19" s="76">
        <v>2690</v>
      </c>
      <c r="H19" s="76">
        <v>1181.44</v>
      </c>
      <c r="I19" s="76">
        <v>664.56</v>
      </c>
      <c r="J19" s="76">
        <v>36.92</v>
      </c>
      <c r="K19" s="76">
        <v>18.899999999999999</v>
      </c>
      <c r="L19" s="76"/>
      <c r="M19" s="76">
        <v>110.76</v>
      </c>
      <c r="N19" s="76">
        <v>188</v>
      </c>
      <c r="O19" s="76">
        <f t="shared" si="0"/>
        <v>2200.58</v>
      </c>
      <c r="P19" s="76">
        <v>590.72</v>
      </c>
      <c r="Q19" s="76">
        <v>147.68</v>
      </c>
      <c r="R19" s="76">
        <v>36.92</v>
      </c>
      <c r="S19" s="76"/>
      <c r="T19" s="76"/>
      <c r="U19" s="76">
        <v>188</v>
      </c>
      <c r="V19" s="76">
        <f t="shared" si="1"/>
        <v>963.32</v>
      </c>
      <c r="W19" s="76">
        <v>9355.48</v>
      </c>
      <c r="X19" s="76"/>
      <c r="Y19" s="77">
        <f t="shared" si="2"/>
        <v>13376.539999999999</v>
      </c>
      <c r="AA19" s="75" t="s">
        <v>297</v>
      </c>
      <c r="AB19" s="75" t="s">
        <v>298</v>
      </c>
      <c r="AC19" s="75" t="s">
        <v>292</v>
      </c>
      <c r="AD19" s="78">
        <v>12619.37</v>
      </c>
      <c r="AE19" s="75" t="s">
        <v>293</v>
      </c>
      <c r="AF19" s="78">
        <v>757.17</v>
      </c>
    </row>
    <row r="20" spans="1:32" s="75" customFormat="1" ht="11.4" x14ac:dyDescent="0.25">
      <c r="A20" s="75">
        <v>5</v>
      </c>
      <c r="B20" s="75" t="s">
        <v>155</v>
      </c>
      <c r="C20" s="75" t="s">
        <v>289</v>
      </c>
      <c r="D20" s="75" t="s">
        <v>290</v>
      </c>
      <c r="E20" s="76">
        <v>106</v>
      </c>
      <c r="F20" s="76"/>
      <c r="G20" s="76"/>
      <c r="H20" s="76"/>
      <c r="I20" s="76"/>
      <c r="J20" s="76"/>
      <c r="K20" s="76"/>
      <c r="L20" s="76"/>
      <c r="M20" s="76"/>
      <c r="N20" s="76"/>
      <c r="O20" s="76">
        <f t="shared" si="0"/>
        <v>0</v>
      </c>
      <c r="P20" s="76"/>
      <c r="Q20" s="76"/>
      <c r="R20" s="76"/>
      <c r="S20" s="76"/>
      <c r="T20" s="76"/>
      <c r="U20" s="76"/>
      <c r="V20" s="76">
        <f t="shared" si="1"/>
        <v>0</v>
      </c>
      <c r="W20" s="76"/>
      <c r="X20" s="76"/>
      <c r="Y20" s="77">
        <f t="shared" si="2"/>
        <v>106</v>
      </c>
      <c r="AA20" s="75" t="s">
        <v>299</v>
      </c>
      <c r="AB20" s="75" t="s">
        <v>156</v>
      </c>
      <c r="AC20" s="75" t="s">
        <v>292</v>
      </c>
      <c r="AD20" s="78">
        <v>100</v>
      </c>
      <c r="AE20" s="75" t="s">
        <v>293</v>
      </c>
      <c r="AF20" s="78">
        <v>6</v>
      </c>
    </row>
    <row r="21" spans="1:32" s="75" customFormat="1" ht="11.4" x14ac:dyDescent="0.25">
      <c r="A21" s="75">
        <v>6</v>
      </c>
      <c r="B21" s="75" t="s">
        <v>110</v>
      </c>
      <c r="C21" s="75" t="s">
        <v>289</v>
      </c>
      <c r="D21" s="75" t="s">
        <v>290</v>
      </c>
      <c r="E21" s="76">
        <v>1041.0700000000002</v>
      </c>
      <c r="F21" s="76">
        <v>12760</v>
      </c>
      <c r="G21" s="76">
        <v>12760</v>
      </c>
      <c r="H21" s="76">
        <v>2041.6</v>
      </c>
      <c r="I21" s="76">
        <v>1148.4000000000001</v>
      </c>
      <c r="J21" s="76">
        <v>63.8</v>
      </c>
      <c r="K21" s="76">
        <v>32.67</v>
      </c>
      <c r="L21" s="76"/>
      <c r="M21" s="76">
        <v>191.4</v>
      </c>
      <c r="N21" s="76">
        <v>893</v>
      </c>
      <c r="O21" s="76">
        <f t="shared" si="0"/>
        <v>4370.8700000000008</v>
      </c>
      <c r="P21" s="76">
        <v>1020.8</v>
      </c>
      <c r="Q21" s="76">
        <v>255.2</v>
      </c>
      <c r="R21" s="76">
        <v>63.8</v>
      </c>
      <c r="S21" s="76"/>
      <c r="T21" s="76"/>
      <c r="U21" s="76">
        <v>893</v>
      </c>
      <c r="V21" s="76">
        <f t="shared" si="1"/>
        <v>2232.8000000000002</v>
      </c>
      <c r="W21" s="76">
        <v>8980.8799999999992</v>
      </c>
      <c r="X21" s="76"/>
      <c r="Y21" s="77">
        <f t="shared" si="2"/>
        <v>16625.62</v>
      </c>
      <c r="AA21" s="75" t="s">
        <v>300</v>
      </c>
      <c r="AB21" s="75" t="s">
        <v>111</v>
      </c>
      <c r="AC21" s="75" t="s">
        <v>292</v>
      </c>
      <c r="AD21" s="78">
        <v>15684.55</v>
      </c>
      <c r="AE21" s="75" t="s">
        <v>293</v>
      </c>
      <c r="AF21" s="78">
        <v>941.07</v>
      </c>
    </row>
    <row r="22" spans="1:32" s="75" customFormat="1" ht="11.4" x14ac:dyDescent="0.25">
      <c r="A22" s="75">
        <v>7</v>
      </c>
      <c r="B22" s="75" t="s">
        <v>301</v>
      </c>
      <c r="C22" s="75" t="s">
        <v>289</v>
      </c>
      <c r="D22" s="75" t="s">
        <v>290</v>
      </c>
      <c r="E22" s="76">
        <v>75.48</v>
      </c>
      <c r="F22" s="76"/>
      <c r="G22" s="76"/>
      <c r="H22" s="76"/>
      <c r="I22" s="76"/>
      <c r="J22" s="76"/>
      <c r="K22" s="76"/>
      <c r="L22" s="76"/>
      <c r="M22" s="76"/>
      <c r="N22" s="76"/>
      <c r="O22" s="76">
        <f t="shared" si="0"/>
        <v>0</v>
      </c>
      <c r="P22" s="76"/>
      <c r="Q22" s="76"/>
      <c r="R22" s="76"/>
      <c r="S22" s="76"/>
      <c r="T22" s="76"/>
      <c r="U22" s="76"/>
      <c r="V22" s="76">
        <f t="shared" si="1"/>
        <v>0</v>
      </c>
      <c r="W22" s="76">
        <v>1258</v>
      </c>
      <c r="X22" s="76"/>
      <c r="Y22" s="77">
        <f t="shared" si="2"/>
        <v>1333.48</v>
      </c>
      <c r="AA22" s="75" t="s">
        <v>302</v>
      </c>
      <c r="AB22" s="75" t="s">
        <v>303</v>
      </c>
      <c r="AC22" s="75" t="s">
        <v>292</v>
      </c>
      <c r="AD22" s="78">
        <v>1258</v>
      </c>
      <c r="AE22" s="75" t="s">
        <v>293</v>
      </c>
      <c r="AF22" s="78">
        <v>75.48</v>
      </c>
    </row>
    <row r="23" spans="1:32" s="75" customFormat="1" ht="11.4" x14ac:dyDescent="0.25">
      <c r="A23" s="75">
        <v>8</v>
      </c>
      <c r="B23" s="75" t="s">
        <v>153</v>
      </c>
      <c r="C23" s="75" t="s">
        <v>289</v>
      </c>
      <c r="D23" s="75" t="s">
        <v>290</v>
      </c>
      <c r="E23" s="76">
        <v>1178.21</v>
      </c>
      <c r="F23" s="76">
        <v>7384</v>
      </c>
      <c r="G23" s="76">
        <v>5109</v>
      </c>
      <c r="H23" s="76">
        <v>1181.44</v>
      </c>
      <c r="I23" s="76">
        <v>664.56</v>
      </c>
      <c r="J23" s="76">
        <v>36.92</v>
      </c>
      <c r="K23" s="76">
        <v>18.899999999999999</v>
      </c>
      <c r="L23" s="76"/>
      <c r="M23" s="76">
        <v>110.76</v>
      </c>
      <c r="N23" s="76">
        <v>358</v>
      </c>
      <c r="O23" s="76">
        <f t="shared" si="0"/>
        <v>2370.58</v>
      </c>
      <c r="P23" s="76">
        <v>590.72</v>
      </c>
      <c r="Q23" s="76">
        <v>147.68</v>
      </c>
      <c r="R23" s="76">
        <v>36.92</v>
      </c>
      <c r="S23" s="76"/>
      <c r="T23" s="76"/>
      <c r="U23" s="76">
        <v>358</v>
      </c>
      <c r="V23" s="76">
        <f t="shared" si="1"/>
        <v>1133.3200000000002</v>
      </c>
      <c r="W23" s="76">
        <v>14366.36</v>
      </c>
      <c r="X23" s="76"/>
      <c r="Y23" s="77">
        <f t="shared" si="2"/>
        <v>19048.47</v>
      </c>
      <c r="AA23" s="75" t="s">
        <v>304</v>
      </c>
      <c r="AB23" s="75" t="s">
        <v>154</v>
      </c>
      <c r="AC23" s="75" t="s">
        <v>292</v>
      </c>
      <c r="AD23" s="78">
        <v>17970.25</v>
      </c>
      <c r="AE23" s="75" t="s">
        <v>293</v>
      </c>
      <c r="AF23" s="78">
        <v>1078.22</v>
      </c>
    </row>
    <row r="24" spans="1:32" s="75" customFormat="1" ht="11.4" x14ac:dyDescent="0.25">
      <c r="A24" s="75">
        <v>9</v>
      </c>
      <c r="B24" s="75" t="s">
        <v>147</v>
      </c>
      <c r="C24" s="75" t="s">
        <v>289</v>
      </c>
      <c r="D24" s="75" t="s">
        <v>290</v>
      </c>
      <c r="E24" s="76">
        <v>1494.07</v>
      </c>
      <c r="F24" s="76">
        <v>13877</v>
      </c>
      <c r="G24" s="76">
        <v>13877</v>
      </c>
      <c r="H24" s="76">
        <v>2220.3200000000002</v>
      </c>
      <c r="I24" s="76">
        <v>1248.94</v>
      </c>
      <c r="J24" s="76">
        <v>69.39</v>
      </c>
      <c r="K24" s="76">
        <v>35.53</v>
      </c>
      <c r="L24" s="76"/>
      <c r="M24" s="76">
        <v>208.16</v>
      </c>
      <c r="N24" s="76">
        <v>971</v>
      </c>
      <c r="O24" s="76">
        <f t="shared" si="0"/>
        <v>4753.34</v>
      </c>
      <c r="P24" s="76">
        <v>1110.1600000000001</v>
      </c>
      <c r="Q24" s="76">
        <v>277.54000000000002</v>
      </c>
      <c r="R24" s="76">
        <v>69.39</v>
      </c>
      <c r="S24" s="76"/>
      <c r="T24" s="76"/>
      <c r="U24" s="76">
        <v>971</v>
      </c>
      <c r="V24" s="76">
        <f t="shared" si="1"/>
        <v>2428.09</v>
      </c>
      <c r="W24" s="76">
        <v>15952.95</v>
      </c>
      <c r="X24" s="76"/>
      <c r="Y24" s="77">
        <f t="shared" si="2"/>
        <v>24628.45</v>
      </c>
      <c r="AA24" s="75" t="s">
        <v>305</v>
      </c>
      <c r="AB24" s="75" t="s">
        <v>148</v>
      </c>
      <c r="AC24" s="75" t="s">
        <v>292</v>
      </c>
      <c r="AD24" s="78">
        <v>23234.39</v>
      </c>
      <c r="AE24" s="75" t="s">
        <v>293</v>
      </c>
      <c r="AF24" s="78">
        <v>1394.06</v>
      </c>
    </row>
    <row r="25" spans="1:32" s="75" customFormat="1" ht="11.4" x14ac:dyDescent="0.25">
      <c r="A25" s="75">
        <v>10</v>
      </c>
      <c r="B25" s="75" t="s">
        <v>140</v>
      </c>
      <c r="C25" s="75" t="s">
        <v>289</v>
      </c>
      <c r="D25" s="75" t="s">
        <v>290</v>
      </c>
      <c r="E25" s="76">
        <v>525.51</v>
      </c>
      <c r="F25" s="76">
        <v>7384</v>
      </c>
      <c r="G25" s="76">
        <v>4880</v>
      </c>
      <c r="H25" s="76">
        <v>1181.44</v>
      </c>
      <c r="I25" s="76">
        <v>664.56</v>
      </c>
      <c r="J25" s="76">
        <v>36.92</v>
      </c>
      <c r="K25" s="76">
        <v>18.899999999999999</v>
      </c>
      <c r="L25" s="76"/>
      <c r="M25" s="76">
        <v>110.76</v>
      </c>
      <c r="N25" s="76">
        <v>342</v>
      </c>
      <c r="O25" s="76">
        <f t="shared" si="0"/>
        <v>2354.58</v>
      </c>
      <c r="P25" s="76">
        <v>590.72</v>
      </c>
      <c r="Q25" s="76">
        <v>147.68</v>
      </c>
      <c r="R25" s="76">
        <v>36.92</v>
      </c>
      <c r="S25" s="76"/>
      <c r="T25" s="76"/>
      <c r="U25" s="76">
        <v>342</v>
      </c>
      <c r="V25" s="76">
        <f t="shared" si="1"/>
        <v>1117.3200000000002</v>
      </c>
      <c r="W25" s="76">
        <v>3520</v>
      </c>
      <c r="X25" s="76"/>
      <c r="Y25" s="77">
        <f t="shared" si="2"/>
        <v>7517.41</v>
      </c>
      <c r="AA25" s="75" t="s">
        <v>306</v>
      </c>
      <c r="AB25" s="75" t="s">
        <v>141</v>
      </c>
      <c r="AC25" s="75" t="s">
        <v>292</v>
      </c>
      <c r="AD25" s="78">
        <v>7091.89</v>
      </c>
      <c r="AE25" s="75" t="s">
        <v>293</v>
      </c>
      <c r="AF25" s="78">
        <v>425.52</v>
      </c>
    </row>
    <row r="26" spans="1:32" s="75" customFormat="1" ht="11.4" x14ac:dyDescent="0.25">
      <c r="A26" s="75">
        <v>11</v>
      </c>
      <c r="B26" s="75" t="s">
        <v>132</v>
      </c>
      <c r="C26" s="75" t="s">
        <v>289</v>
      </c>
      <c r="D26" s="75" t="s">
        <v>290</v>
      </c>
      <c r="E26" s="76">
        <v>440.79</v>
      </c>
      <c r="F26" s="76">
        <v>7384</v>
      </c>
      <c r="G26" s="76">
        <v>4570</v>
      </c>
      <c r="H26" s="76">
        <v>1181.44</v>
      </c>
      <c r="I26" s="76">
        <v>664.56</v>
      </c>
      <c r="J26" s="76">
        <v>36.92</v>
      </c>
      <c r="K26" s="76">
        <v>18.899999999999999</v>
      </c>
      <c r="L26" s="76"/>
      <c r="M26" s="76">
        <v>110.76</v>
      </c>
      <c r="N26" s="76">
        <v>320</v>
      </c>
      <c r="O26" s="76">
        <f t="shared" si="0"/>
        <v>2332.58</v>
      </c>
      <c r="P26" s="76">
        <v>590.72</v>
      </c>
      <c r="Q26" s="76">
        <v>147.68</v>
      </c>
      <c r="R26" s="76">
        <v>36.92</v>
      </c>
      <c r="S26" s="76"/>
      <c r="T26" s="76"/>
      <c r="U26" s="76">
        <v>320</v>
      </c>
      <c r="V26" s="76">
        <f t="shared" si="1"/>
        <v>1095.3200000000002</v>
      </c>
      <c r="W26" s="76">
        <v>2152</v>
      </c>
      <c r="X26" s="76"/>
      <c r="Y26" s="77">
        <f t="shared" si="2"/>
        <v>6020.6900000000005</v>
      </c>
      <c r="AA26" s="75" t="s">
        <v>307</v>
      </c>
      <c r="AB26" s="75" t="s">
        <v>133</v>
      </c>
      <c r="AC26" s="75" t="s">
        <v>292</v>
      </c>
      <c r="AD26" s="78">
        <v>5679.89</v>
      </c>
      <c r="AE26" s="75" t="s">
        <v>293</v>
      </c>
      <c r="AF26" s="78">
        <v>340.8</v>
      </c>
    </row>
    <row r="27" spans="1:32" s="75" customFormat="1" ht="11.4" x14ac:dyDescent="0.25">
      <c r="A27" s="75">
        <v>12</v>
      </c>
      <c r="B27" s="75" t="s">
        <v>114</v>
      </c>
      <c r="C27" s="75" t="s">
        <v>289</v>
      </c>
      <c r="D27" s="75" t="s">
        <v>290</v>
      </c>
      <c r="E27" s="76">
        <v>542.73</v>
      </c>
      <c r="F27" s="76">
        <v>7384</v>
      </c>
      <c r="G27" s="76">
        <v>4289</v>
      </c>
      <c r="H27" s="76">
        <v>1181.44</v>
      </c>
      <c r="I27" s="76">
        <v>664.56</v>
      </c>
      <c r="J27" s="76">
        <v>36.92</v>
      </c>
      <c r="K27" s="76">
        <v>18.899999999999999</v>
      </c>
      <c r="L27" s="76"/>
      <c r="M27" s="76">
        <v>110.76</v>
      </c>
      <c r="N27" s="76">
        <v>300</v>
      </c>
      <c r="O27" s="76">
        <f t="shared" si="0"/>
        <v>2312.58</v>
      </c>
      <c r="P27" s="76">
        <v>590.72</v>
      </c>
      <c r="Q27" s="76">
        <v>147.68</v>
      </c>
      <c r="R27" s="76">
        <v>36.92</v>
      </c>
      <c r="S27" s="76"/>
      <c r="T27" s="76"/>
      <c r="U27" s="76">
        <v>300</v>
      </c>
      <c r="V27" s="76">
        <f t="shared" si="1"/>
        <v>1075.3200000000002</v>
      </c>
      <c r="W27" s="76">
        <v>3891</v>
      </c>
      <c r="X27" s="76"/>
      <c r="Y27" s="77">
        <f t="shared" si="2"/>
        <v>7821.63</v>
      </c>
      <c r="AA27" s="75" t="s">
        <v>308</v>
      </c>
      <c r="AB27" s="75" t="s">
        <v>115</v>
      </c>
      <c r="AC27" s="75" t="s">
        <v>292</v>
      </c>
      <c r="AD27" s="78">
        <v>7378.89</v>
      </c>
      <c r="AE27" s="75" t="s">
        <v>293</v>
      </c>
      <c r="AF27" s="78">
        <v>442.74</v>
      </c>
    </row>
    <row r="28" spans="1:32" s="75" customFormat="1" ht="11.4" x14ac:dyDescent="0.25">
      <c r="A28" s="75">
        <v>13</v>
      </c>
      <c r="B28" s="75" t="s">
        <v>142</v>
      </c>
      <c r="C28" s="75" t="s">
        <v>289</v>
      </c>
      <c r="D28" s="75" t="s">
        <v>290</v>
      </c>
      <c r="E28" s="76">
        <v>566.54999999999995</v>
      </c>
      <c r="F28" s="76">
        <v>7384</v>
      </c>
      <c r="G28" s="76">
        <v>4467</v>
      </c>
      <c r="H28" s="76">
        <v>1181.44</v>
      </c>
      <c r="I28" s="76">
        <v>664.56</v>
      </c>
      <c r="J28" s="76">
        <v>36.92</v>
      </c>
      <c r="K28" s="76">
        <v>18.899999999999999</v>
      </c>
      <c r="L28" s="76"/>
      <c r="M28" s="76">
        <v>110.76</v>
      </c>
      <c r="N28" s="76">
        <v>313</v>
      </c>
      <c r="O28" s="76">
        <f t="shared" si="0"/>
        <v>2325.58</v>
      </c>
      <c r="P28" s="76">
        <v>590.72</v>
      </c>
      <c r="Q28" s="76">
        <v>147.68</v>
      </c>
      <c r="R28" s="76">
        <v>36.92</v>
      </c>
      <c r="S28" s="76"/>
      <c r="T28" s="76"/>
      <c r="U28" s="76">
        <v>313</v>
      </c>
      <c r="V28" s="76">
        <f t="shared" si="1"/>
        <v>1088.3200000000002</v>
      </c>
      <c r="W28" s="76">
        <v>4262</v>
      </c>
      <c r="X28" s="76"/>
      <c r="Y28" s="77">
        <f t="shared" si="2"/>
        <v>8242.4500000000007</v>
      </c>
      <c r="AA28" s="75" t="s">
        <v>309</v>
      </c>
      <c r="AB28" s="75" t="s">
        <v>143</v>
      </c>
      <c r="AC28" s="75" t="s">
        <v>292</v>
      </c>
      <c r="AD28" s="78">
        <v>7775.89</v>
      </c>
      <c r="AE28" s="75" t="s">
        <v>293</v>
      </c>
      <c r="AF28" s="78">
        <v>466.56</v>
      </c>
    </row>
    <row r="29" spans="1:32" s="75" customFormat="1" ht="11.4" x14ac:dyDescent="0.25">
      <c r="A29" s="75">
        <v>14</v>
      </c>
      <c r="B29" s="75" t="s">
        <v>151</v>
      </c>
      <c r="C29" s="75" t="s">
        <v>289</v>
      </c>
      <c r="D29" s="75" t="s">
        <v>290</v>
      </c>
      <c r="E29" s="76">
        <v>1011.58</v>
      </c>
      <c r="F29" s="76">
        <v>8677</v>
      </c>
      <c r="G29" s="76">
        <v>8677</v>
      </c>
      <c r="H29" s="76">
        <v>1388.32</v>
      </c>
      <c r="I29" s="76">
        <v>780.94</v>
      </c>
      <c r="J29" s="76">
        <v>43.39</v>
      </c>
      <c r="K29" s="76">
        <v>22.21</v>
      </c>
      <c r="L29" s="76"/>
      <c r="M29" s="76">
        <v>130.16</v>
      </c>
      <c r="N29" s="76">
        <v>607</v>
      </c>
      <c r="O29" s="76">
        <f t="shared" si="0"/>
        <v>2972.02</v>
      </c>
      <c r="P29" s="76">
        <v>694.16</v>
      </c>
      <c r="Q29" s="76">
        <v>173.54</v>
      </c>
      <c r="R29" s="76">
        <v>43.39</v>
      </c>
      <c r="S29" s="76"/>
      <c r="T29" s="76"/>
      <c r="U29" s="76">
        <v>607</v>
      </c>
      <c r="V29" s="76">
        <f t="shared" si="1"/>
        <v>1518.09</v>
      </c>
      <c r="W29" s="76">
        <v>10602.79</v>
      </c>
      <c r="X29" s="76"/>
      <c r="Y29" s="77">
        <f t="shared" si="2"/>
        <v>16104.48</v>
      </c>
      <c r="AA29" s="75" t="s">
        <v>310</v>
      </c>
      <c r="AB29" s="75" t="s">
        <v>152</v>
      </c>
      <c r="AC29" s="75" t="s">
        <v>292</v>
      </c>
      <c r="AD29" s="78">
        <v>15192.91</v>
      </c>
      <c r="AE29" s="75" t="s">
        <v>293</v>
      </c>
      <c r="AF29" s="78">
        <v>911.57</v>
      </c>
    </row>
    <row r="30" spans="1:32" s="75" customFormat="1" ht="11.4" x14ac:dyDescent="0.25">
      <c r="A30" s="75">
        <v>15</v>
      </c>
      <c r="B30" s="75" t="s">
        <v>128</v>
      </c>
      <c r="C30" s="75" t="s">
        <v>289</v>
      </c>
      <c r="D30" s="75" t="s">
        <v>290</v>
      </c>
      <c r="E30" s="76">
        <v>703.73</v>
      </c>
      <c r="F30" s="76">
        <v>7384</v>
      </c>
      <c r="G30" s="76">
        <v>7189</v>
      </c>
      <c r="H30" s="76">
        <v>1181.44</v>
      </c>
      <c r="I30" s="76">
        <v>664.56</v>
      </c>
      <c r="J30" s="76">
        <v>36.92</v>
      </c>
      <c r="K30" s="76">
        <v>18.899999999999999</v>
      </c>
      <c r="L30" s="76"/>
      <c r="M30" s="76">
        <v>110.76</v>
      </c>
      <c r="N30" s="76">
        <v>503</v>
      </c>
      <c r="O30" s="76">
        <f t="shared" si="0"/>
        <v>2515.58</v>
      </c>
      <c r="P30" s="76">
        <v>590.72</v>
      </c>
      <c r="Q30" s="76">
        <v>147.68</v>
      </c>
      <c r="R30" s="76">
        <v>36.92</v>
      </c>
      <c r="S30" s="76"/>
      <c r="T30" s="76"/>
      <c r="U30" s="76">
        <v>503</v>
      </c>
      <c r="V30" s="76">
        <f t="shared" si="1"/>
        <v>1278.3200000000002</v>
      </c>
      <c r="W30" s="76">
        <v>6168.36</v>
      </c>
      <c r="X30" s="76"/>
      <c r="Y30" s="77">
        <f t="shared" si="2"/>
        <v>10665.99</v>
      </c>
      <c r="AA30" s="75" t="s">
        <v>311</v>
      </c>
      <c r="AB30" s="75" t="s">
        <v>129</v>
      </c>
      <c r="AC30" s="75" t="s">
        <v>292</v>
      </c>
      <c r="AD30" s="78">
        <v>10062.25</v>
      </c>
      <c r="AE30" s="75" t="s">
        <v>293</v>
      </c>
      <c r="AF30" s="78">
        <v>603.74</v>
      </c>
    </row>
    <row r="31" spans="1:32" s="75" customFormat="1" ht="11.4" x14ac:dyDescent="0.25">
      <c r="A31" s="75">
        <v>16</v>
      </c>
      <c r="B31" s="75" t="s">
        <v>149</v>
      </c>
      <c r="C31" s="75" t="s">
        <v>289</v>
      </c>
      <c r="D31" s="75" t="s">
        <v>290</v>
      </c>
      <c r="E31" s="76">
        <v>1261.1500000000001</v>
      </c>
      <c r="F31" s="76">
        <v>8878</v>
      </c>
      <c r="G31" s="76">
        <v>8878</v>
      </c>
      <c r="H31" s="76">
        <v>1420.48</v>
      </c>
      <c r="I31" s="76">
        <v>799.02</v>
      </c>
      <c r="J31" s="76">
        <v>44.39</v>
      </c>
      <c r="K31" s="76">
        <v>22.73</v>
      </c>
      <c r="L31" s="76"/>
      <c r="M31" s="76">
        <v>133.16999999999999</v>
      </c>
      <c r="N31" s="76">
        <v>621</v>
      </c>
      <c r="O31" s="76">
        <f t="shared" si="0"/>
        <v>3040.79</v>
      </c>
      <c r="P31" s="76">
        <v>710.24</v>
      </c>
      <c r="Q31" s="76">
        <v>177.56</v>
      </c>
      <c r="R31" s="76">
        <v>44.39</v>
      </c>
      <c r="S31" s="76"/>
      <c r="T31" s="76"/>
      <c r="U31" s="76">
        <v>621</v>
      </c>
      <c r="V31" s="76">
        <f t="shared" si="1"/>
        <v>1553.19</v>
      </c>
      <c r="W31" s="76">
        <v>14658.49</v>
      </c>
      <c r="X31" s="76"/>
      <c r="Y31" s="77">
        <f t="shared" si="2"/>
        <v>20513.620000000003</v>
      </c>
      <c r="AA31" s="75" t="s">
        <v>312</v>
      </c>
      <c r="AB31" s="75" t="s">
        <v>150</v>
      </c>
      <c r="AC31" s="75" t="s">
        <v>292</v>
      </c>
      <c r="AD31" s="78">
        <v>19352.490000000002</v>
      </c>
      <c r="AE31" s="75" t="s">
        <v>293</v>
      </c>
      <c r="AF31" s="78">
        <v>1161.1300000000001</v>
      </c>
    </row>
    <row r="32" spans="1:32" s="75" customFormat="1" ht="11.4" x14ac:dyDescent="0.25">
      <c r="A32" s="75">
        <v>17</v>
      </c>
      <c r="B32" s="75" t="s">
        <v>138</v>
      </c>
      <c r="C32" s="75" t="s">
        <v>289</v>
      </c>
      <c r="D32" s="75" t="s">
        <v>290</v>
      </c>
      <c r="E32" s="76">
        <v>578.14</v>
      </c>
      <c r="F32" s="76">
        <v>7384</v>
      </c>
      <c r="G32" s="76">
        <v>7034</v>
      </c>
      <c r="H32" s="76">
        <v>1181.44</v>
      </c>
      <c r="I32" s="76">
        <v>664.56</v>
      </c>
      <c r="J32" s="76">
        <v>36.92</v>
      </c>
      <c r="K32" s="76">
        <v>18.899999999999999</v>
      </c>
      <c r="L32" s="76"/>
      <c r="M32" s="76">
        <v>110.76</v>
      </c>
      <c r="N32" s="76">
        <v>492</v>
      </c>
      <c r="O32" s="76">
        <f t="shared" si="0"/>
        <v>2504.58</v>
      </c>
      <c r="P32" s="76">
        <v>590.72</v>
      </c>
      <c r="Q32" s="76">
        <v>147.68</v>
      </c>
      <c r="R32" s="76">
        <v>36.92</v>
      </c>
      <c r="S32" s="76"/>
      <c r="T32" s="76"/>
      <c r="U32" s="76">
        <v>492</v>
      </c>
      <c r="V32" s="76">
        <f t="shared" si="1"/>
        <v>1267.3200000000002</v>
      </c>
      <c r="W32" s="76">
        <v>4097.24</v>
      </c>
      <c r="X32" s="76"/>
      <c r="Y32" s="77">
        <f t="shared" si="2"/>
        <v>8447.2799999999988</v>
      </c>
      <c r="AA32" s="75" t="s">
        <v>313</v>
      </c>
      <c r="AB32" s="75" t="s">
        <v>139</v>
      </c>
      <c r="AC32" s="75" t="s">
        <v>292</v>
      </c>
      <c r="AD32" s="78">
        <v>7969.13</v>
      </c>
      <c r="AE32" s="75" t="s">
        <v>293</v>
      </c>
      <c r="AF32" s="78">
        <v>478.15</v>
      </c>
    </row>
    <row r="33" spans="1:32" s="75" customFormat="1" ht="11.4" x14ac:dyDescent="0.25">
      <c r="A33" s="75">
        <v>18</v>
      </c>
      <c r="B33" s="75" t="s">
        <v>101</v>
      </c>
      <c r="C33" s="75" t="s">
        <v>289</v>
      </c>
      <c r="D33" s="75" t="s">
        <v>314</v>
      </c>
      <c r="E33" s="76">
        <v>555.72</v>
      </c>
      <c r="F33" s="76">
        <v>7384</v>
      </c>
      <c r="G33" s="76">
        <v>2690</v>
      </c>
      <c r="H33" s="76">
        <v>1181.44</v>
      </c>
      <c r="I33" s="76">
        <v>664.56</v>
      </c>
      <c r="J33" s="76">
        <v>36.92</v>
      </c>
      <c r="K33" s="76">
        <v>18.899999999999999</v>
      </c>
      <c r="L33" s="76"/>
      <c r="M33" s="76">
        <v>110.76</v>
      </c>
      <c r="N33" s="76">
        <v>188</v>
      </c>
      <c r="O33" s="76">
        <f t="shared" si="0"/>
        <v>2200.58</v>
      </c>
      <c r="P33" s="76">
        <v>590.72</v>
      </c>
      <c r="Q33" s="76">
        <v>147.68</v>
      </c>
      <c r="R33" s="76">
        <v>36.92</v>
      </c>
      <c r="S33" s="76"/>
      <c r="T33" s="76"/>
      <c r="U33" s="76">
        <v>188</v>
      </c>
      <c r="V33" s="76">
        <f t="shared" si="1"/>
        <v>963.32</v>
      </c>
      <c r="W33" s="76">
        <v>4331.4799999999996</v>
      </c>
      <c r="X33" s="76"/>
      <c r="Y33" s="77">
        <f t="shared" si="2"/>
        <v>8051.1</v>
      </c>
      <c r="AA33" s="75" t="s">
        <v>315</v>
      </c>
      <c r="AB33" s="75" t="s">
        <v>99</v>
      </c>
      <c r="AC33" s="75" t="s">
        <v>292</v>
      </c>
      <c r="AD33" s="78">
        <v>7595.37</v>
      </c>
      <c r="AE33" s="75" t="s">
        <v>293</v>
      </c>
      <c r="AF33" s="78">
        <v>455.73</v>
      </c>
    </row>
    <row r="34" spans="1:32" s="75" customFormat="1" ht="11.4" x14ac:dyDescent="0.25">
      <c r="A34" s="75">
        <v>19</v>
      </c>
      <c r="B34" s="75" t="s">
        <v>118</v>
      </c>
      <c r="C34" s="75" t="s">
        <v>289</v>
      </c>
      <c r="D34" s="75" t="s">
        <v>290</v>
      </c>
      <c r="E34" s="76">
        <v>519.99</v>
      </c>
      <c r="F34" s="76">
        <v>7384</v>
      </c>
      <c r="G34" s="76">
        <v>5300</v>
      </c>
      <c r="H34" s="76">
        <v>1181.44</v>
      </c>
      <c r="I34" s="76">
        <v>664.56</v>
      </c>
      <c r="J34" s="76">
        <v>36.92</v>
      </c>
      <c r="K34" s="76">
        <v>18.899999999999999</v>
      </c>
      <c r="L34" s="76"/>
      <c r="M34" s="76">
        <v>110.76</v>
      </c>
      <c r="N34" s="76">
        <v>371</v>
      </c>
      <c r="O34" s="76">
        <f t="shared" si="0"/>
        <v>2383.58</v>
      </c>
      <c r="P34" s="76">
        <v>590.72</v>
      </c>
      <c r="Q34" s="76">
        <v>147.68</v>
      </c>
      <c r="R34" s="76">
        <v>36.92</v>
      </c>
      <c r="S34" s="76"/>
      <c r="T34" s="76"/>
      <c r="U34" s="76">
        <v>371</v>
      </c>
      <c r="V34" s="76">
        <f t="shared" si="1"/>
        <v>1146.3200000000002</v>
      </c>
      <c r="W34" s="76">
        <v>3370</v>
      </c>
      <c r="X34" s="76"/>
      <c r="Y34" s="77">
        <f t="shared" si="2"/>
        <v>7419.8899999999994</v>
      </c>
      <c r="AA34" s="75" t="s">
        <v>316</v>
      </c>
      <c r="AB34" s="75" t="s">
        <v>119</v>
      </c>
      <c r="AC34" s="75" t="s">
        <v>292</v>
      </c>
      <c r="AD34" s="78">
        <v>6999.89</v>
      </c>
      <c r="AE34" s="75" t="s">
        <v>293</v>
      </c>
      <c r="AF34" s="78">
        <v>420</v>
      </c>
    </row>
    <row r="35" spans="1:32" s="75" customFormat="1" ht="11.4" x14ac:dyDescent="0.25">
      <c r="A35" s="75">
        <v>20</v>
      </c>
      <c r="B35" s="75" t="s">
        <v>124</v>
      </c>
      <c r="C35" s="75" t="s">
        <v>289</v>
      </c>
      <c r="D35" s="75" t="s">
        <v>290</v>
      </c>
      <c r="E35" s="76">
        <v>681.7</v>
      </c>
      <c r="F35" s="76">
        <v>7556</v>
      </c>
      <c r="G35" s="76">
        <v>7556</v>
      </c>
      <c r="H35" s="76">
        <v>1208.96</v>
      </c>
      <c r="I35" s="76">
        <v>680.04</v>
      </c>
      <c r="J35" s="76">
        <v>37.78</v>
      </c>
      <c r="K35" s="76">
        <v>19.34</v>
      </c>
      <c r="L35" s="76"/>
      <c r="M35" s="76">
        <v>113.34</v>
      </c>
      <c r="N35" s="76">
        <v>529</v>
      </c>
      <c r="O35" s="76">
        <f t="shared" si="0"/>
        <v>2588.46</v>
      </c>
      <c r="P35" s="76">
        <v>604.48</v>
      </c>
      <c r="Q35" s="76">
        <v>151.12</v>
      </c>
      <c r="R35" s="76">
        <v>37.78</v>
      </c>
      <c r="S35" s="76"/>
      <c r="T35" s="76"/>
      <c r="U35" s="76">
        <v>529</v>
      </c>
      <c r="V35" s="76">
        <f t="shared" si="1"/>
        <v>1322.38</v>
      </c>
      <c r="W35" s="76">
        <v>5684.22</v>
      </c>
      <c r="X35" s="76"/>
      <c r="Y35" s="77">
        <f t="shared" si="2"/>
        <v>10276.76</v>
      </c>
      <c r="AA35" s="75" t="s">
        <v>317</v>
      </c>
      <c r="AB35" s="75" t="s">
        <v>125</v>
      </c>
      <c r="AC35" s="75" t="s">
        <v>292</v>
      </c>
      <c r="AD35" s="78">
        <v>9695.0499999999993</v>
      </c>
      <c r="AE35" s="75" t="s">
        <v>293</v>
      </c>
      <c r="AF35" s="78">
        <v>581.71</v>
      </c>
    </row>
    <row r="36" spans="1:32" s="75" customFormat="1" ht="11.4" x14ac:dyDescent="0.25">
      <c r="A36" s="75">
        <v>21</v>
      </c>
      <c r="B36" s="75" t="s">
        <v>167</v>
      </c>
      <c r="C36" s="75" t="s">
        <v>289</v>
      </c>
      <c r="D36" s="75" t="s">
        <v>290</v>
      </c>
      <c r="E36" s="76">
        <v>17.48</v>
      </c>
      <c r="F36" s="76"/>
      <c r="G36" s="76"/>
      <c r="H36" s="76"/>
      <c r="I36" s="76"/>
      <c r="J36" s="76"/>
      <c r="K36" s="76"/>
      <c r="L36" s="76"/>
      <c r="M36" s="76"/>
      <c r="N36" s="76"/>
      <c r="O36" s="76">
        <f t="shared" si="0"/>
        <v>0</v>
      </c>
      <c r="P36" s="76"/>
      <c r="Q36" s="76"/>
      <c r="R36" s="76"/>
      <c r="S36" s="76"/>
      <c r="T36" s="76"/>
      <c r="U36" s="76"/>
      <c r="V36" s="76">
        <f t="shared" si="1"/>
        <v>0</v>
      </c>
      <c r="W36" s="76">
        <v>291.3</v>
      </c>
      <c r="X36" s="76"/>
      <c r="Y36" s="77">
        <f t="shared" si="2"/>
        <v>308.78000000000003</v>
      </c>
      <c r="AA36" s="75" t="s">
        <v>318</v>
      </c>
      <c r="AB36" s="75" t="s">
        <v>319</v>
      </c>
      <c r="AC36" s="75" t="s">
        <v>292</v>
      </c>
      <c r="AD36" s="78">
        <v>291.3</v>
      </c>
      <c r="AE36" s="75" t="s">
        <v>293</v>
      </c>
      <c r="AF36" s="78">
        <v>17.48</v>
      </c>
    </row>
    <row r="37" spans="1:32" s="75" customFormat="1" ht="11.4" x14ac:dyDescent="0.25">
      <c r="A37" s="75">
        <v>22</v>
      </c>
      <c r="B37" s="75" t="s">
        <v>170</v>
      </c>
      <c r="C37" s="75" t="s">
        <v>289</v>
      </c>
      <c r="D37" s="75" t="s">
        <v>290</v>
      </c>
      <c r="E37" s="76">
        <v>664.78</v>
      </c>
      <c r="F37" s="76">
        <v>7384</v>
      </c>
      <c r="G37" s="76">
        <v>2690</v>
      </c>
      <c r="H37" s="76">
        <v>1181.44</v>
      </c>
      <c r="I37" s="76">
        <v>664.56</v>
      </c>
      <c r="J37" s="76">
        <v>36.92</v>
      </c>
      <c r="K37" s="76">
        <v>18.899999999999999</v>
      </c>
      <c r="L37" s="76"/>
      <c r="M37" s="76">
        <v>110.76</v>
      </c>
      <c r="N37" s="76">
        <v>188</v>
      </c>
      <c r="O37" s="76">
        <f t="shared" si="0"/>
        <v>2200.58</v>
      </c>
      <c r="P37" s="76">
        <v>590.72</v>
      </c>
      <c r="Q37" s="76">
        <v>147.68</v>
      </c>
      <c r="R37" s="76">
        <v>36.92</v>
      </c>
      <c r="S37" s="76"/>
      <c r="T37" s="76"/>
      <c r="U37" s="76">
        <v>188</v>
      </c>
      <c r="V37" s="76">
        <f t="shared" si="1"/>
        <v>963.32</v>
      </c>
      <c r="W37" s="76">
        <v>6149.12</v>
      </c>
      <c r="X37" s="76"/>
      <c r="Y37" s="77">
        <f t="shared" si="2"/>
        <v>9977.7999999999993</v>
      </c>
      <c r="AA37" s="75" t="s">
        <v>320</v>
      </c>
      <c r="AB37" s="75" t="s">
        <v>171</v>
      </c>
      <c r="AC37" s="75" t="s">
        <v>292</v>
      </c>
      <c r="AD37" s="78">
        <v>9413.01</v>
      </c>
      <c r="AE37" s="75" t="s">
        <v>293</v>
      </c>
      <c r="AF37" s="78">
        <v>564.79</v>
      </c>
    </row>
    <row r="38" spans="1:32" s="75" customFormat="1" ht="11.4" x14ac:dyDescent="0.25">
      <c r="A38" s="75">
        <v>23</v>
      </c>
      <c r="B38" s="75" t="s">
        <v>145</v>
      </c>
      <c r="C38" s="75" t="s">
        <v>289</v>
      </c>
      <c r="D38" s="75" t="s">
        <v>290</v>
      </c>
      <c r="E38" s="76">
        <v>588.80999999999995</v>
      </c>
      <c r="F38" s="76">
        <v>7384</v>
      </c>
      <c r="G38" s="76">
        <v>4492</v>
      </c>
      <c r="H38" s="76">
        <v>1181.44</v>
      </c>
      <c r="I38" s="76">
        <v>664.56</v>
      </c>
      <c r="J38" s="76">
        <v>36.92</v>
      </c>
      <c r="K38" s="76">
        <v>18.899999999999999</v>
      </c>
      <c r="L38" s="76"/>
      <c r="M38" s="76">
        <v>110.76</v>
      </c>
      <c r="N38" s="76">
        <v>314</v>
      </c>
      <c r="O38" s="76">
        <f t="shared" si="0"/>
        <v>2326.58</v>
      </c>
      <c r="P38" s="76">
        <v>590.72</v>
      </c>
      <c r="Q38" s="76">
        <v>147.68</v>
      </c>
      <c r="R38" s="76">
        <v>36.92</v>
      </c>
      <c r="S38" s="76"/>
      <c r="T38" s="76"/>
      <c r="U38" s="76">
        <v>314</v>
      </c>
      <c r="V38" s="76">
        <f t="shared" si="1"/>
        <v>1089.3200000000002</v>
      </c>
      <c r="W38" s="76">
        <v>4630.92</v>
      </c>
      <c r="X38" s="76"/>
      <c r="Y38" s="77">
        <f t="shared" si="2"/>
        <v>8635.630000000001</v>
      </c>
      <c r="AA38" s="75" t="s">
        <v>321</v>
      </c>
      <c r="AB38" s="75" t="s">
        <v>146</v>
      </c>
      <c r="AC38" s="75" t="s">
        <v>292</v>
      </c>
      <c r="AD38" s="78">
        <v>8146.81</v>
      </c>
      <c r="AE38" s="75" t="s">
        <v>293</v>
      </c>
      <c r="AF38" s="78">
        <v>488.82</v>
      </c>
    </row>
    <row r="39" spans="1:32" s="75" customFormat="1" ht="11.4" x14ac:dyDescent="0.25">
      <c r="A39" s="75">
        <v>24</v>
      </c>
      <c r="B39" s="75" t="s">
        <v>136</v>
      </c>
      <c r="C39" s="75" t="s">
        <v>289</v>
      </c>
      <c r="D39" s="75" t="s">
        <v>290</v>
      </c>
      <c r="E39" s="76">
        <v>567.41</v>
      </c>
      <c r="F39" s="76">
        <v>7384</v>
      </c>
      <c r="G39" s="76">
        <v>6353</v>
      </c>
      <c r="H39" s="76">
        <v>1181.44</v>
      </c>
      <c r="I39" s="76">
        <v>664.56</v>
      </c>
      <c r="J39" s="76">
        <v>36.92</v>
      </c>
      <c r="K39" s="76">
        <v>18.899999999999999</v>
      </c>
      <c r="L39" s="76"/>
      <c r="M39" s="76">
        <v>110.76</v>
      </c>
      <c r="N39" s="76">
        <v>445</v>
      </c>
      <c r="O39" s="76">
        <f t="shared" si="0"/>
        <v>2457.58</v>
      </c>
      <c r="P39" s="76">
        <v>590.72</v>
      </c>
      <c r="Q39" s="76">
        <v>147.68</v>
      </c>
      <c r="R39" s="76">
        <v>36.92</v>
      </c>
      <c r="S39" s="76"/>
      <c r="T39" s="76"/>
      <c r="U39" s="76">
        <v>445</v>
      </c>
      <c r="V39" s="76">
        <f t="shared" si="1"/>
        <v>1220.3200000000002</v>
      </c>
      <c r="W39" s="76">
        <v>4012.32</v>
      </c>
      <c r="X39" s="76"/>
      <c r="Y39" s="77">
        <f t="shared" si="2"/>
        <v>8257.6299999999992</v>
      </c>
      <c r="AA39" s="75" t="s">
        <v>322</v>
      </c>
      <c r="AB39" s="75" t="s">
        <v>137</v>
      </c>
      <c r="AC39" s="75" t="s">
        <v>292</v>
      </c>
      <c r="AD39" s="78">
        <v>7790.21</v>
      </c>
      <c r="AE39" s="75" t="s">
        <v>293</v>
      </c>
      <c r="AF39" s="78">
        <v>467.42</v>
      </c>
    </row>
    <row r="40" spans="1:32" s="75" customFormat="1" ht="11.4" x14ac:dyDescent="0.25">
      <c r="A40" s="75">
        <v>25</v>
      </c>
      <c r="B40" s="75" t="s">
        <v>215</v>
      </c>
      <c r="C40" s="75" t="s">
        <v>289</v>
      </c>
      <c r="D40" s="75" t="s">
        <v>296</v>
      </c>
      <c r="E40" s="76">
        <v>784.27</v>
      </c>
      <c r="F40" s="76">
        <v>7384</v>
      </c>
      <c r="G40" s="76">
        <v>2690</v>
      </c>
      <c r="H40" s="76">
        <v>1181.44</v>
      </c>
      <c r="I40" s="76">
        <v>664.56</v>
      </c>
      <c r="J40" s="76">
        <v>36.92</v>
      </c>
      <c r="K40" s="76">
        <v>18.899999999999999</v>
      </c>
      <c r="L40" s="76"/>
      <c r="M40" s="76">
        <v>110.76</v>
      </c>
      <c r="N40" s="76">
        <v>188</v>
      </c>
      <c r="O40" s="76">
        <f t="shared" si="0"/>
        <v>2200.58</v>
      </c>
      <c r="P40" s="76">
        <v>590.72</v>
      </c>
      <c r="Q40" s="76">
        <v>147.68</v>
      </c>
      <c r="R40" s="76">
        <v>36.92</v>
      </c>
      <c r="S40" s="76"/>
      <c r="T40" s="76"/>
      <c r="U40" s="76">
        <v>188</v>
      </c>
      <c r="V40" s="76">
        <f t="shared" si="1"/>
        <v>963.32</v>
      </c>
      <c r="W40" s="76">
        <v>8140.6</v>
      </c>
      <c r="X40" s="76"/>
      <c r="Y40" s="77">
        <f t="shared" si="2"/>
        <v>12088.77</v>
      </c>
      <c r="AA40" s="75" t="s">
        <v>323</v>
      </c>
      <c r="AB40" s="75" t="s">
        <v>216</v>
      </c>
      <c r="AC40" s="75" t="s">
        <v>292</v>
      </c>
      <c r="AD40" s="78">
        <v>11404.49</v>
      </c>
      <c r="AE40" s="75" t="s">
        <v>293</v>
      </c>
      <c r="AF40" s="78">
        <v>684.28</v>
      </c>
    </row>
    <row r="41" spans="1:32" s="75" customFormat="1" ht="11.4" x14ac:dyDescent="0.25">
      <c r="A41" s="75">
        <v>26</v>
      </c>
      <c r="B41" s="75" t="s">
        <v>106</v>
      </c>
      <c r="C41" s="75" t="s">
        <v>289</v>
      </c>
      <c r="D41" s="75" t="s">
        <v>290</v>
      </c>
      <c r="E41" s="76">
        <v>723.85</v>
      </c>
      <c r="F41" s="76">
        <v>7384</v>
      </c>
      <c r="G41" s="76">
        <v>6878</v>
      </c>
      <c r="H41" s="76">
        <v>1181.44</v>
      </c>
      <c r="I41" s="76">
        <v>664.56</v>
      </c>
      <c r="J41" s="76">
        <v>36.92</v>
      </c>
      <c r="K41" s="76">
        <v>18.899999999999999</v>
      </c>
      <c r="L41" s="76"/>
      <c r="M41" s="76">
        <v>110.76</v>
      </c>
      <c r="N41" s="76">
        <v>481</v>
      </c>
      <c r="O41" s="76">
        <f t="shared" si="0"/>
        <v>2493.58</v>
      </c>
      <c r="P41" s="76">
        <v>590.72</v>
      </c>
      <c r="Q41" s="76">
        <v>147.68</v>
      </c>
      <c r="R41" s="76">
        <v>36.92</v>
      </c>
      <c r="S41" s="76"/>
      <c r="T41" s="76"/>
      <c r="U41" s="76">
        <v>481</v>
      </c>
      <c r="V41" s="76">
        <f t="shared" si="1"/>
        <v>1256.3200000000002</v>
      </c>
      <c r="W41" s="76">
        <v>6547.64</v>
      </c>
      <c r="X41" s="76"/>
      <c r="Y41" s="77">
        <f t="shared" si="2"/>
        <v>11021.39</v>
      </c>
      <c r="AA41" s="75" t="s">
        <v>324</v>
      </c>
      <c r="AB41" s="75" t="s">
        <v>107</v>
      </c>
      <c r="AC41" s="75" t="s">
        <v>292</v>
      </c>
      <c r="AD41" s="78">
        <v>10397.530000000001</v>
      </c>
      <c r="AE41" s="75" t="s">
        <v>293</v>
      </c>
      <c r="AF41" s="78">
        <v>623.86</v>
      </c>
    </row>
    <row r="42" spans="1:32" s="75" customFormat="1" ht="11.4" x14ac:dyDescent="0.25">
      <c r="A42" s="75">
        <v>27</v>
      </c>
      <c r="B42" s="75" t="s">
        <v>161</v>
      </c>
      <c r="C42" s="75" t="s">
        <v>289</v>
      </c>
      <c r="D42" s="75" t="s">
        <v>290</v>
      </c>
      <c r="E42" s="76">
        <v>784.63</v>
      </c>
      <c r="F42" s="76">
        <v>7384</v>
      </c>
      <c r="G42" s="76">
        <v>5402</v>
      </c>
      <c r="H42" s="76">
        <v>1181.44</v>
      </c>
      <c r="I42" s="76">
        <v>664.56</v>
      </c>
      <c r="J42" s="76">
        <v>36.92</v>
      </c>
      <c r="K42" s="76">
        <v>18.899999999999999</v>
      </c>
      <c r="L42" s="76"/>
      <c r="M42" s="76">
        <v>110.76</v>
      </c>
      <c r="N42" s="76">
        <v>378</v>
      </c>
      <c r="O42" s="76">
        <f t="shared" si="0"/>
        <v>2390.58</v>
      </c>
      <c r="P42" s="76">
        <v>590.72</v>
      </c>
      <c r="Q42" s="76">
        <v>147.68</v>
      </c>
      <c r="R42" s="76">
        <v>36.92</v>
      </c>
      <c r="S42" s="76"/>
      <c r="T42" s="76"/>
      <c r="U42" s="76">
        <v>378</v>
      </c>
      <c r="V42" s="76">
        <f t="shared" si="1"/>
        <v>1153.3200000000002</v>
      </c>
      <c r="W42" s="76">
        <v>7766.6</v>
      </c>
      <c r="X42" s="76"/>
      <c r="Y42" s="77">
        <f t="shared" si="2"/>
        <v>12095.130000000001</v>
      </c>
      <c r="AA42" s="75" t="s">
        <v>325</v>
      </c>
      <c r="AB42" s="75" t="s">
        <v>162</v>
      </c>
      <c r="AC42" s="75" t="s">
        <v>292</v>
      </c>
      <c r="AD42" s="78">
        <v>11410.49</v>
      </c>
      <c r="AE42" s="75" t="s">
        <v>293</v>
      </c>
      <c r="AF42" s="78">
        <v>684.64</v>
      </c>
    </row>
    <row r="43" spans="1:32" s="75" customFormat="1" ht="11.4" x14ac:dyDescent="0.25">
      <c r="A43" s="75">
        <v>28</v>
      </c>
      <c r="B43" s="75" t="s">
        <v>100</v>
      </c>
      <c r="C43" s="75" t="s">
        <v>289</v>
      </c>
      <c r="D43" s="75" t="s">
        <v>314</v>
      </c>
      <c r="E43" s="76">
        <v>551.54999999999995</v>
      </c>
      <c r="F43" s="76">
        <v>7384</v>
      </c>
      <c r="G43" s="76">
        <v>2690</v>
      </c>
      <c r="H43" s="76">
        <v>1181.44</v>
      </c>
      <c r="I43" s="76">
        <v>664.56</v>
      </c>
      <c r="J43" s="76">
        <v>36.92</v>
      </c>
      <c r="K43" s="76">
        <v>18.899999999999999</v>
      </c>
      <c r="L43" s="76"/>
      <c r="M43" s="76">
        <v>110.76</v>
      </c>
      <c r="N43" s="76">
        <v>188</v>
      </c>
      <c r="O43" s="76">
        <f t="shared" si="0"/>
        <v>2200.58</v>
      </c>
      <c r="P43" s="76">
        <v>590.72</v>
      </c>
      <c r="Q43" s="76">
        <v>147.68</v>
      </c>
      <c r="R43" s="76">
        <v>36.92</v>
      </c>
      <c r="S43" s="76"/>
      <c r="T43" s="76"/>
      <c r="U43" s="76">
        <v>188</v>
      </c>
      <c r="V43" s="76">
        <f t="shared" si="1"/>
        <v>963.32</v>
      </c>
      <c r="W43" s="76">
        <v>4262</v>
      </c>
      <c r="X43" s="76"/>
      <c r="Y43" s="77">
        <f t="shared" si="2"/>
        <v>7977.4500000000007</v>
      </c>
      <c r="AA43" s="75" t="s">
        <v>326</v>
      </c>
      <c r="AB43" s="75" t="s">
        <v>94</v>
      </c>
      <c r="AC43" s="75" t="s">
        <v>292</v>
      </c>
      <c r="AD43" s="78">
        <v>7525.89</v>
      </c>
      <c r="AE43" s="75" t="s">
        <v>293</v>
      </c>
      <c r="AF43" s="78">
        <v>451.56</v>
      </c>
    </row>
    <row r="44" spans="1:32" s="75" customFormat="1" ht="11.4" x14ac:dyDescent="0.25">
      <c r="A44" s="75">
        <v>29</v>
      </c>
      <c r="B44" s="75" t="s">
        <v>97</v>
      </c>
      <c r="C44" s="75" t="s">
        <v>289</v>
      </c>
      <c r="D44" s="75" t="s">
        <v>314</v>
      </c>
      <c r="E44" s="76">
        <v>744.37</v>
      </c>
      <c r="F44" s="76">
        <v>7384</v>
      </c>
      <c r="G44" s="76">
        <v>2690</v>
      </c>
      <c r="H44" s="76">
        <v>1181.44</v>
      </c>
      <c r="I44" s="76">
        <v>664.56</v>
      </c>
      <c r="J44" s="76">
        <v>36.92</v>
      </c>
      <c r="K44" s="76">
        <v>18.899999999999999</v>
      </c>
      <c r="L44" s="76"/>
      <c r="M44" s="76">
        <v>110.76</v>
      </c>
      <c r="N44" s="76">
        <v>188</v>
      </c>
      <c r="O44" s="76">
        <f t="shared" si="0"/>
        <v>2200.58</v>
      </c>
      <c r="P44" s="76">
        <v>590.72</v>
      </c>
      <c r="Q44" s="76">
        <v>147.68</v>
      </c>
      <c r="R44" s="76">
        <v>36.92</v>
      </c>
      <c r="S44" s="76"/>
      <c r="T44" s="76"/>
      <c r="U44" s="76">
        <v>188</v>
      </c>
      <c r="V44" s="76">
        <f t="shared" si="1"/>
        <v>963.32</v>
      </c>
      <c r="W44" s="76">
        <v>7475.6</v>
      </c>
      <c r="X44" s="76"/>
      <c r="Y44" s="77">
        <f t="shared" si="2"/>
        <v>11383.87</v>
      </c>
      <c r="AA44" s="75" t="s">
        <v>327</v>
      </c>
      <c r="AB44" s="75" t="s">
        <v>98</v>
      </c>
      <c r="AC44" s="75" t="s">
        <v>292</v>
      </c>
      <c r="AD44" s="78">
        <v>10739.49</v>
      </c>
      <c r="AE44" s="75" t="s">
        <v>293</v>
      </c>
      <c r="AF44" s="78">
        <v>644.38</v>
      </c>
    </row>
    <row r="45" spans="1:32" s="75" customFormat="1" ht="11.4" x14ac:dyDescent="0.25">
      <c r="A45" s="75">
        <v>30</v>
      </c>
      <c r="B45" s="75" t="s">
        <v>112</v>
      </c>
      <c r="C45" s="75" t="s">
        <v>289</v>
      </c>
      <c r="D45" s="75" t="s">
        <v>290</v>
      </c>
      <c r="E45" s="76">
        <v>657.45</v>
      </c>
      <c r="F45" s="76">
        <v>7384</v>
      </c>
      <c r="G45" s="76">
        <v>4668</v>
      </c>
      <c r="H45" s="76">
        <v>1181.44</v>
      </c>
      <c r="I45" s="76">
        <v>664.56</v>
      </c>
      <c r="J45" s="76">
        <v>36.92</v>
      </c>
      <c r="K45" s="76">
        <v>18.899999999999999</v>
      </c>
      <c r="L45" s="76"/>
      <c r="M45" s="76">
        <v>110.76</v>
      </c>
      <c r="N45" s="76">
        <v>327</v>
      </c>
      <c r="O45" s="76">
        <f t="shared" si="0"/>
        <v>2339.58</v>
      </c>
      <c r="P45" s="76">
        <v>590.72</v>
      </c>
      <c r="Q45" s="76">
        <v>147.68</v>
      </c>
      <c r="R45" s="76">
        <v>36.92</v>
      </c>
      <c r="S45" s="76"/>
      <c r="T45" s="76"/>
      <c r="U45" s="76">
        <v>327</v>
      </c>
      <c r="V45" s="76">
        <f t="shared" si="1"/>
        <v>1102.3200000000002</v>
      </c>
      <c r="W45" s="76">
        <v>5749.04</v>
      </c>
      <c r="X45" s="76"/>
      <c r="Y45" s="77">
        <f t="shared" si="2"/>
        <v>9848.39</v>
      </c>
      <c r="AA45" s="75" t="s">
        <v>328</v>
      </c>
      <c r="AB45" s="75" t="s">
        <v>113</v>
      </c>
      <c r="AC45" s="75" t="s">
        <v>292</v>
      </c>
      <c r="AD45" s="78">
        <v>9290.93</v>
      </c>
      <c r="AE45" s="75" t="s">
        <v>293</v>
      </c>
      <c r="AF45" s="78">
        <v>557.46</v>
      </c>
    </row>
    <row r="46" spans="1:32" s="75" customFormat="1" ht="11.4" x14ac:dyDescent="0.25">
      <c r="A46" s="75">
        <v>31</v>
      </c>
      <c r="B46" s="75" t="s">
        <v>126</v>
      </c>
      <c r="C46" s="75" t="s">
        <v>289</v>
      </c>
      <c r="D46" s="75" t="s">
        <v>290</v>
      </c>
      <c r="E46" s="76">
        <v>550.16999999999996</v>
      </c>
      <c r="F46" s="76">
        <v>7384</v>
      </c>
      <c r="G46" s="76">
        <v>5176</v>
      </c>
      <c r="H46" s="76">
        <v>1181.44</v>
      </c>
      <c r="I46" s="76">
        <v>664.56</v>
      </c>
      <c r="J46" s="76">
        <v>36.92</v>
      </c>
      <c r="K46" s="76">
        <v>18.899999999999999</v>
      </c>
      <c r="L46" s="76"/>
      <c r="M46" s="76">
        <v>110.76</v>
      </c>
      <c r="N46" s="76">
        <v>362</v>
      </c>
      <c r="O46" s="76">
        <f t="shared" si="0"/>
        <v>2374.58</v>
      </c>
      <c r="P46" s="76">
        <v>590.72</v>
      </c>
      <c r="Q46" s="76">
        <v>147.68</v>
      </c>
      <c r="R46" s="76">
        <v>36.92</v>
      </c>
      <c r="S46" s="76"/>
      <c r="T46" s="76"/>
      <c r="U46" s="76">
        <v>362</v>
      </c>
      <c r="V46" s="76">
        <f t="shared" si="1"/>
        <v>1137.3200000000002</v>
      </c>
      <c r="W46" s="76">
        <v>3891</v>
      </c>
      <c r="X46" s="76"/>
      <c r="Y46" s="77">
        <f t="shared" si="2"/>
        <v>7953.07</v>
      </c>
      <c r="AA46" s="75" t="s">
        <v>329</v>
      </c>
      <c r="AB46" s="75" t="s">
        <v>127</v>
      </c>
      <c r="AC46" s="75" t="s">
        <v>292</v>
      </c>
      <c r="AD46" s="78">
        <v>7502.89</v>
      </c>
      <c r="AE46" s="75" t="s">
        <v>293</v>
      </c>
      <c r="AF46" s="78">
        <v>450.18</v>
      </c>
    </row>
    <row r="47" spans="1:32" s="75" customFormat="1" ht="11.4" x14ac:dyDescent="0.25">
      <c r="A47" s="75">
        <v>32</v>
      </c>
      <c r="B47" s="75" t="s">
        <v>175</v>
      </c>
      <c r="C47" s="75" t="s">
        <v>289</v>
      </c>
      <c r="D47" s="75" t="s">
        <v>290</v>
      </c>
      <c r="E47" s="76">
        <v>527.42999999999995</v>
      </c>
      <c r="F47" s="76">
        <v>7384</v>
      </c>
      <c r="G47" s="76">
        <v>5121</v>
      </c>
      <c r="H47" s="76">
        <v>1181.44</v>
      </c>
      <c r="I47" s="76">
        <v>664.56</v>
      </c>
      <c r="J47" s="76">
        <v>36.92</v>
      </c>
      <c r="K47" s="76">
        <v>18.899999999999999</v>
      </c>
      <c r="L47" s="76"/>
      <c r="M47" s="76">
        <v>110.76</v>
      </c>
      <c r="N47" s="76">
        <v>358</v>
      </c>
      <c r="O47" s="76">
        <f t="shared" si="0"/>
        <v>2370.58</v>
      </c>
      <c r="P47" s="76">
        <v>590.72</v>
      </c>
      <c r="Q47" s="76">
        <v>147.68</v>
      </c>
      <c r="R47" s="76">
        <v>36.92</v>
      </c>
      <c r="S47" s="76"/>
      <c r="T47" s="76"/>
      <c r="U47" s="76">
        <v>358</v>
      </c>
      <c r="V47" s="76">
        <f t="shared" si="1"/>
        <v>1133.3200000000002</v>
      </c>
      <c r="W47" s="76">
        <v>3520</v>
      </c>
      <c r="X47" s="76"/>
      <c r="Y47" s="77">
        <f t="shared" si="2"/>
        <v>7551.33</v>
      </c>
      <c r="AA47" s="75" t="s">
        <v>330</v>
      </c>
      <c r="AB47" s="75" t="s">
        <v>176</v>
      </c>
      <c r="AC47" s="75" t="s">
        <v>292</v>
      </c>
      <c r="AD47" s="78">
        <v>7123.89</v>
      </c>
      <c r="AE47" s="75" t="s">
        <v>293</v>
      </c>
      <c r="AF47" s="78">
        <v>427.44</v>
      </c>
    </row>
    <row r="48" spans="1:32" s="75" customFormat="1" ht="11.4" x14ac:dyDescent="0.25">
      <c r="A48" s="75">
        <v>33</v>
      </c>
      <c r="B48" s="75" t="s">
        <v>159</v>
      </c>
      <c r="C48" s="75" t="s">
        <v>289</v>
      </c>
      <c r="D48" s="75" t="s">
        <v>290</v>
      </c>
      <c r="E48" s="76">
        <v>662.85</v>
      </c>
      <c r="F48" s="76">
        <v>7606</v>
      </c>
      <c r="G48" s="76">
        <v>7606</v>
      </c>
      <c r="H48" s="76">
        <v>1216.96</v>
      </c>
      <c r="I48" s="76">
        <v>684.54</v>
      </c>
      <c r="J48" s="76">
        <v>38.03</v>
      </c>
      <c r="K48" s="76">
        <v>19.47</v>
      </c>
      <c r="L48" s="76"/>
      <c r="M48" s="76">
        <v>114.09</v>
      </c>
      <c r="N48" s="76">
        <v>532</v>
      </c>
      <c r="O48" s="76">
        <f t="shared" si="0"/>
        <v>2605.09</v>
      </c>
      <c r="P48" s="76">
        <v>608.48</v>
      </c>
      <c r="Q48" s="76">
        <v>152.12</v>
      </c>
      <c r="R48" s="76">
        <v>38.03</v>
      </c>
      <c r="S48" s="76"/>
      <c r="T48" s="76"/>
      <c r="U48" s="76">
        <v>532</v>
      </c>
      <c r="V48" s="76">
        <f t="shared" si="1"/>
        <v>1330.63</v>
      </c>
      <c r="W48" s="76">
        <v>5345.18</v>
      </c>
      <c r="X48" s="76"/>
      <c r="Y48" s="77">
        <f t="shared" si="2"/>
        <v>9943.75</v>
      </c>
      <c r="AA48" s="75" t="s">
        <v>331</v>
      </c>
      <c r="AB48" s="75" t="s">
        <v>160</v>
      </c>
      <c r="AC48" s="75" t="s">
        <v>292</v>
      </c>
      <c r="AD48" s="78">
        <v>9380.89</v>
      </c>
      <c r="AE48" s="75" t="s">
        <v>293</v>
      </c>
      <c r="AF48" s="78">
        <v>562.86</v>
      </c>
    </row>
    <row r="49" spans="1:32" s="75" customFormat="1" ht="11.4" x14ac:dyDescent="0.25">
      <c r="A49" s="75">
        <v>34</v>
      </c>
      <c r="B49" s="75" t="s">
        <v>168</v>
      </c>
      <c r="C49" s="75" t="s">
        <v>289</v>
      </c>
      <c r="D49" s="75" t="s">
        <v>290</v>
      </c>
      <c r="E49" s="76">
        <v>955.33</v>
      </c>
      <c r="F49" s="76">
        <v>12662</v>
      </c>
      <c r="G49" s="76">
        <v>12662</v>
      </c>
      <c r="H49" s="76">
        <v>2025.92</v>
      </c>
      <c r="I49" s="76">
        <v>1139.58</v>
      </c>
      <c r="J49" s="76">
        <v>63.31</v>
      </c>
      <c r="K49" s="76">
        <v>32.409999999999997</v>
      </c>
      <c r="L49" s="76"/>
      <c r="M49" s="76">
        <v>189.93</v>
      </c>
      <c r="N49" s="76">
        <v>886</v>
      </c>
      <c r="O49" s="76">
        <f t="shared" si="0"/>
        <v>4337.1499999999996</v>
      </c>
      <c r="P49" s="76">
        <v>1012.96</v>
      </c>
      <c r="Q49" s="76">
        <v>253.24</v>
      </c>
      <c r="R49" s="76">
        <v>63.31</v>
      </c>
      <c r="S49" s="76"/>
      <c r="T49" s="76"/>
      <c r="U49" s="76">
        <v>886</v>
      </c>
      <c r="V49" s="76">
        <f t="shared" si="1"/>
        <v>2215.5100000000002</v>
      </c>
      <c r="W49" s="76">
        <v>7602.81</v>
      </c>
      <c r="X49" s="76"/>
      <c r="Y49" s="77">
        <f t="shared" si="2"/>
        <v>15110.8</v>
      </c>
      <c r="AA49" s="75" t="s">
        <v>332</v>
      </c>
      <c r="AB49" s="75" t="s">
        <v>169</v>
      </c>
      <c r="AC49" s="75" t="s">
        <v>292</v>
      </c>
      <c r="AD49" s="78">
        <v>14255.47</v>
      </c>
      <c r="AE49" s="75" t="s">
        <v>293</v>
      </c>
      <c r="AF49" s="78">
        <v>855.33</v>
      </c>
    </row>
    <row r="50" spans="1:32" s="75" customFormat="1" ht="11.4" x14ac:dyDescent="0.25">
      <c r="A50" s="75">
        <v>35</v>
      </c>
      <c r="B50" s="75" t="s">
        <v>130</v>
      </c>
      <c r="C50" s="75" t="s">
        <v>289</v>
      </c>
      <c r="D50" s="75" t="s">
        <v>290</v>
      </c>
      <c r="E50" s="76">
        <v>602.07999999999993</v>
      </c>
      <c r="F50" s="76">
        <v>7384</v>
      </c>
      <c r="G50" s="76">
        <v>5148</v>
      </c>
      <c r="H50" s="76">
        <v>1181.44</v>
      </c>
      <c r="I50" s="76">
        <v>664.56</v>
      </c>
      <c r="J50" s="76">
        <v>36.92</v>
      </c>
      <c r="K50" s="76">
        <v>18.899999999999999</v>
      </c>
      <c r="L50" s="76"/>
      <c r="M50" s="76">
        <v>110.76</v>
      </c>
      <c r="N50" s="76">
        <v>360</v>
      </c>
      <c r="O50" s="76">
        <f t="shared" si="0"/>
        <v>2372.58</v>
      </c>
      <c r="P50" s="76">
        <v>590.72</v>
      </c>
      <c r="Q50" s="76">
        <v>147.68</v>
      </c>
      <c r="R50" s="76">
        <v>36.92</v>
      </c>
      <c r="S50" s="76"/>
      <c r="T50" s="76"/>
      <c r="U50" s="76">
        <v>360</v>
      </c>
      <c r="V50" s="76">
        <f t="shared" si="1"/>
        <v>1135.3200000000002</v>
      </c>
      <c r="W50" s="76">
        <v>4760.2</v>
      </c>
      <c r="X50" s="76"/>
      <c r="Y50" s="77">
        <f t="shared" si="2"/>
        <v>8870.18</v>
      </c>
      <c r="AA50" s="75" t="s">
        <v>333</v>
      </c>
      <c r="AB50" s="75" t="s">
        <v>131</v>
      </c>
      <c r="AC50" s="75" t="s">
        <v>292</v>
      </c>
      <c r="AD50" s="78">
        <v>8368.09</v>
      </c>
      <c r="AE50" s="75" t="s">
        <v>293</v>
      </c>
      <c r="AF50" s="78">
        <v>502.09</v>
      </c>
    </row>
    <row r="51" spans="1:32" s="75" customFormat="1" ht="11.4" x14ac:dyDescent="0.25">
      <c r="A51" s="75">
        <v>36</v>
      </c>
      <c r="B51" s="75" t="s">
        <v>219</v>
      </c>
      <c r="C51" s="75" t="s">
        <v>289</v>
      </c>
      <c r="D51" s="75" t="s">
        <v>296</v>
      </c>
      <c r="E51" s="76">
        <v>1477.38</v>
      </c>
      <c r="F51" s="76">
        <v>8196</v>
      </c>
      <c r="G51" s="76">
        <v>8196</v>
      </c>
      <c r="H51" s="76">
        <v>1311.36</v>
      </c>
      <c r="I51" s="76">
        <v>737.64</v>
      </c>
      <c r="J51" s="76">
        <v>40.98</v>
      </c>
      <c r="K51" s="76">
        <v>20.98</v>
      </c>
      <c r="L51" s="76"/>
      <c r="M51" s="76">
        <v>122.94</v>
      </c>
      <c r="N51" s="76">
        <v>574</v>
      </c>
      <c r="O51" s="76">
        <f t="shared" si="0"/>
        <v>2807.9</v>
      </c>
      <c r="P51" s="76">
        <v>655.68</v>
      </c>
      <c r="Q51" s="76">
        <v>163.92</v>
      </c>
      <c r="R51" s="76">
        <v>40.98</v>
      </c>
      <c r="S51" s="76"/>
      <c r="T51" s="76"/>
      <c r="U51" s="76">
        <v>574</v>
      </c>
      <c r="V51" s="76">
        <f t="shared" si="1"/>
        <v>1434.58</v>
      </c>
      <c r="W51" s="76">
        <v>18613.78</v>
      </c>
      <c r="X51" s="76"/>
      <c r="Y51" s="77">
        <f t="shared" si="2"/>
        <v>24333.64</v>
      </c>
      <c r="AA51" s="75" t="s">
        <v>334</v>
      </c>
      <c r="AB51" s="75" t="s">
        <v>220</v>
      </c>
      <c r="AC51" s="75" t="s">
        <v>292</v>
      </c>
      <c r="AD51" s="78">
        <v>22956.25</v>
      </c>
      <c r="AE51" s="75" t="s">
        <v>293</v>
      </c>
      <c r="AF51" s="78">
        <v>1377.39</v>
      </c>
    </row>
    <row r="52" spans="1:32" s="75" customFormat="1" ht="11.4" x14ac:dyDescent="0.25">
      <c r="A52" s="75">
        <v>37</v>
      </c>
      <c r="B52" s="75" t="s">
        <v>157</v>
      </c>
      <c r="C52" s="75" t="s">
        <v>289</v>
      </c>
      <c r="D52" s="75" t="s">
        <v>290</v>
      </c>
      <c r="E52" s="76">
        <v>530.06999999999994</v>
      </c>
      <c r="F52" s="76">
        <v>7384</v>
      </c>
      <c r="G52" s="76">
        <v>5432</v>
      </c>
      <c r="H52" s="76">
        <v>1181.44</v>
      </c>
      <c r="I52" s="76">
        <v>664.56</v>
      </c>
      <c r="J52" s="76">
        <v>36.92</v>
      </c>
      <c r="K52" s="76">
        <v>18.899999999999999</v>
      </c>
      <c r="L52" s="76"/>
      <c r="M52" s="76">
        <v>110.76</v>
      </c>
      <c r="N52" s="76">
        <v>380</v>
      </c>
      <c r="O52" s="76">
        <f t="shared" si="0"/>
        <v>2392.58</v>
      </c>
      <c r="P52" s="76">
        <v>590.72</v>
      </c>
      <c r="Q52" s="76">
        <v>147.68</v>
      </c>
      <c r="R52" s="76">
        <v>36.92</v>
      </c>
      <c r="S52" s="76"/>
      <c r="T52" s="76"/>
      <c r="U52" s="76">
        <v>380</v>
      </c>
      <c r="V52" s="76">
        <f t="shared" si="1"/>
        <v>1155.3200000000002</v>
      </c>
      <c r="W52" s="76">
        <v>3520</v>
      </c>
      <c r="X52" s="76"/>
      <c r="Y52" s="77">
        <f t="shared" si="2"/>
        <v>7597.9699999999993</v>
      </c>
      <c r="AA52" s="75" t="s">
        <v>335</v>
      </c>
      <c r="AB52" s="75" t="s">
        <v>158</v>
      </c>
      <c r="AC52" s="75" t="s">
        <v>292</v>
      </c>
      <c r="AD52" s="78">
        <v>7167.89</v>
      </c>
      <c r="AE52" s="75" t="s">
        <v>293</v>
      </c>
      <c r="AF52" s="78">
        <v>430.08</v>
      </c>
    </row>
    <row r="53" spans="1:32" s="75" customFormat="1" ht="11.4" x14ac:dyDescent="0.25">
      <c r="A53" s="75">
        <v>38</v>
      </c>
      <c r="B53" s="75" t="s">
        <v>134</v>
      </c>
      <c r="C53" s="75" t="s">
        <v>289</v>
      </c>
      <c r="D53" s="75" t="s">
        <v>290</v>
      </c>
      <c r="E53" s="76">
        <v>693.46</v>
      </c>
      <c r="F53" s="76">
        <v>8182</v>
      </c>
      <c r="G53" s="76">
        <v>8182</v>
      </c>
      <c r="H53" s="76">
        <v>1309.1199999999999</v>
      </c>
      <c r="I53" s="76">
        <v>736.38</v>
      </c>
      <c r="J53" s="76">
        <v>40.909999999999997</v>
      </c>
      <c r="K53" s="76">
        <v>20.95</v>
      </c>
      <c r="L53" s="76"/>
      <c r="M53" s="76">
        <v>122.73</v>
      </c>
      <c r="N53" s="76">
        <v>573</v>
      </c>
      <c r="O53" s="76">
        <f t="shared" si="0"/>
        <v>2803.0899999999997</v>
      </c>
      <c r="P53" s="76">
        <v>654.55999999999995</v>
      </c>
      <c r="Q53" s="76">
        <v>163.63999999999999</v>
      </c>
      <c r="R53" s="76">
        <v>40.909999999999997</v>
      </c>
      <c r="S53" s="76"/>
      <c r="T53" s="76"/>
      <c r="U53" s="76">
        <v>573</v>
      </c>
      <c r="V53" s="76">
        <f t="shared" si="1"/>
        <v>1432.11</v>
      </c>
      <c r="W53" s="76">
        <v>5555.89</v>
      </c>
      <c r="X53" s="76"/>
      <c r="Y53" s="77">
        <f t="shared" si="2"/>
        <v>10484.549999999999</v>
      </c>
      <c r="AA53" s="75" t="s">
        <v>336</v>
      </c>
      <c r="AB53" s="75" t="s">
        <v>135</v>
      </c>
      <c r="AC53" s="75" t="s">
        <v>292</v>
      </c>
      <c r="AD53" s="78">
        <v>9891.1</v>
      </c>
      <c r="AE53" s="75" t="s">
        <v>293</v>
      </c>
      <c r="AF53" s="78">
        <v>593.45000000000005</v>
      </c>
    </row>
    <row r="54" spans="1:32" s="75" customFormat="1" ht="11.4" x14ac:dyDescent="0.25">
      <c r="A54" s="75">
        <v>39</v>
      </c>
      <c r="B54" s="75" t="s">
        <v>122</v>
      </c>
      <c r="C54" s="75" t="s">
        <v>289</v>
      </c>
      <c r="D54" s="75" t="s">
        <v>290</v>
      </c>
      <c r="E54" s="76">
        <v>989.4</v>
      </c>
      <c r="F54" s="76">
        <v>12769</v>
      </c>
      <c r="G54" s="76">
        <v>12769</v>
      </c>
      <c r="H54" s="76">
        <v>2043.04</v>
      </c>
      <c r="I54" s="76">
        <v>1149.22</v>
      </c>
      <c r="J54" s="76">
        <v>63.85</v>
      </c>
      <c r="K54" s="76">
        <v>32.69</v>
      </c>
      <c r="L54" s="76"/>
      <c r="M54" s="76">
        <v>191.54</v>
      </c>
      <c r="N54" s="76">
        <v>894</v>
      </c>
      <c r="O54" s="76">
        <f t="shared" si="0"/>
        <v>4374.34</v>
      </c>
      <c r="P54" s="76">
        <v>1021.52</v>
      </c>
      <c r="Q54" s="76">
        <v>255.38</v>
      </c>
      <c r="R54" s="76">
        <v>63.85</v>
      </c>
      <c r="S54" s="76"/>
      <c r="T54" s="76"/>
      <c r="U54" s="76">
        <v>894</v>
      </c>
      <c r="V54" s="76">
        <f t="shared" si="1"/>
        <v>2234.75</v>
      </c>
      <c r="W54" s="76">
        <v>8114.21</v>
      </c>
      <c r="X54" s="76"/>
      <c r="Y54" s="77">
        <f t="shared" si="2"/>
        <v>15712.7</v>
      </c>
      <c r="AA54" s="75" t="s">
        <v>337</v>
      </c>
      <c r="AB54" s="75" t="s">
        <v>123</v>
      </c>
      <c r="AC54" s="75" t="s">
        <v>292</v>
      </c>
      <c r="AD54" s="78">
        <v>14823.32</v>
      </c>
      <c r="AE54" s="75" t="s">
        <v>293</v>
      </c>
      <c r="AF54" s="78">
        <v>889.38</v>
      </c>
    </row>
    <row r="55" spans="1:32" s="75" customFormat="1" ht="11.4" x14ac:dyDescent="0.25">
      <c r="A55" s="75">
        <v>40</v>
      </c>
      <c r="B55" s="75" t="s">
        <v>108</v>
      </c>
      <c r="C55" s="75" t="s">
        <v>289</v>
      </c>
      <c r="D55" s="75" t="s">
        <v>290</v>
      </c>
      <c r="E55" s="76">
        <v>721.61</v>
      </c>
      <c r="F55" s="76">
        <v>8131</v>
      </c>
      <c r="G55" s="76">
        <v>8131</v>
      </c>
      <c r="H55" s="76">
        <v>1300.96</v>
      </c>
      <c r="I55" s="76">
        <v>731.8</v>
      </c>
      <c r="J55" s="76">
        <v>40.659999999999997</v>
      </c>
      <c r="K55" s="76">
        <v>20.82</v>
      </c>
      <c r="L55" s="76"/>
      <c r="M55" s="76">
        <v>121.97</v>
      </c>
      <c r="N55" s="76">
        <v>569</v>
      </c>
      <c r="O55" s="76">
        <f t="shared" si="0"/>
        <v>2785.21</v>
      </c>
      <c r="P55" s="76">
        <v>650.48</v>
      </c>
      <c r="Q55" s="76">
        <v>162.62</v>
      </c>
      <c r="R55" s="76">
        <v>40.659999999999997</v>
      </c>
      <c r="S55" s="76"/>
      <c r="T55" s="76"/>
      <c r="U55" s="76">
        <v>569</v>
      </c>
      <c r="V55" s="76">
        <f t="shared" si="1"/>
        <v>1422.76</v>
      </c>
      <c r="W55" s="76">
        <v>6052.14</v>
      </c>
      <c r="X55" s="76"/>
      <c r="Y55" s="77">
        <f t="shared" si="2"/>
        <v>10981.720000000001</v>
      </c>
      <c r="AA55" s="75" t="s">
        <v>338</v>
      </c>
      <c r="AB55" s="75" t="s">
        <v>109</v>
      </c>
      <c r="AC55" s="75" t="s">
        <v>292</v>
      </c>
      <c r="AD55" s="78">
        <v>10360.1</v>
      </c>
      <c r="AE55" s="75" t="s">
        <v>293</v>
      </c>
      <c r="AF55" s="78">
        <v>621.62</v>
      </c>
    </row>
    <row r="56" spans="1:32" s="75" customFormat="1" ht="11.4" x14ac:dyDescent="0.25">
      <c r="A56" s="75">
        <v>41</v>
      </c>
      <c r="B56" s="75" t="s">
        <v>93</v>
      </c>
      <c r="C56" s="75" t="s">
        <v>289</v>
      </c>
      <c r="D56" s="75" t="s">
        <v>314</v>
      </c>
      <c r="E56" s="76">
        <v>812.88</v>
      </c>
      <c r="F56" s="76">
        <v>7384</v>
      </c>
      <c r="G56" s="76">
        <v>2690</v>
      </c>
      <c r="H56" s="76">
        <v>1181.44</v>
      </c>
      <c r="I56" s="76">
        <v>664.56</v>
      </c>
      <c r="J56" s="76">
        <v>36.92</v>
      </c>
      <c r="K56" s="76">
        <v>18.899999999999999</v>
      </c>
      <c r="L56" s="76"/>
      <c r="M56" s="76">
        <v>110.76</v>
      </c>
      <c r="N56" s="76">
        <v>188</v>
      </c>
      <c r="O56" s="76">
        <f t="shared" si="0"/>
        <v>2200.58</v>
      </c>
      <c r="P56" s="76">
        <v>590.72</v>
      </c>
      <c r="Q56" s="76">
        <v>147.68</v>
      </c>
      <c r="R56" s="76">
        <v>36.92</v>
      </c>
      <c r="S56" s="76"/>
      <c r="T56" s="76"/>
      <c r="U56" s="76">
        <v>188</v>
      </c>
      <c r="V56" s="76">
        <f t="shared" si="1"/>
        <v>963.32</v>
      </c>
      <c r="W56" s="76">
        <v>8617.56</v>
      </c>
      <c r="X56" s="76"/>
      <c r="Y56" s="77">
        <f t="shared" si="2"/>
        <v>12594.34</v>
      </c>
      <c r="AA56" s="75" t="s">
        <v>339</v>
      </c>
      <c r="AB56" s="75" t="s">
        <v>340</v>
      </c>
      <c r="AC56" s="75" t="s">
        <v>292</v>
      </c>
      <c r="AD56" s="78">
        <v>11881.45</v>
      </c>
      <c r="AE56" s="75" t="s">
        <v>293</v>
      </c>
      <c r="AF56" s="78">
        <v>712.89</v>
      </c>
    </row>
    <row r="57" spans="1:32" s="75" customFormat="1" ht="11.4" x14ac:dyDescent="0.25">
      <c r="A57" s="75">
        <v>42</v>
      </c>
      <c r="B57" s="75" t="s">
        <v>95</v>
      </c>
      <c r="C57" s="75" t="s">
        <v>289</v>
      </c>
      <c r="D57" s="75" t="s">
        <v>314</v>
      </c>
      <c r="E57" s="76">
        <v>551.54999999999995</v>
      </c>
      <c r="F57" s="76">
        <v>7384</v>
      </c>
      <c r="G57" s="76">
        <v>2690</v>
      </c>
      <c r="H57" s="76">
        <v>1181.44</v>
      </c>
      <c r="I57" s="76">
        <v>664.56</v>
      </c>
      <c r="J57" s="76">
        <v>36.92</v>
      </c>
      <c r="K57" s="76">
        <v>18.899999999999999</v>
      </c>
      <c r="L57" s="76"/>
      <c r="M57" s="76">
        <v>110.76</v>
      </c>
      <c r="N57" s="76">
        <v>188</v>
      </c>
      <c r="O57" s="76">
        <f t="shared" si="0"/>
        <v>2200.58</v>
      </c>
      <c r="P57" s="76">
        <v>590.72</v>
      </c>
      <c r="Q57" s="76">
        <v>147.68</v>
      </c>
      <c r="R57" s="76">
        <v>36.92</v>
      </c>
      <c r="S57" s="76"/>
      <c r="T57" s="76"/>
      <c r="U57" s="76">
        <v>188</v>
      </c>
      <c r="V57" s="76">
        <f t="shared" si="1"/>
        <v>963.32</v>
      </c>
      <c r="W57" s="76">
        <v>4262</v>
      </c>
      <c r="X57" s="76"/>
      <c r="Y57" s="77">
        <f t="shared" si="2"/>
        <v>7977.4500000000007</v>
      </c>
      <c r="AA57" s="75" t="s">
        <v>341</v>
      </c>
      <c r="AB57" s="75" t="s">
        <v>96</v>
      </c>
      <c r="AC57" s="75" t="s">
        <v>292</v>
      </c>
      <c r="AD57" s="78">
        <v>7525.89</v>
      </c>
      <c r="AE57" s="75" t="s">
        <v>293</v>
      </c>
      <c r="AF57" s="78">
        <v>451.56</v>
      </c>
    </row>
    <row r="58" spans="1:32" s="75" customFormat="1" ht="11.4" x14ac:dyDescent="0.25">
      <c r="A58" s="75">
        <v>43</v>
      </c>
      <c r="B58" s="75" t="s">
        <v>172</v>
      </c>
      <c r="C58" s="75" t="s">
        <v>289</v>
      </c>
      <c r="D58" s="75" t="s">
        <v>290</v>
      </c>
      <c r="E58" s="76">
        <v>498.03000000000003</v>
      </c>
      <c r="F58" s="76">
        <v>7384</v>
      </c>
      <c r="G58" s="76">
        <v>2690</v>
      </c>
      <c r="H58" s="76">
        <v>1181.44</v>
      </c>
      <c r="I58" s="76">
        <v>664.56</v>
      </c>
      <c r="J58" s="76">
        <v>36.92</v>
      </c>
      <c r="K58" s="76">
        <v>18.899999999999999</v>
      </c>
      <c r="L58" s="76"/>
      <c r="M58" s="76">
        <v>110.76</v>
      </c>
      <c r="N58" s="76">
        <v>188</v>
      </c>
      <c r="O58" s="76">
        <f t="shared" si="0"/>
        <v>2200.58</v>
      </c>
      <c r="P58" s="76">
        <v>590.72</v>
      </c>
      <c r="Q58" s="76">
        <v>147.68</v>
      </c>
      <c r="R58" s="76">
        <v>36.92</v>
      </c>
      <c r="S58" s="76"/>
      <c r="T58" s="76"/>
      <c r="U58" s="76">
        <v>188</v>
      </c>
      <c r="V58" s="76">
        <f t="shared" si="1"/>
        <v>963.32</v>
      </c>
      <c r="W58" s="76">
        <v>3370</v>
      </c>
      <c r="X58" s="76"/>
      <c r="Y58" s="77">
        <f t="shared" si="2"/>
        <v>7031.93</v>
      </c>
      <c r="AA58" s="75" t="s">
        <v>342</v>
      </c>
      <c r="AB58" s="75" t="s">
        <v>173</v>
      </c>
      <c r="AC58" s="75" t="s">
        <v>292</v>
      </c>
      <c r="AD58" s="78">
        <v>6633.89</v>
      </c>
      <c r="AE58" s="75" t="s">
        <v>293</v>
      </c>
      <c r="AF58" s="78">
        <v>398.04</v>
      </c>
    </row>
    <row r="59" spans="1:32" s="75" customFormat="1" ht="11.4" x14ac:dyDescent="0.25">
      <c r="A59" s="75">
        <v>44</v>
      </c>
      <c r="B59" s="75" t="s">
        <v>165</v>
      </c>
      <c r="C59" s="75" t="s">
        <v>289</v>
      </c>
      <c r="D59" s="75" t="s">
        <v>290</v>
      </c>
      <c r="E59" s="76">
        <v>759.92</v>
      </c>
      <c r="F59" s="76">
        <v>7384</v>
      </c>
      <c r="G59" s="76">
        <v>4849</v>
      </c>
      <c r="H59" s="76">
        <v>1181.44</v>
      </c>
      <c r="I59" s="76">
        <v>664.56</v>
      </c>
      <c r="J59" s="76">
        <v>36.92</v>
      </c>
      <c r="K59" s="76">
        <v>18.899999999999999</v>
      </c>
      <c r="L59" s="76"/>
      <c r="M59" s="76">
        <v>110.76</v>
      </c>
      <c r="N59" s="76">
        <v>339</v>
      </c>
      <c r="O59" s="76">
        <f t="shared" si="0"/>
        <v>2351.58</v>
      </c>
      <c r="P59" s="76">
        <v>590.72</v>
      </c>
      <c r="Q59" s="76">
        <v>147.68</v>
      </c>
      <c r="R59" s="76">
        <v>36.92</v>
      </c>
      <c r="S59" s="76"/>
      <c r="T59" s="76"/>
      <c r="U59" s="76">
        <v>339</v>
      </c>
      <c r="V59" s="76">
        <f t="shared" si="1"/>
        <v>1114.3200000000002</v>
      </c>
      <c r="W59" s="76">
        <v>7432.76</v>
      </c>
      <c r="X59" s="76"/>
      <c r="Y59" s="77">
        <f>SUM(E59,O59,V59:X59)</f>
        <v>11658.58</v>
      </c>
      <c r="AA59" s="75" t="s">
        <v>343</v>
      </c>
      <c r="AB59" s="75" t="s">
        <v>166</v>
      </c>
      <c r="AC59" s="75" t="s">
        <v>292</v>
      </c>
      <c r="AD59" s="78">
        <v>10998.65</v>
      </c>
      <c r="AE59" s="75" t="s">
        <v>293</v>
      </c>
      <c r="AF59" s="78">
        <v>659.93</v>
      </c>
    </row>
    <row r="60" spans="1:32" s="75" customFormat="1" ht="11.4" x14ac:dyDescent="0.25">
      <c r="A60" s="75" t="s">
        <v>344</v>
      </c>
      <c r="E60" s="76">
        <f>SUM(E16:E59)</f>
        <v>31188.309999999994</v>
      </c>
      <c r="F60" s="76"/>
      <c r="G60" s="76"/>
      <c r="H60" s="76">
        <f t="shared" ref="H60:Y60" si="3">SUM(H16:H59)</f>
        <v>53468.960000000006</v>
      </c>
      <c r="I60" s="76">
        <f t="shared" si="3"/>
        <v>30076.340000000011</v>
      </c>
      <c r="J60" s="76">
        <f t="shared" si="3"/>
        <v>1670.9300000000003</v>
      </c>
      <c r="K60" s="76">
        <f t="shared" si="3"/>
        <v>855.41999999999973</v>
      </c>
      <c r="L60" s="76">
        <f t="shared" si="3"/>
        <v>0</v>
      </c>
      <c r="M60" s="76">
        <f t="shared" si="3"/>
        <v>5012.7400000000034</v>
      </c>
      <c r="N60" s="76">
        <f t="shared" si="3"/>
        <v>17677</v>
      </c>
      <c r="O60" s="76">
        <f t="shared" si="3"/>
        <v>108761.39000000001</v>
      </c>
      <c r="P60" s="76">
        <f t="shared" si="3"/>
        <v>26734.480000000003</v>
      </c>
      <c r="Q60" s="76">
        <f t="shared" si="3"/>
        <v>6683.6200000000008</v>
      </c>
      <c r="R60" s="76">
        <f t="shared" si="3"/>
        <v>1670.9300000000003</v>
      </c>
      <c r="S60" s="76">
        <f t="shared" si="3"/>
        <v>0</v>
      </c>
      <c r="T60" s="76">
        <f t="shared" si="3"/>
        <v>0</v>
      </c>
      <c r="U60" s="76">
        <f t="shared" si="3"/>
        <v>17677</v>
      </c>
      <c r="V60" s="76">
        <f t="shared" si="3"/>
        <v>52766.03</v>
      </c>
      <c r="W60" s="76">
        <f t="shared" si="3"/>
        <v>284079.32000000012</v>
      </c>
      <c r="X60" s="76">
        <f t="shared" si="3"/>
        <v>0</v>
      </c>
      <c r="Y60" s="77">
        <f t="shared" si="3"/>
        <v>476795.05000000005</v>
      </c>
      <c r="AD60" s="78">
        <f>SUM(AD16:AD59)</f>
        <v>449806.47000000003</v>
      </c>
      <c r="AF60" s="78">
        <f>SUM(AF16:AF59)</f>
        <v>26988.580000000009</v>
      </c>
    </row>
    <row r="61" spans="1:32" s="75" customFormat="1" ht="11.4" x14ac:dyDescent="0.25">
      <c r="A61" s="79" t="s">
        <v>345</v>
      </c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80">
        <v>476795.05</v>
      </c>
      <c r="AD61" s="78"/>
      <c r="AF61" s="78"/>
    </row>
    <row r="62" spans="1:32" x14ac:dyDescent="0.25"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32" s="83" customFormat="1" ht="11.4" x14ac:dyDescent="0.25">
      <c r="A63" s="82" t="s">
        <v>346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AD63" s="84"/>
      <c r="AF63" s="84"/>
    </row>
    <row r="64" spans="1:32" s="86" customFormat="1" ht="30" customHeight="1" x14ac:dyDescent="0.15">
      <c r="A64" s="64" t="s">
        <v>83</v>
      </c>
      <c r="B64" s="64" t="s">
        <v>245</v>
      </c>
      <c r="C64" s="64" t="s">
        <v>347</v>
      </c>
      <c r="D64" s="64" t="s">
        <v>348</v>
      </c>
      <c r="E64" s="65" t="s">
        <v>258</v>
      </c>
      <c r="F64" s="65" t="s">
        <v>262</v>
      </c>
      <c r="G64" s="65" t="s">
        <v>263</v>
      </c>
      <c r="H64" s="65" t="s">
        <v>264</v>
      </c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AD64" s="85"/>
      <c r="AF64" s="85"/>
    </row>
    <row r="65" spans="1:32" s="88" customFormat="1" ht="30" customHeight="1" x14ac:dyDescent="0.25">
      <c r="A65" s="71" t="s">
        <v>265</v>
      </c>
      <c r="B65" s="71" t="s">
        <v>266</v>
      </c>
      <c r="C65" s="71" t="s">
        <v>349</v>
      </c>
      <c r="D65" s="71" t="s">
        <v>350</v>
      </c>
      <c r="E65" s="72" t="s">
        <v>283</v>
      </c>
      <c r="F65" s="72" t="s">
        <v>287</v>
      </c>
      <c r="G65" s="72" t="s">
        <v>288</v>
      </c>
      <c r="H65" s="72" t="s">
        <v>2</v>
      </c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AD65" s="87"/>
      <c r="AF65" s="87"/>
    </row>
    <row r="66" spans="1:32" s="83" customFormat="1" ht="11.4" x14ac:dyDescent="0.25">
      <c r="A66" s="75">
        <v>1</v>
      </c>
      <c r="B66" s="75" t="s">
        <v>289</v>
      </c>
      <c r="C66" s="75" t="s">
        <v>351</v>
      </c>
      <c r="D66" s="76">
        <v>0</v>
      </c>
      <c r="E66" s="78"/>
      <c r="F66" s="76">
        <v>0.18</v>
      </c>
      <c r="G66" s="78">
        <v>0.06</v>
      </c>
      <c r="H66" s="76">
        <v>-0.18</v>
      </c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AD66" s="84"/>
      <c r="AF66" s="84"/>
    </row>
    <row r="67" spans="1:32" s="83" customFormat="1" ht="11.4" x14ac:dyDescent="0.25">
      <c r="A67" s="75" t="s">
        <v>344</v>
      </c>
      <c r="B67" s="75"/>
      <c r="C67" s="75"/>
      <c r="D67" s="76">
        <f>SUM(D66:D66)</f>
        <v>0</v>
      </c>
      <c r="E67" s="78"/>
      <c r="F67" s="76">
        <f>SUM(F66:F66)</f>
        <v>0.18</v>
      </c>
      <c r="G67" s="78"/>
      <c r="H67" s="76">
        <f>SUM(H66:H66)</f>
        <v>-0.18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AD67" s="84"/>
      <c r="AF67" s="84"/>
    </row>
    <row r="68" spans="1:32" s="83" customFormat="1" ht="11.4" x14ac:dyDescent="0.25">
      <c r="A68" s="79" t="s">
        <v>352</v>
      </c>
      <c r="B68" s="75"/>
      <c r="C68" s="75"/>
      <c r="D68" s="89">
        <v>0</v>
      </c>
      <c r="E68" s="78"/>
      <c r="F68" s="89">
        <v>0.18</v>
      </c>
      <c r="G68" s="78"/>
      <c r="H68" s="89">
        <v>-0.18</v>
      </c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AD68" s="84"/>
      <c r="AF68" s="84"/>
    </row>
    <row r="70" spans="1:32" x14ac:dyDescent="0.25">
      <c r="A70" s="55" t="s">
        <v>353</v>
      </c>
    </row>
    <row r="71" spans="1:32" ht="25.05" customHeight="1" x14ac:dyDescent="0.25">
      <c r="A71" s="90" t="s">
        <v>354</v>
      </c>
      <c r="B71" s="90" t="s">
        <v>355</v>
      </c>
      <c r="C71" s="90" t="s">
        <v>263</v>
      </c>
      <c r="D71" s="90" t="s">
        <v>356</v>
      </c>
    </row>
    <row r="72" spans="1:32" ht="25.05" customHeight="1" x14ac:dyDescent="0.25">
      <c r="A72" s="91"/>
      <c r="B72" s="91"/>
      <c r="C72" s="91"/>
      <c r="D72" s="91"/>
    </row>
    <row r="73" spans="1:32" x14ac:dyDescent="0.25">
      <c r="A73" s="75">
        <v>1</v>
      </c>
      <c r="B73" s="78">
        <v>449806.65</v>
      </c>
      <c r="C73" s="75" t="s">
        <v>293</v>
      </c>
      <c r="D73" s="78">
        <v>26988.400000000001</v>
      </c>
    </row>
    <row r="74" spans="1:32" x14ac:dyDescent="0.25">
      <c r="A74" s="75" t="s">
        <v>357</v>
      </c>
      <c r="B74" s="78">
        <v>449806.65</v>
      </c>
      <c r="C74" s="75"/>
      <c r="D74" s="78">
        <v>26988.400000000001</v>
      </c>
    </row>
    <row r="75" spans="1:32" x14ac:dyDescent="0.25">
      <c r="A75" s="92" t="s">
        <v>358</v>
      </c>
      <c r="B75" s="93"/>
      <c r="C75" s="93"/>
      <c r="D75" s="94">
        <v>26988.400000000001</v>
      </c>
    </row>
    <row r="76" spans="1:32" x14ac:dyDescent="0.25">
      <c r="A76" s="95" t="s">
        <v>359</v>
      </c>
    </row>
    <row r="77" spans="1:32" x14ac:dyDescent="0.25">
      <c r="A77" s="96">
        <v>476795.05000000005</v>
      </c>
    </row>
    <row r="78" spans="1:32" x14ac:dyDescent="0.25">
      <c r="A78" s="95" t="s">
        <v>360</v>
      </c>
    </row>
    <row r="80" spans="1:32" s="98" customFormat="1" ht="17.399999999999999" x14ac:dyDescent="0.25">
      <c r="A80" s="97" t="s">
        <v>361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AD80" s="99"/>
      <c r="AF80" s="99"/>
    </row>
    <row r="82" spans="1:32" s="61" customFormat="1" ht="13.2" x14ac:dyDescent="0.25">
      <c r="A82" s="60" t="s">
        <v>362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AD82" s="62"/>
      <c r="AF82" s="62"/>
    </row>
    <row r="83" spans="1:32" s="83" customFormat="1" ht="11.4" x14ac:dyDescent="0.25">
      <c r="A83" s="75" t="s">
        <v>83</v>
      </c>
      <c r="B83" s="75" t="s">
        <v>81</v>
      </c>
      <c r="C83" s="75" t="s">
        <v>77</v>
      </c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AD83" s="84"/>
      <c r="AF83" s="84"/>
    </row>
    <row r="84" spans="1:32" s="83" customFormat="1" ht="11.4" x14ac:dyDescent="0.25">
      <c r="A84" s="75">
        <v>1</v>
      </c>
      <c r="B84" s="75" t="s">
        <v>174</v>
      </c>
      <c r="C84" s="75" t="s">
        <v>363</v>
      </c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AD84" s="84"/>
      <c r="AF84" s="84"/>
    </row>
    <row r="85" spans="1:32" s="83" customFormat="1" ht="11.4" x14ac:dyDescent="0.25">
      <c r="A85" s="75">
        <v>2</v>
      </c>
      <c r="B85" s="75" t="s">
        <v>144</v>
      </c>
      <c r="C85" s="75" t="s">
        <v>363</v>
      </c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AD85" s="84"/>
      <c r="AF85" s="84"/>
    </row>
    <row r="87" spans="1:32" x14ac:dyDescent="0.25">
      <c r="A87" s="100" t="s">
        <v>364</v>
      </c>
      <c r="J87" s="56" t="s">
        <v>365</v>
      </c>
    </row>
    <row r="89" spans="1:32" x14ac:dyDescent="0.25">
      <c r="A89" s="54" t="s">
        <v>366</v>
      </c>
      <c r="G89" s="101" t="s">
        <v>366</v>
      </c>
    </row>
    <row r="90" spans="1:32" x14ac:dyDescent="0.25">
      <c r="A90" s="54" t="s">
        <v>367</v>
      </c>
      <c r="G90" s="101" t="s">
        <v>368</v>
      </c>
    </row>
    <row r="91" spans="1:32" x14ac:dyDescent="0.25">
      <c r="A91" s="54" t="s">
        <v>369</v>
      </c>
      <c r="G91" s="101" t="s">
        <v>370</v>
      </c>
    </row>
    <row r="92" spans="1:32" x14ac:dyDescent="0.25">
      <c r="A92" s="54" t="s">
        <v>371</v>
      </c>
      <c r="G92" s="101" t="s">
        <v>372</v>
      </c>
    </row>
    <row r="93" spans="1:32" x14ac:dyDescent="0.25">
      <c r="A93" s="54" t="s">
        <v>373</v>
      </c>
      <c r="G93" s="101" t="s">
        <v>374</v>
      </c>
    </row>
    <row r="95" spans="1:32" x14ac:dyDescent="0.25">
      <c r="A95" s="54" t="s">
        <v>366</v>
      </c>
    </row>
    <row r="96" spans="1:32" x14ac:dyDescent="0.25">
      <c r="A96" s="54" t="s">
        <v>375</v>
      </c>
    </row>
    <row r="97" spans="1:10" x14ac:dyDescent="0.25">
      <c r="A97" s="54" t="s">
        <v>376</v>
      </c>
    </row>
    <row r="98" spans="1:10" x14ac:dyDescent="0.25">
      <c r="A98" s="54" t="s">
        <v>377</v>
      </c>
    </row>
    <row r="99" spans="1:10" x14ac:dyDescent="0.25">
      <c r="A99" s="54" t="s">
        <v>378</v>
      </c>
    </row>
    <row r="101" spans="1:10" x14ac:dyDescent="0.25">
      <c r="A101" s="100" t="s">
        <v>379</v>
      </c>
      <c r="D101" s="100" t="s">
        <v>380</v>
      </c>
      <c r="G101" s="101" t="s">
        <v>238</v>
      </c>
    </row>
    <row r="102" spans="1:10" x14ac:dyDescent="0.25">
      <c r="A102" s="100" t="s">
        <v>381</v>
      </c>
      <c r="G102" s="102" t="s">
        <v>382</v>
      </c>
    </row>
    <row r="103" spans="1:10" x14ac:dyDescent="0.25">
      <c r="A103" s="100" t="s">
        <v>383</v>
      </c>
      <c r="D103" s="100" t="s">
        <v>384</v>
      </c>
      <c r="G103" s="102" t="s">
        <v>385</v>
      </c>
    </row>
    <row r="104" spans="1:10" x14ac:dyDescent="0.25">
      <c r="A104" s="100" t="s">
        <v>386</v>
      </c>
      <c r="D104" s="100" t="s">
        <v>387</v>
      </c>
      <c r="G104" s="102" t="s">
        <v>388</v>
      </c>
      <c r="J104" s="102" t="s">
        <v>389</v>
      </c>
    </row>
    <row r="106" spans="1:10" x14ac:dyDescent="0.25">
      <c r="A106" s="100" t="s">
        <v>390</v>
      </c>
      <c r="B106" s="100" t="s">
        <v>391</v>
      </c>
    </row>
    <row r="107" spans="1:10" x14ac:dyDescent="0.25">
      <c r="B107" s="100" t="s">
        <v>392</v>
      </c>
    </row>
    <row r="108" spans="1:10" x14ac:dyDescent="0.25">
      <c r="B108" s="100" t="s">
        <v>393</v>
      </c>
    </row>
    <row r="109" spans="1:10" x14ac:dyDescent="0.25">
      <c r="B109" s="100" t="s">
        <v>394</v>
      </c>
    </row>
    <row r="110" spans="1:10" x14ac:dyDescent="0.25">
      <c r="B110" s="100" t="s">
        <v>395</v>
      </c>
    </row>
    <row r="112" spans="1:10" x14ac:dyDescent="0.25">
      <c r="A112" s="100" t="s">
        <v>396</v>
      </c>
      <c r="B112" s="100" t="s">
        <v>397</v>
      </c>
    </row>
    <row r="113" spans="2:2" x14ac:dyDescent="0.25">
      <c r="B113" s="100" t="s">
        <v>398</v>
      </c>
    </row>
  </sheetData>
  <mergeCells count="7">
    <mergeCell ref="A75:C75"/>
    <mergeCell ref="H14:M14"/>
    <mergeCell ref="P14:T14"/>
    <mergeCell ref="A71:A72"/>
    <mergeCell ref="B71:B72"/>
    <mergeCell ref="C71:C72"/>
    <mergeCell ref="D71:D7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202411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2024-11-14T09:01:24Z</dcterms:modified>
</cp:coreProperties>
</file>