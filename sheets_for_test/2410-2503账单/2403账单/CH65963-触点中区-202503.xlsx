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503电信\202503账单\"/>
    </mc:Choice>
  </mc:AlternateContent>
  <xr:revisionPtr revIDLastSave="0" documentId="13_ncr:1_{E81A7B62-23DA-4843-9A67-1884C37F6BD4}" xr6:coauthVersionLast="36" xr6:coauthVersionMax="36" xr10:uidLastSave="{00000000-0000-0000-0000-000000000000}"/>
  <bookViews>
    <workbookView xWindow="0" yWindow="0" windowWidth="23040" windowHeight="8700" xr2:uid="{00000000-000D-0000-FFFF-FFFF00000000}"/>
  </bookViews>
  <sheets>
    <sheet name="202503" sheetId="1" r:id="rId1"/>
    <sheet name="对账单" sheetId="3" r:id="rId2"/>
    <sheet name="系统" sheetId="2" r:id="rId3"/>
  </sheets>
  <definedNames>
    <definedName name="_xlnm._FilterDatabase" localSheetId="0" hidden="1">'202503'!$A$2:$BF$4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F24" i="2"/>
  <c r="D24" i="2"/>
  <c r="AE17" i="2"/>
  <c r="AC17" i="2"/>
  <c r="X17" i="2"/>
  <c r="W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E17" i="2"/>
  <c r="Y16" i="2"/>
  <c r="Y17" i="2" s="1"/>
  <c r="V16" i="2"/>
  <c r="V17" i="2" s="1"/>
  <c r="O16" i="2"/>
  <c r="D7" i="3" l="1"/>
  <c r="C7" i="3"/>
  <c r="C5" i="3"/>
  <c r="C4" i="3"/>
  <c r="I4" i="3" s="1"/>
  <c r="C2" i="3"/>
  <c r="I2" i="3" s="1"/>
  <c r="B9" i="3"/>
  <c r="B7" i="3"/>
  <c r="B5" i="3"/>
  <c r="B4" i="3"/>
  <c r="B3" i="3"/>
  <c r="J3" i="3" s="1"/>
  <c r="B2" i="3"/>
  <c r="E14" i="3"/>
  <c r="H11" i="3"/>
  <c r="G11" i="3"/>
  <c r="E11" i="3"/>
  <c r="I10" i="3"/>
  <c r="J10" i="3"/>
  <c r="F9" i="3"/>
  <c r="F11" i="3" s="1"/>
  <c r="D8" i="3"/>
  <c r="I8" i="3" s="1"/>
  <c r="J8" i="3"/>
  <c r="I7" i="3"/>
  <c r="J7" i="3"/>
  <c r="J6" i="3"/>
  <c r="I6" i="3"/>
  <c r="I5" i="3"/>
  <c r="I3" i="3"/>
  <c r="J5" i="3" l="1"/>
  <c r="J4" i="3"/>
  <c r="J2" i="3"/>
  <c r="C11" i="3"/>
  <c r="C14" i="3" s="1"/>
  <c r="F13" i="3"/>
  <c r="F14" i="3" s="1"/>
  <c r="J9" i="3"/>
  <c r="D9" i="3"/>
  <c r="I9" i="3" s="1"/>
  <c r="B11" i="3"/>
  <c r="B14" i="3" s="1"/>
  <c r="I15" i="3" s="1"/>
  <c r="G13" i="3"/>
  <c r="G14" i="3" s="1"/>
  <c r="H13" i="3"/>
  <c r="H14" i="3" s="1"/>
  <c r="D11" i="3" l="1"/>
  <c r="D13" i="3" s="1"/>
  <c r="I13" i="3" s="1"/>
  <c r="I11" i="3" l="1"/>
  <c r="D14" i="3"/>
  <c r="I14" i="3" s="1"/>
  <c r="I16" i="3" s="1"/>
  <c r="I17" i="3" s="1"/>
  <c r="AY6" i="1" l="1"/>
  <c r="AV6" i="1" l="1"/>
  <c r="AN3" i="1" l="1"/>
  <c r="AO3" i="1"/>
  <c r="AP3" i="1"/>
  <c r="AS3" i="1"/>
  <c r="AT3" i="1"/>
  <c r="AF3" i="1"/>
  <c r="A3" i="1"/>
  <c r="BA6" i="1"/>
  <c r="AX6" i="1"/>
  <c r="AG3" i="1" l="1"/>
  <c r="AU3" i="1"/>
  <c r="Z3" i="1" l="1"/>
  <c r="A4" i="1"/>
  <c r="AW3" i="1" l="1"/>
  <c r="AK3" i="1"/>
  <c r="BB3" i="1" l="1"/>
  <c r="BC3" i="1" l="1"/>
  <c r="BD3" i="1" s="1"/>
  <c r="AG4" i="1"/>
  <c r="Z4" i="1" l="1"/>
  <c r="Z6" i="1" s="1"/>
  <c r="AG6" i="1"/>
  <c r="AK4" i="1" l="1"/>
  <c r="AK6" i="1" s="1"/>
  <c r="AU4" i="1"/>
  <c r="AU6" i="1" l="1"/>
  <c r="AW6" i="1" l="1"/>
  <c r="BB4" i="1"/>
  <c r="BB6" i="1" s="1"/>
  <c r="BC4" i="1" l="1"/>
  <c r="BC6" i="1" s="1"/>
  <c r="BD4" i="1" l="1"/>
  <c r="B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8C30484F-BCA4-4CD2-A2AE-287AB3FEFE1A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C5714091-8329-4053-8688-71B4EC5BBC60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<sst xmlns="http://schemas.openxmlformats.org/spreadsheetml/2006/main" count="281" uniqueCount="238">
  <si>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</si>
  <si>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</si>
  <si>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</si>
  <si>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</si>
  <si>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</si>
  <si>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</si>
  <si>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</si>
  <si>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</si>
  <si>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</si>
  <si>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</si>
  <si>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</si>
  <si>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</si>
  <si>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</si>
  <si>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</si>
  <si>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</si>
  <si>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</si>
  <si>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</si>
  <si>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</si>
  <si>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</si>
  <si>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</si>
  <si>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</si>
  <si>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</si>
  <si>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</si>
  <si>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</si>
  <si>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</si>
  <si>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</si>
  <si>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</si>
  <si>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</si>
  <si>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</si>
  <si>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</si>
  <si>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</si>
  <si>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</si>
  <si>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</si>
  <si>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</si>
  <si>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</si>
  <si>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</si>
  <si>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</si>
  <si>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</si>
  <si>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</si>
  <si>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</si>
  <si>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</si>
  <si>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</si>
  <si>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</si>
  <si>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</si>
  <si>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</si>
  <si>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</si>
  <si>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</si>
  <si>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</si>
  <si>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</si>
  <si>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</si>
  <si>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</si>
  <si>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</si>
  <si>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</si>
  <si>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</si>
  <si>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</si>
  <si>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</si>
  <si>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</si>
  <si>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</si>
  <si>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</si>
  <si>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</si>
  <si>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</si>
  <si>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</si>
  <si>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</si>
  <si>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</si>
  <si>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</si>
  <si>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</si>
  <si>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</si>
  <si>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</si>
  <si>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</si>
  <si>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</si>
  <si>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</si>
  <si>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</si>
  <si>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</si>
  <si>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</si>
  <si>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</si>
  <si>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</si>
  <si>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</si>
  <si>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</si>
  <si>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</si>
  <si>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</si>
  <si>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</si>
  <si>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</si>
  <si>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</si>
  <si>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</si>
  <si>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</si>
  <si>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</si>
  <si>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</si>
  <si>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</si>
  <si>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</si>
  <si>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</si>
  <si>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</si>
  <si>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</si>
  <si>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</si>
  <si>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</si>
  <si>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</si>
  <si>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</si>
  <si>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</si>
  <si>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</si>
  <si>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汤熙荣</t>
  </si>
  <si>
    <t>310108197210073613</t>
  </si>
  <si>
    <t>WB007141</t>
  </si>
  <si>
    <t>傅强</t>
  </si>
  <si>
    <t>342501197805270274</t>
  </si>
  <si>
    <t>WB007174</t>
    <phoneticPr fontId="6" type="noConversion"/>
  </si>
  <si>
    <t>本月垫付下月收</t>
  </si>
  <si>
    <t>本月多收下月退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</si>
  <si>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</si>
  <si>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</si>
  <si>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</si>
  <si>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</si>
  <si>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</si>
  <si>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</si>
  <si>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</si>
  <si>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2025年03月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</si>
  <si>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</si>
  <si>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</si>
  <si>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</si>
  <si>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</si>
  <si>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</si>
  <si>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</si>
  <si>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</si>
  <si>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</si>
  <si>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</si>
  <si>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</si>
  <si>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</si>
  <si>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</si>
  <si>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</si>
  <si>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</si>
  <si>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</si>
  <si>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</si>
  <si>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</si>
  <si>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</si>
  <si>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</si>
  <si>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</si>
  <si>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</si>
  <si>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</si>
  <si>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</si>
  <si>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</si>
  <si>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</si>
  <si>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</si>
  <si>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</si>
  <si>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</si>
  <si>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</si>
  <si>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</si>
  <si>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</si>
  <si>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</si>
  <si>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</si>
  <si>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</si>
  <si>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</si>
  <si>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</si>
  <si>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</si>
  <si>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</si>
  <si>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</si>
  <si>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</si>
  <si>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</si>
  <si>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202503</t>
  </si>
  <si>
    <t>2024-06-01</t>
  </si>
  <si>
    <t>6031699</t>
  </si>
  <si>
    <t>6%</t>
  </si>
  <si>
    <t>合计（RMB）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</si>
  <si>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</si>
  <si>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</si>
  <si>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</si>
  <si>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</si>
  <si>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</si>
  <si>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</si>
  <si>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</si>
  <si>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</si>
  <si>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</si>
  <si>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</si>
  <si>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</si>
  <si>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</si>
  <si>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</si>
  <si>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减少人员</t>
  </si>
  <si>
    <t>2025-03-01</t>
  </si>
  <si>
    <t>制单人：</t>
  </si>
  <si>
    <t>制单日期：2025-03-20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</si>
  <si>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</si>
  <si>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</si>
  <si>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</si>
  <si>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</si>
  <si>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</si>
  <si>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</si>
  <si>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</si>
  <si>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</si>
  <si>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</si>
  <si>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</si>
  <si>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</si>
  <si>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</si>
  <si>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</si>
  <si>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</si>
  <si>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</si>
  <si>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</si>
  <si>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</si>
  <si>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</si>
  <si>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</si>
  <si>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</si>
  <si>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</si>
  <si>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</si>
  <si>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</si>
  <si>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</si>
  <si>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</si>
  <si>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</si>
  <si>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</si>
  <si>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</si>
  <si>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</si>
  <si>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</si>
  <si>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</si>
  <si>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</si>
  <si>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</si>
  <si>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</si>
  <si>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</si>
  <si>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6" type="noConversion"/>
  </si>
  <si>
    <t>预收一次性</t>
    <phoneticPr fontId="4" type="noConversion"/>
  </si>
  <si>
    <t>2月工会费</t>
    <phoneticPr fontId="4" type="noConversion"/>
  </si>
  <si>
    <t>本月垫付，下月收</t>
    <phoneticPr fontId="4" type="noConversion"/>
  </si>
  <si>
    <t>本月多收，下月退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</si>
  <si>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</si>
  <si>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</si>
  <si>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</si>
  <si>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</si>
  <si>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</si>
  <si>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工伤退费</t>
    <phoneticPr fontId="4" type="noConversion"/>
  </si>
  <si>
    <t>代发工资</t>
  </si>
  <si>
    <t>上月垫付</t>
    <phoneticPr fontId="4" type="noConversion"/>
  </si>
  <si>
    <t>上月多收</t>
    <phoneticPr fontId="4" type="noConversion"/>
  </si>
  <si>
    <t>小计</t>
  </si>
  <si>
    <t>附加税</t>
  </si>
  <si>
    <t>给客户账单金额</t>
  </si>
  <si>
    <t>差异</t>
  </si>
  <si>
    <t>不含税差异</t>
  </si>
  <si>
    <t>帐单号：202503CH6596303</t>
  </si>
  <si>
    <t>代办薪酬</t>
  </si>
  <si>
    <t>Agency of Wage Payment</t>
  </si>
  <si>
    <t>总计（RMB）已包含历月补收人民币陆仟捌佰叁拾贰圆伍角贰分</t>
  </si>
  <si>
    <t>本次价税合计(RMB):人民币陆仟捌佰叁拾贰圆伍角贰分</t>
  </si>
  <si>
    <t>本月价税合计（RMB）：6832.52 其中已开票6832.52</t>
  </si>
  <si>
    <t>本月总计（RMB）人民币陆仟捌佰叁拾贰圆伍角贰分                ￥6832.52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</si>
</sst>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3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5" borderId="0" xfId="3" applyFont="1" applyFill="1">
      <alignment vertical="center"/>
    </xf>
    <xf numFmtId="176" fontId="13" fillId="0" borderId="0" xfId="3" applyNumberFormat="1" applyFont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14" fontId="9" fillId="0" borderId="1" xfId="2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7" fontId="22" fillId="0" borderId="2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5" borderId="1" xfId="0" applyNumberFormat="1" applyFont="1" applyFill="1" applyBorder="1" applyAlignment="1">
      <alignment horizontal="center" vertical="center"/>
    </xf>
    <xf numFmtId="43" fontId="27" fillId="0" borderId="1" xfId="3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/>
    </xf>
    <xf numFmtId="43" fontId="28" fillId="5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2" fillId="0" borderId="4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8" fontId="20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" xfId="8" xr:uid="{00000000-0005-0000-0000-000004000000}"/>
    <cellStyle name="常规 4" xfId="5" xr:uid="{00000000-0005-0000-0000-000005000000}"/>
    <cellStyle name="常规 5" xfId="6" xr:uid="{00000000-0005-0000-0000-000006000000}"/>
    <cellStyle name="常规 6" xfId="7" xr:uid="{00000000-0005-0000-0000-000007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"/>
  <sheetViews>
    <sheetView tabSelected="1" zoomScale="93" zoomScaleNormal="93" workbookViewId="0">
      <pane xSplit="5" ySplit="2" topLeftCell="AU3" activePane="bottomRight" state="frozen"/>
      <selection pane="topRight" activeCell="E1" sqref="E1"/>
      <selection pane="bottomLeft" activeCell="A3" sqref="A3"/>
      <selection pane="bottomRight" activeCell="BG21" sqref="BG21"/>
    </sheetView>
  </sheetViews>
  <sheetFormatPr defaultColWidth="8.6640625" defaultRowHeight="16.2" x14ac:dyDescent="0.25"/>
  <cols>
    <col min="1" max="1" width="6" style="32" bestFit="1" customWidth="1"/>
    <col min="2" max="2" width="7.6640625" style="32" bestFit="1" customWidth="1"/>
    <col min="3" max="3" width="8.109375" style="32" bestFit="1" customWidth="1"/>
    <col min="4" max="4" width="5.77734375" style="32" bestFit="1" customWidth="1"/>
    <col min="5" max="5" width="18" style="32" bestFit="1" customWidth="1"/>
    <col min="6" max="6" width="8.44140625" style="32" bestFit="1" customWidth="1"/>
    <col min="7" max="7" width="8.109375" style="32" bestFit="1" customWidth="1"/>
    <col min="8" max="8" width="10.109375" style="32" bestFit="1" customWidth="1"/>
    <col min="9" max="9" width="8" style="32" bestFit="1" customWidth="1"/>
    <col min="10" max="10" width="10.109375" style="32" bestFit="1" customWidth="1"/>
    <col min="11" max="12" width="7.6640625" style="32" bestFit="1" customWidth="1"/>
    <col min="13" max="14" width="5.77734375" style="32" bestFit="1" customWidth="1"/>
    <col min="15" max="15" width="4.5546875" style="32" bestFit="1" customWidth="1"/>
    <col min="16" max="16" width="5.77734375" style="32" bestFit="1" customWidth="1"/>
    <col min="17" max="17" width="8.109375" style="32" bestFit="1" customWidth="1"/>
    <col min="18" max="18" width="5.77734375" style="32" bestFit="1" customWidth="1"/>
    <col min="19" max="19" width="8.109375" style="32" bestFit="1" customWidth="1"/>
    <col min="20" max="20" width="4.5546875" style="32" bestFit="1" customWidth="1"/>
    <col min="21" max="21" width="9.88671875" style="32" customWidth="1"/>
    <col min="22" max="22" width="9.5546875" style="32" customWidth="1"/>
    <col min="23" max="23" width="5.77734375" style="32" bestFit="1" customWidth="1"/>
    <col min="24" max="24" width="7.5546875" style="32" bestFit="1" customWidth="1"/>
    <col min="25" max="25" width="5.77734375" style="32" bestFit="1" customWidth="1"/>
    <col min="26" max="26" width="12.109375" style="32" bestFit="1" customWidth="1"/>
    <col min="27" max="29" width="8.44140625" style="32" bestFit="1" customWidth="1"/>
    <col min="30" max="30" width="8.6640625" style="32" bestFit="1" customWidth="1"/>
    <col min="31" max="32" width="8.5546875" style="32" bestFit="1" customWidth="1"/>
    <col min="33" max="33" width="12.109375" style="32" bestFit="1" customWidth="1"/>
    <col min="34" max="34" width="9.33203125" style="32" bestFit="1" customWidth="1"/>
    <col min="35" max="35" width="6.44140625" style="32" bestFit="1" customWidth="1"/>
    <col min="36" max="36" width="6.77734375" style="32" bestFit="1" customWidth="1"/>
    <col min="37" max="37" width="12" style="32" customWidth="1"/>
    <col min="38" max="38" width="6.88671875" style="32" bestFit="1" customWidth="1"/>
    <col min="39" max="39" width="8.5546875" style="32" bestFit="1" customWidth="1"/>
    <col min="40" max="40" width="6.88671875" style="32" bestFit="1" customWidth="1"/>
    <col min="41" max="41" width="6.44140625" style="32" bestFit="1" customWidth="1"/>
    <col min="42" max="42" width="8.44140625" style="32" bestFit="1" customWidth="1"/>
    <col min="43" max="43" width="6.44140625" style="32" bestFit="1" customWidth="1"/>
    <col min="44" max="44" width="6.5546875" style="32" bestFit="1" customWidth="1"/>
    <col min="45" max="45" width="8.5546875" style="32" bestFit="1" customWidth="1"/>
    <col min="46" max="46" width="13.6640625" style="32" bestFit="1" customWidth="1"/>
    <col min="47" max="47" width="12.109375" style="32" bestFit="1" customWidth="1"/>
    <col min="48" max="48" width="11" style="32" bestFit="1" customWidth="1"/>
    <col min="49" max="49" width="13.77734375" style="32" customWidth="1"/>
    <col min="50" max="50" width="8.77734375" style="32" bestFit="1" customWidth="1"/>
    <col min="51" max="51" width="8.77734375" style="32" customWidth="1"/>
    <col min="52" max="52" width="37.88671875" style="32" customWidth="1"/>
    <col min="53" max="53" width="10.77734375" style="32" bestFit="1" customWidth="1"/>
    <col min="54" max="54" width="15.77734375" style="32" customWidth="1"/>
    <col min="55" max="55" width="13.109375" style="32" customWidth="1"/>
    <col min="56" max="56" width="14.109375" style="32" customWidth="1"/>
    <col min="57" max="16384" width="8.6640625" style="32"/>
  </cols>
  <sheetData>
    <row r="1" spans="1:58" s="10" customFormat="1" ht="26.1" customHeight="1" x14ac:dyDescent="0.3">
      <c r="A1" s="1" t="s">
        <v>85</v>
      </c>
      <c r="B1" s="2" t="s">
        <v>84</v>
      </c>
      <c r="C1" s="3" t="s">
        <v>86</v>
      </c>
      <c r="D1" s="3" t="s">
        <v>83</v>
      </c>
      <c r="E1" s="3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4" t="s">
        <v>77</v>
      </c>
      <c r="K1" s="1" t="s">
        <v>76</v>
      </c>
      <c r="L1" s="1" t="s">
        <v>75</v>
      </c>
      <c r="M1" s="93" t="s">
        <v>74</v>
      </c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5"/>
      <c r="Z1" s="5" t="s">
        <v>73</v>
      </c>
      <c r="AA1" s="4" t="s">
        <v>72</v>
      </c>
      <c r="AB1" s="4" t="s">
        <v>71</v>
      </c>
      <c r="AC1" s="4" t="s">
        <v>70</v>
      </c>
      <c r="AD1" s="4" t="s">
        <v>69</v>
      </c>
      <c r="AE1" s="4" t="s">
        <v>68</v>
      </c>
      <c r="AF1" s="4" t="s">
        <v>67</v>
      </c>
      <c r="AG1" s="5" t="s">
        <v>66</v>
      </c>
      <c r="AH1" s="4" t="s">
        <v>65</v>
      </c>
      <c r="AI1" s="4" t="s">
        <v>64</v>
      </c>
      <c r="AJ1" s="4" t="s">
        <v>63</v>
      </c>
      <c r="AK1" s="5" t="s">
        <v>62</v>
      </c>
      <c r="AL1" s="4" t="s">
        <v>61</v>
      </c>
      <c r="AM1" s="4" t="s">
        <v>60</v>
      </c>
      <c r="AN1" s="4" t="s">
        <v>59</v>
      </c>
      <c r="AO1" s="4" t="s">
        <v>58</v>
      </c>
      <c r="AP1" s="4" t="s">
        <v>57</v>
      </c>
      <c r="AQ1" s="4" t="s">
        <v>56</v>
      </c>
      <c r="AR1" s="4" t="s">
        <v>55</v>
      </c>
      <c r="AS1" s="4" t="s">
        <v>54</v>
      </c>
      <c r="AT1" s="4" t="s">
        <v>53</v>
      </c>
      <c r="AU1" s="5" t="s">
        <v>52</v>
      </c>
      <c r="AV1" s="5" t="s">
        <v>51</v>
      </c>
      <c r="AW1" s="6" t="s">
        <v>50</v>
      </c>
      <c r="AX1" s="7" t="s">
        <v>104</v>
      </c>
      <c r="AY1" s="7" t="s">
        <v>105</v>
      </c>
      <c r="AZ1" s="8" t="s">
        <v>49</v>
      </c>
      <c r="BA1" s="6" t="s">
        <v>48</v>
      </c>
      <c r="BB1" s="9" t="s">
        <v>87</v>
      </c>
      <c r="BC1" s="6" t="s">
        <v>47</v>
      </c>
      <c r="BD1" s="6" t="s">
        <v>46</v>
      </c>
    </row>
    <row r="2" spans="1:58" s="17" customFormat="1" ht="40.799999999999997" x14ac:dyDescent="0.25">
      <c r="A2" s="11" t="s">
        <v>45</v>
      </c>
      <c r="B2" s="12" t="s">
        <v>44</v>
      </c>
      <c r="C2" s="11" t="s">
        <v>88</v>
      </c>
      <c r="D2" s="11" t="s">
        <v>43</v>
      </c>
      <c r="E2" s="11" t="s">
        <v>42</v>
      </c>
      <c r="F2" s="11" t="s">
        <v>41</v>
      </c>
      <c r="G2" s="11" t="s">
        <v>40</v>
      </c>
      <c r="H2" s="11" t="s">
        <v>39</v>
      </c>
      <c r="I2" s="11" t="s">
        <v>38</v>
      </c>
      <c r="J2" s="13" t="s">
        <v>37</v>
      </c>
      <c r="K2" s="11" t="s">
        <v>36</v>
      </c>
      <c r="L2" s="11" t="s">
        <v>35</v>
      </c>
      <c r="M2" s="11" t="s">
        <v>34</v>
      </c>
      <c r="N2" s="11" t="s">
        <v>96</v>
      </c>
      <c r="O2" s="11" t="s">
        <v>33</v>
      </c>
      <c r="P2" s="11" t="s">
        <v>97</v>
      </c>
      <c r="Q2" s="11" t="s">
        <v>90</v>
      </c>
      <c r="R2" s="11" t="s">
        <v>32</v>
      </c>
      <c r="S2" s="11" t="s">
        <v>31</v>
      </c>
      <c r="T2" s="11" t="s">
        <v>30</v>
      </c>
      <c r="U2" s="11" t="s">
        <v>92</v>
      </c>
      <c r="V2" s="11" t="s">
        <v>29</v>
      </c>
      <c r="W2" s="11" t="s">
        <v>91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5"/>
      <c r="AZ2" s="16" t="s">
        <v>4</v>
      </c>
      <c r="BA2" s="6" t="s">
        <v>3</v>
      </c>
      <c r="BB2" s="9" t="s">
        <v>89</v>
      </c>
      <c r="BC2" s="6" t="s">
        <v>2</v>
      </c>
      <c r="BD2" s="6" t="s">
        <v>1</v>
      </c>
    </row>
    <row r="3" spans="1:58" s="31" customFormat="1" ht="15" customHeight="1" x14ac:dyDescent="0.25">
      <c r="A3" s="18">
        <f t="shared" ref="A3:A4" si="0">ROW()-2</f>
        <v>1</v>
      </c>
      <c r="B3" s="19">
        <v>2503</v>
      </c>
      <c r="C3" s="19" t="s">
        <v>103</v>
      </c>
      <c r="D3" s="18" t="s">
        <v>101</v>
      </c>
      <c r="E3" s="20" t="s">
        <v>102</v>
      </c>
      <c r="F3" s="21">
        <v>45444</v>
      </c>
      <c r="G3" s="21">
        <v>45808</v>
      </c>
      <c r="H3" s="18"/>
      <c r="I3" s="22" t="s">
        <v>0</v>
      </c>
      <c r="J3" s="23">
        <v>950</v>
      </c>
      <c r="K3" s="23"/>
      <c r="L3" s="23">
        <v>475.3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>
        <v>2501.0200000000004</v>
      </c>
      <c r="Y3" s="23"/>
      <c r="Z3" s="24">
        <f>SUM(J3:Y3)</f>
        <v>3926.3200000000006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6520</v>
      </c>
      <c r="AF3" s="25">
        <f t="shared" ref="AF3" si="1">ROUND(AE3*7%,0)</f>
        <v>456</v>
      </c>
      <c r="AG3" s="24">
        <f t="shared" ref="AG3:AG4" si="2">AB3+AC3+AD3+AF3</f>
        <v>1231.3200000000002</v>
      </c>
      <c r="AH3" s="26"/>
      <c r="AI3" s="27"/>
      <c r="AJ3" s="27"/>
      <c r="AK3" s="24">
        <f t="shared" ref="AK3:AK4" si="3">Z3-AG3-AH3</f>
        <v>2695.0000000000005</v>
      </c>
      <c r="AL3" s="25">
        <v>7384</v>
      </c>
      <c r="AM3" s="25">
        <v>6520</v>
      </c>
      <c r="AN3" s="25">
        <f t="shared" ref="AN3" si="4">ROUND(AL3*16%,2)</f>
        <v>1181.44</v>
      </c>
      <c r="AO3" s="25">
        <f>ROUND(AL3*9%,2)</f>
        <v>664.56</v>
      </c>
      <c r="AP3" s="25">
        <f t="shared" ref="AP3" si="5">ROUND(AL3*0.5%,2)</f>
        <v>36.92</v>
      </c>
      <c r="AQ3" s="25">
        <v>14.77</v>
      </c>
      <c r="AR3" s="25"/>
      <c r="AS3" s="25">
        <f t="shared" ref="AS3" si="6">ROUND(AM3*7%,0)</f>
        <v>456</v>
      </c>
      <c r="AT3" s="25">
        <f t="shared" ref="AT3" si="7">ROUND(IF(AL3&lt;22792,AL3*1.5%,22792*1.5%),2)</f>
        <v>110.76</v>
      </c>
      <c r="AU3" s="24">
        <f t="shared" ref="AU3" si="8">SUM(AN3:AT3)</f>
        <v>2464.4500000000003</v>
      </c>
      <c r="AV3" s="24">
        <v>79</v>
      </c>
      <c r="AW3" s="24">
        <f>AU3+Z3+AI3-AJ3+AV3</f>
        <v>6469.77</v>
      </c>
      <c r="AX3" s="28"/>
      <c r="AY3" s="28"/>
      <c r="AZ3" s="38"/>
      <c r="BA3" s="24">
        <v>60</v>
      </c>
      <c r="BB3" s="29">
        <f>ROUND(AW3+BA3+AX3+AY3,2)</f>
        <v>6529.77</v>
      </c>
      <c r="BC3" s="24">
        <f t="shared" ref="BC3" si="9">ROUND(BB3*6%,2)</f>
        <v>391.79</v>
      </c>
      <c r="BD3" s="24">
        <f t="shared" ref="BD3" si="10">ROUND(SUM(BB3:BC3),2)</f>
        <v>6921.56</v>
      </c>
      <c r="BE3" s="30"/>
      <c r="BF3" s="30"/>
    </row>
    <row r="4" spans="1:58" s="31" customFormat="1" ht="15" customHeight="1" x14ac:dyDescent="0.25">
      <c r="A4" s="18">
        <f t="shared" si="0"/>
        <v>2</v>
      </c>
      <c r="B4" s="19">
        <v>2503</v>
      </c>
      <c r="C4" s="19" t="s">
        <v>100</v>
      </c>
      <c r="D4" s="18" t="s">
        <v>98</v>
      </c>
      <c r="E4" s="20" t="s">
        <v>99</v>
      </c>
      <c r="F4" s="21">
        <v>45383</v>
      </c>
      <c r="G4" s="21">
        <v>45747</v>
      </c>
      <c r="H4" s="39">
        <v>45716</v>
      </c>
      <c r="I4" s="22" t="s">
        <v>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>
        <v>66000</v>
      </c>
      <c r="V4" s="23"/>
      <c r="W4" s="23"/>
      <c r="X4" s="23"/>
      <c r="Y4" s="23"/>
      <c r="Z4" s="24">
        <f>SUM(J4:Y4)</f>
        <v>66000</v>
      </c>
      <c r="AA4" s="25"/>
      <c r="AB4" s="25"/>
      <c r="AC4" s="25"/>
      <c r="AD4" s="25"/>
      <c r="AE4" s="25"/>
      <c r="AF4" s="25"/>
      <c r="AG4" s="24">
        <f t="shared" si="2"/>
        <v>0</v>
      </c>
      <c r="AH4" s="26"/>
      <c r="AI4" s="27"/>
      <c r="AJ4" s="27"/>
      <c r="AK4" s="24">
        <f t="shared" si="3"/>
        <v>66000</v>
      </c>
      <c r="AL4" s="25"/>
      <c r="AM4" s="25"/>
      <c r="AN4" s="25"/>
      <c r="AO4" s="25"/>
      <c r="AP4" s="25"/>
      <c r="AQ4" s="25"/>
      <c r="AR4" s="25"/>
      <c r="AS4" s="25"/>
      <c r="AT4" s="25"/>
      <c r="AU4" s="24">
        <f t="shared" ref="AU4" si="11">SUM(AN4:AT4)</f>
        <v>0</v>
      </c>
      <c r="AV4" s="24"/>
      <c r="AW4" s="24"/>
      <c r="AX4" s="28"/>
      <c r="AY4" s="28"/>
      <c r="AZ4" s="38"/>
      <c r="BA4" s="24">
        <v>0</v>
      </c>
      <c r="BB4" s="29">
        <f>ROUND(AW4+BA4+AX4+AY4,2)</f>
        <v>0</v>
      </c>
      <c r="BC4" s="24">
        <f t="shared" ref="BC4" si="12">ROUND(BB4*6%,2)</f>
        <v>0</v>
      </c>
      <c r="BD4" s="24">
        <f t="shared" ref="BD4" si="13">ROUND(SUM(BB4:BC4),2)</f>
        <v>0</v>
      </c>
      <c r="BE4" s="30"/>
      <c r="BF4" s="30"/>
    </row>
    <row r="6" spans="1:58" s="33" customFormat="1" x14ac:dyDescent="0.25">
      <c r="A6" s="33" t="s">
        <v>95</v>
      </c>
      <c r="Z6" s="33">
        <f>SUBTOTAL(9,Z3:Z4)</f>
        <v>69926.320000000007</v>
      </c>
      <c r="AG6" s="33">
        <f>SUBTOTAL(9,AG3:AG4)</f>
        <v>1231.3200000000002</v>
      </c>
      <c r="AK6" s="33">
        <f>SUBTOTAL(9,AK3:AK4)</f>
        <v>68695</v>
      </c>
      <c r="AU6" s="33">
        <f>SUBTOTAL(9,AU3:AU4)</f>
        <v>2464.4500000000003</v>
      </c>
      <c r="AV6" s="33">
        <f>SUM(AV3:AV4)</f>
        <v>79</v>
      </c>
      <c r="AW6" s="33">
        <f>SUBTOTAL(9,AW3:AW4)</f>
        <v>6469.77</v>
      </c>
      <c r="AX6" s="33">
        <f>SUBTOTAL(9,AX3:AX4)</f>
        <v>0</v>
      </c>
      <c r="AY6" s="37">
        <f>SUBTOTAL(9,AY3:AY4)</f>
        <v>0</v>
      </c>
      <c r="BA6" s="33">
        <f>SUBTOTAL(9,BA3:BA4)</f>
        <v>60</v>
      </c>
      <c r="BB6" s="36">
        <f>SUBTOTAL(9,BB3:BB4)</f>
        <v>6529.77</v>
      </c>
      <c r="BC6" s="33">
        <f>SUBTOTAL(9,BC3:BC4)</f>
        <v>391.79</v>
      </c>
      <c r="BD6" s="33">
        <f>SUBTOTAL(9,BD3:BD4)</f>
        <v>6921.56</v>
      </c>
    </row>
    <row r="7" spans="1:58" x14ac:dyDescent="0.25">
      <c r="AX7" s="34"/>
      <c r="AY7" s="34"/>
    </row>
    <row r="8" spans="1:58" hidden="1" x14ac:dyDescent="0.25">
      <c r="BA8" s="35" t="s">
        <v>93</v>
      </c>
      <c r="BB8" s="35">
        <v>303434.71999999997</v>
      </c>
    </row>
    <row r="9" spans="1:58" hidden="1" x14ac:dyDescent="0.25">
      <c r="BA9" s="35" t="s">
        <v>94</v>
      </c>
      <c r="BB9" s="35">
        <v>111.61</v>
      </c>
    </row>
    <row r="10" spans="1:58" x14ac:dyDescent="0.25">
      <c r="J10" s="34"/>
      <c r="X10" s="34"/>
      <c r="AX10" s="34"/>
      <c r="AY10" s="34"/>
    </row>
    <row r="11" spans="1:58" x14ac:dyDescent="0.25">
      <c r="J11" s="34"/>
    </row>
    <row r="12" spans="1:58" x14ac:dyDescent="0.25">
      <c r="J12" s="34"/>
    </row>
  </sheetData>
  <mergeCells count="1">
    <mergeCell ref="M1:Y1"/>
  </mergeCells>
  <phoneticPr fontId="6" type="noConversion"/>
  <conditionalFormatting sqref="C1">
    <cfRule type="duplicateValues" dxfId="14" priority="109"/>
  </conditionalFormatting>
  <conditionalFormatting sqref="C1">
    <cfRule type="duplicateValues" dxfId="13" priority="110"/>
  </conditionalFormatting>
  <conditionalFormatting sqref="C1">
    <cfRule type="duplicateValues" dxfId="12" priority="111"/>
    <cfRule type="duplicateValues" dxfId="11" priority="112"/>
  </conditionalFormatting>
  <conditionalFormatting sqref="C1">
    <cfRule type="duplicateValues" dxfId="10" priority="113"/>
    <cfRule type="duplicateValues" dxfId="9" priority="114"/>
  </conditionalFormatting>
  <conditionalFormatting sqref="C2">
    <cfRule type="duplicateValues" dxfId="8" priority="106"/>
    <cfRule type="duplicateValues" dxfId="7" priority="107"/>
  </conditionalFormatting>
  <conditionalFormatting sqref="C2">
    <cfRule type="duplicateValues" dxfId="6" priority="108"/>
  </conditionalFormatting>
  <conditionalFormatting sqref="D1">
    <cfRule type="duplicateValues" dxfId="5" priority="143"/>
  </conditionalFormatting>
  <conditionalFormatting sqref="D1">
    <cfRule type="duplicateValues" dxfId="4" priority="145"/>
    <cfRule type="duplicateValues" dxfId="3" priority="146"/>
  </conditionalFormatting>
  <conditionalFormatting sqref="D2">
    <cfRule type="duplicateValues" dxfId="2" priority="149"/>
    <cfRule type="duplicateValues" dxfId="1" priority="150"/>
  </conditionalFormatting>
  <conditionalFormatting sqref="D2">
    <cfRule type="duplicateValues" dxfId="0" priority="15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ADAB-358C-4951-A8B0-77746B31E731}">
  <dimension ref="A1:J20"/>
  <sheetViews>
    <sheetView workbookViewId="0">
      <selection activeCell="E20" sqref="E20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82" t="s">
        <v>210</v>
      </c>
      <c r="B1" s="83" t="s">
        <v>211</v>
      </c>
      <c r="C1" s="83" t="s">
        <v>212</v>
      </c>
      <c r="D1" s="83">
        <v>155</v>
      </c>
      <c r="E1" s="83" t="s">
        <v>213</v>
      </c>
      <c r="F1" s="83" t="s">
        <v>214</v>
      </c>
      <c r="G1" s="83" t="s">
        <v>215</v>
      </c>
      <c r="H1" s="83" t="s">
        <v>216</v>
      </c>
      <c r="I1" s="83" t="s">
        <v>217</v>
      </c>
      <c r="J1" s="84" t="s">
        <v>218</v>
      </c>
    </row>
    <row r="2" spans="1:10" x14ac:dyDescent="0.25">
      <c r="A2" s="82" t="s">
        <v>117</v>
      </c>
      <c r="B2" s="83">
        <f>'202503'!BC6</f>
        <v>391.79</v>
      </c>
      <c r="C2" s="83">
        <f>系统!E17</f>
        <v>446.75</v>
      </c>
      <c r="D2" s="83"/>
      <c r="E2" s="83"/>
      <c r="F2" s="83"/>
      <c r="G2" s="83"/>
      <c r="H2" s="83"/>
      <c r="I2" s="83">
        <f>SUM(C2:G2)</f>
        <v>446.75</v>
      </c>
      <c r="J2" s="85">
        <f t="shared" ref="J2:J10" si="0">B2-C2</f>
        <v>-54.95999999999998</v>
      </c>
    </row>
    <row r="3" spans="1:10" x14ac:dyDescent="0.25">
      <c r="A3" s="82" t="s">
        <v>219</v>
      </c>
      <c r="B3" s="83">
        <f>'202503'!BA6</f>
        <v>60</v>
      </c>
      <c r="C3" s="83">
        <v>0</v>
      </c>
      <c r="D3" s="83"/>
      <c r="E3" s="83"/>
      <c r="F3" s="83"/>
      <c r="G3" s="83"/>
      <c r="H3" s="83"/>
      <c r="I3" s="83">
        <f>SUM(C3:G3)</f>
        <v>0</v>
      </c>
      <c r="J3" s="85">
        <f t="shared" si="0"/>
        <v>60</v>
      </c>
    </row>
    <row r="4" spans="1:10" x14ac:dyDescent="0.25">
      <c r="A4" s="82" t="s">
        <v>220</v>
      </c>
      <c r="B4" s="83">
        <f>'202503'!AG6</f>
        <v>1231.3200000000002</v>
      </c>
      <c r="C4" s="83">
        <f>系统!V17</f>
        <v>1231.3200000000002</v>
      </c>
      <c r="D4" s="83"/>
      <c r="E4" s="83"/>
      <c r="F4" s="83"/>
      <c r="G4" s="83"/>
      <c r="H4" s="83"/>
      <c r="I4" s="83">
        <f>SUM(C4:G4)</f>
        <v>1231.3200000000002</v>
      </c>
      <c r="J4" s="85">
        <f t="shared" si="0"/>
        <v>0</v>
      </c>
    </row>
    <row r="5" spans="1:10" x14ac:dyDescent="0.25">
      <c r="A5" s="82" t="s">
        <v>221</v>
      </c>
      <c r="B5" s="83">
        <f>'202503'!AU6</f>
        <v>2464.4500000000003</v>
      </c>
      <c r="C5" s="83">
        <f>系统!O17</f>
        <v>2464.4499999999998</v>
      </c>
      <c r="D5" s="83"/>
      <c r="E5" s="86"/>
      <c r="F5" s="83"/>
      <c r="G5" s="83"/>
      <c r="H5" s="83"/>
      <c r="I5" s="83">
        <f>SUM(C5:E5)</f>
        <v>2464.4499999999998</v>
      </c>
      <c r="J5" s="85">
        <f t="shared" si="0"/>
        <v>0</v>
      </c>
    </row>
    <row r="6" spans="1:10" x14ac:dyDescent="0.25">
      <c r="A6" s="82" t="s">
        <v>222</v>
      </c>
      <c r="B6" s="83"/>
      <c r="C6" s="83"/>
      <c r="D6" s="83"/>
      <c r="E6" s="83"/>
      <c r="F6" s="83"/>
      <c r="G6" s="83"/>
      <c r="H6" s="83"/>
      <c r="I6" s="83">
        <f t="shared" ref="I6:I10" si="1">SUM(C6:G6)</f>
        <v>0</v>
      </c>
      <c r="J6" s="85">
        <f t="shared" si="0"/>
        <v>0</v>
      </c>
    </row>
    <row r="7" spans="1:10" x14ac:dyDescent="0.25">
      <c r="A7" s="82" t="s">
        <v>223</v>
      </c>
      <c r="B7" s="83">
        <f>'202503'!Z3-'202503'!AG3</f>
        <v>2695.0000000000005</v>
      </c>
      <c r="C7" s="83">
        <f>2690</f>
        <v>2690</v>
      </c>
      <c r="D7" s="83">
        <f>5</f>
        <v>5</v>
      </c>
      <c r="E7" s="83"/>
      <c r="F7" s="83"/>
      <c r="G7" s="83"/>
      <c r="H7" s="83"/>
      <c r="I7" s="83">
        <f t="shared" si="1"/>
        <v>2695</v>
      </c>
      <c r="J7" s="85">
        <f t="shared" si="0"/>
        <v>5.0000000000004547</v>
      </c>
    </row>
    <row r="8" spans="1:10" x14ac:dyDescent="0.25">
      <c r="A8" s="82" t="s">
        <v>224</v>
      </c>
      <c r="B8" s="83"/>
      <c r="C8" s="83"/>
      <c r="D8" s="83">
        <f>B10</f>
        <v>0</v>
      </c>
      <c r="E8" s="87"/>
      <c r="F8" s="87"/>
      <c r="G8" s="88"/>
      <c r="H8" s="88"/>
      <c r="I8" s="83">
        <f t="shared" si="1"/>
        <v>0</v>
      </c>
      <c r="J8" s="85">
        <f t="shared" si="0"/>
        <v>0</v>
      </c>
    </row>
    <row r="9" spans="1:10" x14ac:dyDescent="0.25">
      <c r="A9" s="82" t="s">
        <v>51</v>
      </c>
      <c r="B9" s="83">
        <f>'202503'!AV6</f>
        <v>79</v>
      </c>
      <c r="C9" s="83"/>
      <c r="D9" s="83">
        <f>B8</f>
        <v>0</v>
      </c>
      <c r="E9" s="83"/>
      <c r="F9" s="83">
        <f>B9</f>
        <v>79</v>
      </c>
      <c r="G9" s="88"/>
      <c r="H9" s="88"/>
      <c r="I9" s="83">
        <f t="shared" si="1"/>
        <v>79</v>
      </c>
      <c r="J9" s="85">
        <f t="shared" si="0"/>
        <v>79</v>
      </c>
    </row>
    <row r="10" spans="1:10" x14ac:dyDescent="0.25">
      <c r="A10" s="82" t="s">
        <v>225</v>
      </c>
      <c r="B10" s="83"/>
      <c r="C10" s="83"/>
      <c r="D10" s="83"/>
      <c r="E10" s="83"/>
      <c r="F10" s="83"/>
      <c r="G10" s="83"/>
      <c r="H10" s="83"/>
      <c r="I10" s="83">
        <f t="shared" si="1"/>
        <v>0</v>
      </c>
      <c r="J10" s="85">
        <f t="shared" si="0"/>
        <v>0</v>
      </c>
    </row>
    <row r="11" spans="1:10" x14ac:dyDescent="0.25">
      <c r="A11" s="89" t="s">
        <v>226</v>
      </c>
      <c r="B11" s="90">
        <f t="shared" ref="B11" si="2">SUM(B2:B10)</f>
        <v>6921.5600000000013</v>
      </c>
      <c r="C11" s="90">
        <f>SUM(C2:C10)</f>
        <v>6832.52</v>
      </c>
      <c r="D11" s="90">
        <f>SUM(D2:D10)</f>
        <v>5</v>
      </c>
      <c r="E11" s="90">
        <f>E5</f>
        <v>0</v>
      </c>
      <c r="F11" s="90">
        <f>F9</f>
        <v>79</v>
      </c>
      <c r="G11" s="90">
        <f>G9</f>
        <v>0</v>
      </c>
      <c r="H11" s="90">
        <f>H9</f>
        <v>0</v>
      </c>
      <c r="I11" s="90">
        <f>SUM(C11:G11)</f>
        <v>6916.52</v>
      </c>
    </row>
    <row r="12" spans="1:10" x14ac:dyDescent="0.25">
      <c r="A12" s="82" t="s">
        <v>227</v>
      </c>
      <c r="B12" s="83"/>
      <c r="C12" s="83"/>
      <c r="D12" s="83"/>
      <c r="E12" s="83"/>
      <c r="F12" s="83"/>
      <c r="G12" s="83"/>
      <c r="H12" s="83"/>
      <c r="I12" s="83"/>
    </row>
    <row r="13" spans="1:10" x14ac:dyDescent="0.25">
      <c r="A13" s="82" t="s">
        <v>132</v>
      </c>
      <c r="B13" s="83"/>
      <c r="C13" s="83"/>
      <c r="D13" s="83">
        <f>ROUND((D11+D12)*6%,2)</f>
        <v>0.3</v>
      </c>
      <c r="E13" s="83"/>
      <c r="F13" s="83">
        <f>ROUND((F11+F12)*6%,2)</f>
        <v>4.74</v>
      </c>
      <c r="G13" s="83">
        <f>ROUND((G11+G12)*6%,2)</f>
        <v>0</v>
      </c>
      <c r="H13" s="83">
        <f>ROUND((H11+H12)*6%,2)</f>
        <v>0</v>
      </c>
      <c r="I13" s="83">
        <f>SUM(C13:G13)</f>
        <v>5.04</v>
      </c>
    </row>
    <row r="14" spans="1:10" x14ac:dyDescent="0.25">
      <c r="A14" s="91" t="s">
        <v>46</v>
      </c>
      <c r="B14" s="92">
        <f>SUM(B11:B13)</f>
        <v>6921.5600000000013</v>
      </c>
      <c r="C14" s="92">
        <f t="shared" ref="C14" si="3">SUM(C11:C13)</f>
        <v>6832.52</v>
      </c>
      <c r="D14" s="92">
        <f>SUM(D11:D13)</f>
        <v>5.3</v>
      </c>
      <c r="E14" s="92">
        <f>E11</f>
        <v>0</v>
      </c>
      <c r="F14" s="92">
        <f>SUM(F11:F13)</f>
        <v>83.74</v>
      </c>
      <c r="G14" s="92">
        <f>SUM(G11:G13)</f>
        <v>0</v>
      </c>
      <c r="H14" s="92">
        <f>SUM(H11:H13)</f>
        <v>0</v>
      </c>
      <c r="I14" s="92">
        <f>SUM(C14:H14)</f>
        <v>6921.56</v>
      </c>
    </row>
    <row r="15" spans="1:10" x14ac:dyDescent="0.25">
      <c r="A15" s="91" t="s">
        <v>228</v>
      </c>
      <c r="B15" s="92"/>
      <c r="C15" s="92"/>
      <c r="D15" s="92"/>
      <c r="E15" s="92"/>
      <c r="F15" s="92"/>
      <c r="G15" s="92"/>
      <c r="H15" s="92"/>
      <c r="I15" s="92">
        <f>B14</f>
        <v>6921.5600000000013</v>
      </c>
    </row>
    <row r="16" spans="1:10" x14ac:dyDescent="0.25">
      <c r="A16" s="82" t="s">
        <v>229</v>
      </c>
      <c r="B16" s="83"/>
      <c r="C16" s="83"/>
      <c r="D16" s="83"/>
      <c r="E16" s="83"/>
      <c r="F16" s="83"/>
      <c r="G16" s="83"/>
      <c r="H16" s="83"/>
      <c r="I16" s="83">
        <f>I15-I14</f>
        <v>0</v>
      </c>
    </row>
    <row r="17" spans="1:9" x14ac:dyDescent="0.25">
      <c r="A17" s="82" t="s">
        <v>230</v>
      </c>
      <c r="B17" s="83"/>
      <c r="C17" s="83"/>
      <c r="D17" s="83"/>
      <c r="E17" s="83"/>
      <c r="F17" s="83"/>
      <c r="G17" s="83"/>
      <c r="H17" s="83"/>
      <c r="I17" s="83">
        <f>ROUND(I16/1.06,2)</f>
        <v>0</v>
      </c>
    </row>
    <row r="19" spans="1:9" x14ac:dyDescent="0.25">
      <c r="C19" s="85"/>
      <c r="D19" s="85"/>
    </row>
    <row r="20" spans="1:9" x14ac:dyDescent="0.25">
      <c r="B20" s="85"/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96AE-21DD-42DA-B170-533D3CF39D59}">
  <dimension ref="A1:AE69"/>
  <sheetViews>
    <sheetView workbookViewId="0">
      <selection activeCell="H14" sqref="H14:M14"/>
    </sheetView>
  </sheetViews>
  <sheetFormatPr defaultRowHeight="13.8" x14ac:dyDescent="0.25"/>
  <cols>
    <col min="1" max="4" width="8.88671875" style="41"/>
    <col min="5" max="25" width="8.88671875" style="42"/>
    <col min="26" max="27" width="8.88671875" style="41"/>
    <col min="28" max="28" width="15.77734375" style="41" customWidth="1"/>
    <col min="29" max="29" width="8.88671875" style="42"/>
    <col min="30" max="30" width="8.88671875" style="41"/>
    <col min="31" max="31" width="8.88671875" style="42"/>
    <col min="32" max="16384" width="8.88671875" style="41"/>
  </cols>
  <sheetData>
    <row r="1" spans="1:31" x14ac:dyDescent="0.25">
      <c r="A1" s="40" t="s">
        <v>106</v>
      </c>
    </row>
    <row r="2" spans="1:31" x14ac:dyDescent="0.25">
      <c r="A2" s="40" t="s">
        <v>107</v>
      </c>
    </row>
    <row r="3" spans="1:31" x14ac:dyDescent="0.25">
      <c r="B3" s="40" t="s">
        <v>108</v>
      </c>
    </row>
    <row r="6" spans="1:31" ht="20.399999999999999" x14ac:dyDescent="0.25">
      <c r="D6" s="43" t="s">
        <v>109</v>
      </c>
    </row>
    <row r="7" spans="1:31" ht="20.399999999999999" x14ac:dyDescent="0.25">
      <c r="C7" s="43" t="s">
        <v>110</v>
      </c>
    </row>
    <row r="9" spans="1:31" ht="20.399999999999999" x14ac:dyDescent="0.25">
      <c r="E9" s="44" t="s">
        <v>111</v>
      </c>
    </row>
    <row r="10" spans="1:31" ht="20.399999999999999" x14ac:dyDescent="0.25">
      <c r="E10" s="44" t="s">
        <v>112</v>
      </c>
    </row>
    <row r="11" spans="1:31" ht="15.6" x14ac:dyDescent="0.25">
      <c r="E11" s="45" t="s">
        <v>113</v>
      </c>
    </row>
    <row r="13" spans="1:31" s="47" customFormat="1" ht="13.2" x14ac:dyDescent="0.25">
      <c r="A13" s="46" t="s">
        <v>114</v>
      </c>
      <c r="E13" s="48"/>
      <c r="F13" s="48"/>
      <c r="G13" s="48"/>
      <c r="H13" s="48"/>
      <c r="I13" s="48"/>
      <c r="J13" s="49" t="s">
        <v>231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AC13" s="48"/>
      <c r="AE13" s="48"/>
    </row>
    <row r="14" spans="1:31" s="50" customFormat="1" ht="60" customHeight="1" x14ac:dyDescent="0.15">
      <c r="A14" s="50" t="s">
        <v>85</v>
      </c>
      <c r="B14" s="50" t="s">
        <v>83</v>
      </c>
      <c r="C14" s="50" t="s">
        <v>115</v>
      </c>
      <c r="D14" s="50" t="s">
        <v>116</v>
      </c>
      <c r="E14" s="51" t="s">
        <v>117</v>
      </c>
      <c r="F14" s="51" t="s">
        <v>118</v>
      </c>
      <c r="G14" s="51" t="s">
        <v>119</v>
      </c>
      <c r="H14" s="98" t="s">
        <v>120</v>
      </c>
      <c r="I14" s="99"/>
      <c r="J14" s="99"/>
      <c r="K14" s="99"/>
      <c r="L14" s="99"/>
      <c r="M14" s="100"/>
      <c r="N14" s="52" t="s">
        <v>121</v>
      </c>
      <c r="O14" s="51" t="s">
        <v>122</v>
      </c>
      <c r="P14" s="98" t="s">
        <v>123</v>
      </c>
      <c r="Q14" s="99"/>
      <c r="R14" s="99"/>
      <c r="S14" s="99"/>
      <c r="T14" s="100"/>
      <c r="U14" s="52" t="s">
        <v>124</v>
      </c>
      <c r="V14" s="51" t="s">
        <v>125</v>
      </c>
      <c r="W14" s="51" t="s">
        <v>232</v>
      </c>
      <c r="X14" s="51" t="s">
        <v>126</v>
      </c>
      <c r="Y14" s="53" t="s">
        <v>46</v>
      </c>
      <c r="Z14" s="50" t="s">
        <v>127</v>
      </c>
      <c r="AA14" s="50" t="s">
        <v>128</v>
      </c>
      <c r="AB14" s="50" t="s">
        <v>129</v>
      </c>
      <c r="AC14" s="51" t="s">
        <v>130</v>
      </c>
      <c r="AD14" s="50" t="s">
        <v>131</v>
      </c>
      <c r="AE14" s="51" t="s">
        <v>132</v>
      </c>
    </row>
    <row r="15" spans="1:31" s="54" customFormat="1" ht="60" customHeight="1" x14ac:dyDescent="0.25">
      <c r="A15" s="54" t="s">
        <v>133</v>
      </c>
      <c r="B15" s="54" t="s">
        <v>43</v>
      </c>
      <c r="C15" s="54" t="s">
        <v>134</v>
      </c>
      <c r="D15" s="54" t="s">
        <v>135</v>
      </c>
      <c r="E15" s="55" t="s">
        <v>136</v>
      </c>
      <c r="F15" s="55" t="s">
        <v>137</v>
      </c>
      <c r="G15" s="55" t="s">
        <v>138</v>
      </c>
      <c r="H15" s="56" t="s">
        <v>139</v>
      </c>
      <c r="I15" s="56" t="s">
        <v>140</v>
      </c>
      <c r="J15" s="56" t="s">
        <v>141</v>
      </c>
      <c r="K15" s="56" t="s">
        <v>142</v>
      </c>
      <c r="L15" s="56" t="s">
        <v>143</v>
      </c>
      <c r="M15" s="56" t="s">
        <v>144</v>
      </c>
      <c r="N15" s="56" t="s">
        <v>145</v>
      </c>
      <c r="O15" s="55" t="s">
        <v>146</v>
      </c>
      <c r="P15" s="56" t="s">
        <v>139</v>
      </c>
      <c r="Q15" s="56" t="s">
        <v>140</v>
      </c>
      <c r="R15" s="56" t="s">
        <v>141</v>
      </c>
      <c r="S15" s="56" t="s">
        <v>142</v>
      </c>
      <c r="T15" s="56" t="s">
        <v>143</v>
      </c>
      <c r="U15" s="56" t="s">
        <v>145</v>
      </c>
      <c r="V15" s="55" t="s">
        <v>147</v>
      </c>
      <c r="W15" s="55" t="s">
        <v>233</v>
      </c>
      <c r="X15" s="55" t="s">
        <v>148</v>
      </c>
      <c r="Y15" s="57" t="s">
        <v>149</v>
      </c>
      <c r="Z15" s="54" t="s">
        <v>150</v>
      </c>
      <c r="AA15" s="54" t="s">
        <v>151</v>
      </c>
      <c r="AB15" s="54" t="s">
        <v>152</v>
      </c>
      <c r="AC15" s="55" t="s">
        <v>153</v>
      </c>
      <c r="AD15" s="54" t="s">
        <v>154</v>
      </c>
      <c r="AE15" s="55" t="s">
        <v>2</v>
      </c>
    </row>
    <row r="16" spans="1:31" s="58" customFormat="1" ht="11.4" x14ac:dyDescent="0.25">
      <c r="A16" s="58">
        <v>1</v>
      </c>
      <c r="B16" s="58" t="s">
        <v>101</v>
      </c>
      <c r="C16" s="58" t="s">
        <v>155</v>
      </c>
      <c r="D16" s="58" t="s">
        <v>156</v>
      </c>
      <c r="E16" s="59">
        <v>446.75</v>
      </c>
      <c r="F16" s="59">
        <v>7384</v>
      </c>
      <c r="G16" s="59">
        <v>6520</v>
      </c>
      <c r="H16" s="59">
        <v>1181.44</v>
      </c>
      <c r="I16" s="59">
        <v>664.56</v>
      </c>
      <c r="J16" s="59">
        <v>36.92</v>
      </c>
      <c r="K16" s="59">
        <v>14.77</v>
      </c>
      <c r="L16" s="59"/>
      <c r="M16" s="59">
        <v>110.76</v>
      </c>
      <c r="N16" s="59">
        <v>456</v>
      </c>
      <c r="O16" s="59">
        <f>SUM(H16:N16)</f>
        <v>2464.4499999999998</v>
      </c>
      <c r="P16" s="59">
        <v>590.72</v>
      </c>
      <c r="Q16" s="59">
        <v>147.68</v>
      </c>
      <c r="R16" s="59">
        <v>36.92</v>
      </c>
      <c r="S16" s="59"/>
      <c r="T16" s="59"/>
      <c r="U16" s="59">
        <v>456</v>
      </c>
      <c r="V16" s="59">
        <f>SUM(P16:U16)</f>
        <v>1231.3200000000002</v>
      </c>
      <c r="W16" s="59">
        <v>2690</v>
      </c>
      <c r="X16" s="59"/>
      <c r="Y16" s="60">
        <f>SUM(E16,O16,V16:X16)</f>
        <v>6832.52</v>
      </c>
      <c r="AA16" s="58" t="s">
        <v>157</v>
      </c>
      <c r="AB16" s="58" t="s">
        <v>102</v>
      </c>
      <c r="AC16" s="61">
        <v>6445.76</v>
      </c>
      <c r="AD16" s="58" t="s">
        <v>158</v>
      </c>
      <c r="AE16" s="61">
        <v>386.76</v>
      </c>
    </row>
    <row r="17" spans="1:31" s="58" customFormat="1" ht="11.4" x14ac:dyDescent="0.25">
      <c r="A17" s="58" t="s">
        <v>159</v>
      </c>
      <c r="E17" s="59">
        <f>SUM(E16:E16)</f>
        <v>446.75</v>
      </c>
      <c r="F17" s="59"/>
      <c r="G17" s="59"/>
      <c r="H17" s="59">
        <f t="shared" ref="H17:Y17" si="0">SUM(H16:H16)</f>
        <v>1181.44</v>
      </c>
      <c r="I17" s="59">
        <f t="shared" si="0"/>
        <v>664.56</v>
      </c>
      <c r="J17" s="59">
        <f t="shared" si="0"/>
        <v>36.92</v>
      </c>
      <c r="K17" s="59">
        <f t="shared" si="0"/>
        <v>14.77</v>
      </c>
      <c r="L17" s="59">
        <f t="shared" si="0"/>
        <v>0</v>
      </c>
      <c r="M17" s="59">
        <f t="shared" si="0"/>
        <v>110.76</v>
      </c>
      <c r="N17" s="59">
        <f t="shared" si="0"/>
        <v>456</v>
      </c>
      <c r="O17" s="59">
        <f t="shared" si="0"/>
        <v>2464.4499999999998</v>
      </c>
      <c r="P17" s="59">
        <f t="shared" si="0"/>
        <v>590.72</v>
      </c>
      <c r="Q17" s="59">
        <f t="shared" si="0"/>
        <v>147.68</v>
      </c>
      <c r="R17" s="59">
        <f t="shared" si="0"/>
        <v>36.92</v>
      </c>
      <c r="S17" s="59">
        <f t="shared" si="0"/>
        <v>0</v>
      </c>
      <c r="T17" s="59">
        <f t="shared" si="0"/>
        <v>0</v>
      </c>
      <c r="U17" s="59">
        <f t="shared" si="0"/>
        <v>456</v>
      </c>
      <c r="V17" s="59">
        <f t="shared" si="0"/>
        <v>1231.3200000000002</v>
      </c>
      <c r="W17" s="59">
        <f t="shared" si="0"/>
        <v>2690</v>
      </c>
      <c r="X17" s="59">
        <f t="shared" si="0"/>
        <v>0</v>
      </c>
      <c r="Y17" s="60">
        <f t="shared" si="0"/>
        <v>6832.52</v>
      </c>
      <c r="AC17" s="61">
        <f>SUM(AC16:AC16)</f>
        <v>6445.76</v>
      </c>
      <c r="AE17" s="61">
        <f>SUM(AE16:AE16)</f>
        <v>386.76</v>
      </c>
    </row>
    <row r="18" spans="1:31" s="58" customFormat="1" ht="11.4" x14ac:dyDescent="0.25">
      <c r="A18" s="62" t="s">
        <v>234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63">
        <v>6832.52</v>
      </c>
      <c r="AC18" s="61"/>
      <c r="AE18" s="61"/>
    </row>
    <row r="19" spans="1:31" x14ac:dyDescent="0.25"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spans="1:31" s="66" customFormat="1" ht="11.4" x14ac:dyDescent="0.25">
      <c r="A20" s="65" t="s">
        <v>160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AC20" s="67"/>
      <c r="AE20" s="67"/>
    </row>
    <row r="21" spans="1:31" s="69" customFormat="1" ht="30" customHeight="1" x14ac:dyDescent="0.15">
      <c r="A21" s="50" t="s">
        <v>85</v>
      </c>
      <c r="B21" s="50" t="s">
        <v>115</v>
      </c>
      <c r="C21" s="50" t="s">
        <v>161</v>
      </c>
      <c r="D21" s="50" t="s">
        <v>162</v>
      </c>
      <c r="E21" s="51" t="s">
        <v>127</v>
      </c>
      <c r="F21" s="51" t="s">
        <v>130</v>
      </c>
      <c r="G21" s="51" t="s">
        <v>131</v>
      </c>
      <c r="H21" s="51" t="s">
        <v>132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AC21" s="68"/>
      <c r="AE21" s="68"/>
    </row>
    <row r="22" spans="1:31" s="71" customFormat="1" ht="30" customHeight="1" x14ac:dyDescent="0.25">
      <c r="A22" s="54" t="s">
        <v>133</v>
      </c>
      <c r="B22" s="54" t="s">
        <v>134</v>
      </c>
      <c r="C22" s="54" t="s">
        <v>163</v>
      </c>
      <c r="D22" s="54" t="s">
        <v>164</v>
      </c>
      <c r="E22" s="55" t="s">
        <v>150</v>
      </c>
      <c r="F22" s="55" t="s">
        <v>153</v>
      </c>
      <c r="G22" s="55" t="s">
        <v>154</v>
      </c>
      <c r="H22" s="55" t="s">
        <v>2</v>
      </c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AC22" s="70"/>
      <c r="AE22" s="70"/>
    </row>
    <row r="23" spans="1:31" s="66" customFormat="1" ht="11.4" x14ac:dyDescent="0.25">
      <c r="A23" s="58">
        <v>1</v>
      </c>
      <c r="B23" s="58" t="s">
        <v>155</v>
      </c>
      <c r="C23" s="58" t="s">
        <v>165</v>
      </c>
      <c r="D23" s="59">
        <v>0</v>
      </c>
      <c r="E23" s="61"/>
      <c r="F23" s="59">
        <v>0.01</v>
      </c>
      <c r="G23" s="61">
        <v>0.06</v>
      </c>
      <c r="H23" s="59">
        <v>-0.01</v>
      </c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AC23" s="67"/>
      <c r="AE23" s="67"/>
    </row>
    <row r="24" spans="1:31" s="66" customFormat="1" ht="11.4" x14ac:dyDescent="0.25">
      <c r="A24" s="58" t="s">
        <v>159</v>
      </c>
      <c r="B24" s="58"/>
      <c r="C24" s="58"/>
      <c r="D24" s="59">
        <f>SUM(D23:D23)</f>
        <v>0</v>
      </c>
      <c r="E24" s="61"/>
      <c r="F24" s="59">
        <f>SUM(F23:F23)</f>
        <v>0.01</v>
      </c>
      <c r="G24" s="61"/>
      <c r="H24" s="59">
        <f>SUM(H23:H23)</f>
        <v>-0.01</v>
      </c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AC24" s="67"/>
      <c r="AE24" s="67"/>
    </row>
    <row r="25" spans="1:31" s="66" customFormat="1" ht="11.4" x14ac:dyDescent="0.25">
      <c r="A25" s="62" t="s">
        <v>166</v>
      </c>
      <c r="B25" s="58"/>
      <c r="C25" s="58"/>
      <c r="D25" s="72">
        <v>0</v>
      </c>
      <c r="E25" s="61"/>
      <c r="F25" s="72">
        <v>0.01</v>
      </c>
      <c r="G25" s="61"/>
      <c r="H25" s="72">
        <v>-0.01</v>
      </c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AC25" s="67"/>
      <c r="AE25" s="67"/>
    </row>
    <row r="27" spans="1:31" x14ac:dyDescent="0.25">
      <c r="A27" s="41" t="s">
        <v>167</v>
      </c>
    </row>
    <row r="28" spans="1:31" ht="25.05" customHeight="1" x14ac:dyDescent="0.25">
      <c r="A28" s="101" t="s">
        <v>168</v>
      </c>
      <c r="B28" s="101" t="s">
        <v>169</v>
      </c>
      <c r="C28" s="101" t="s">
        <v>131</v>
      </c>
      <c r="D28" s="101" t="s">
        <v>170</v>
      </c>
    </row>
    <row r="29" spans="1:31" ht="25.05" customHeight="1" x14ac:dyDescent="0.25">
      <c r="A29" s="102"/>
      <c r="B29" s="102"/>
      <c r="C29" s="102"/>
      <c r="D29" s="102"/>
    </row>
    <row r="30" spans="1:31" x14ac:dyDescent="0.25">
      <c r="A30" s="58">
        <v>1</v>
      </c>
      <c r="B30" s="61">
        <v>6445.77</v>
      </c>
      <c r="C30" s="58" t="s">
        <v>158</v>
      </c>
      <c r="D30" s="61">
        <v>386.75</v>
      </c>
    </row>
    <row r="31" spans="1:31" x14ac:dyDescent="0.25">
      <c r="A31" s="58" t="s">
        <v>171</v>
      </c>
      <c r="B31" s="61">
        <v>6445.77</v>
      </c>
      <c r="C31" s="58"/>
      <c r="D31" s="61">
        <v>386.75</v>
      </c>
    </row>
    <row r="32" spans="1:31" x14ac:dyDescent="0.25">
      <c r="A32" s="96" t="s">
        <v>172</v>
      </c>
      <c r="B32" s="97"/>
      <c r="C32" s="97"/>
      <c r="D32" s="73">
        <v>386.75</v>
      </c>
    </row>
    <row r="33" spans="1:31" x14ac:dyDescent="0.25">
      <c r="A33" s="74" t="s">
        <v>235</v>
      </c>
    </row>
    <row r="34" spans="1:31" x14ac:dyDescent="0.25">
      <c r="A34" s="75">
        <v>6832.52</v>
      </c>
    </row>
    <row r="35" spans="1:31" x14ac:dyDescent="0.25">
      <c r="A35" s="74" t="s">
        <v>236</v>
      </c>
    </row>
    <row r="37" spans="1:31" s="77" customFormat="1" ht="17.399999999999999" x14ac:dyDescent="0.25">
      <c r="A37" s="76" t="s">
        <v>237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AC37" s="78"/>
      <c r="AE37" s="78"/>
    </row>
    <row r="39" spans="1:31" s="47" customFormat="1" ht="13.2" x14ac:dyDescent="0.25">
      <c r="A39" s="46" t="s">
        <v>173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AC39" s="48"/>
      <c r="AE39" s="48"/>
    </row>
    <row r="40" spans="1:31" s="66" customFormat="1" ht="11.4" x14ac:dyDescent="0.25">
      <c r="A40" s="58" t="s">
        <v>85</v>
      </c>
      <c r="B40" s="58" t="s">
        <v>83</v>
      </c>
      <c r="C40" s="58" t="s">
        <v>79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AC40" s="67"/>
      <c r="AE40" s="67"/>
    </row>
    <row r="41" spans="1:31" s="66" customFormat="1" ht="11.4" x14ac:dyDescent="0.25">
      <c r="A41" s="58">
        <v>1</v>
      </c>
      <c r="B41" s="58" t="s">
        <v>98</v>
      </c>
      <c r="C41" s="58" t="s">
        <v>174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AC41" s="67"/>
      <c r="AE41" s="67"/>
    </row>
    <row r="43" spans="1:31" x14ac:dyDescent="0.25">
      <c r="A43" s="79" t="s">
        <v>175</v>
      </c>
      <c r="J43" s="42" t="s">
        <v>176</v>
      </c>
    </row>
    <row r="45" spans="1:31" x14ac:dyDescent="0.25">
      <c r="A45" s="40" t="s">
        <v>177</v>
      </c>
      <c r="G45" s="80" t="s">
        <v>177</v>
      </c>
    </row>
    <row r="46" spans="1:31" x14ac:dyDescent="0.25">
      <c r="A46" s="40" t="s">
        <v>178</v>
      </c>
      <c r="G46" s="80" t="s">
        <v>179</v>
      </c>
    </row>
    <row r="47" spans="1:31" x14ac:dyDescent="0.25">
      <c r="A47" s="40" t="s">
        <v>180</v>
      </c>
      <c r="G47" s="80" t="s">
        <v>181</v>
      </c>
    </row>
    <row r="48" spans="1:31" x14ac:dyDescent="0.25">
      <c r="A48" s="40" t="s">
        <v>182</v>
      </c>
      <c r="G48" s="80" t="s">
        <v>183</v>
      </c>
    </row>
    <row r="49" spans="1:10" x14ac:dyDescent="0.25">
      <c r="A49" s="40" t="s">
        <v>184</v>
      </c>
      <c r="G49" s="80" t="s">
        <v>185</v>
      </c>
    </row>
    <row r="51" spans="1:10" x14ac:dyDescent="0.25">
      <c r="A51" s="40" t="s">
        <v>177</v>
      </c>
    </row>
    <row r="52" spans="1:10" x14ac:dyDescent="0.25">
      <c r="A52" s="40" t="s">
        <v>186</v>
      </c>
    </row>
    <row r="53" spans="1:10" x14ac:dyDescent="0.25">
      <c r="A53" s="40" t="s">
        <v>187</v>
      </c>
    </row>
    <row r="54" spans="1:10" x14ac:dyDescent="0.25">
      <c r="A54" s="40" t="s">
        <v>188</v>
      </c>
    </row>
    <row r="55" spans="1:10" x14ac:dyDescent="0.25">
      <c r="A55" s="40" t="s">
        <v>189</v>
      </c>
    </row>
    <row r="57" spans="1:10" x14ac:dyDescent="0.25">
      <c r="A57" s="79" t="s">
        <v>190</v>
      </c>
      <c r="D57" s="79" t="s">
        <v>191</v>
      </c>
      <c r="G57" s="80" t="s">
        <v>109</v>
      </c>
    </row>
    <row r="58" spans="1:10" x14ac:dyDescent="0.25">
      <c r="A58" s="79" t="s">
        <v>192</v>
      </c>
      <c r="G58" s="81" t="s">
        <v>193</v>
      </c>
    </row>
    <row r="59" spans="1:10" x14ac:dyDescent="0.25">
      <c r="A59" s="79" t="s">
        <v>194</v>
      </c>
      <c r="D59" s="79" t="s">
        <v>195</v>
      </c>
      <c r="G59" s="81" t="s">
        <v>196</v>
      </c>
    </row>
    <row r="60" spans="1:10" x14ac:dyDescent="0.25">
      <c r="A60" s="79" t="s">
        <v>197</v>
      </c>
      <c r="D60" s="79" t="s">
        <v>198</v>
      </c>
      <c r="G60" s="81" t="s">
        <v>199</v>
      </c>
      <c r="J60" s="81" t="s">
        <v>200</v>
      </c>
    </row>
    <row r="62" spans="1:10" x14ac:dyDescent="0.25">
      <c r="A62" s="79" t="s">
        <v>201</v>
      </c>
      <c r="B62" s="79" t="s">
        <v>202</v>
      </c>
    </row>
    <row r="63" spans="1:10" x14ac:dyDescent="0.25">
      <c r="B63" s="79" t="s">
        <v>203</v>
      </c>
    </row>
    <row r="64" spans="1:10" x14ac:dyDescent="0.25">
      <c r="B64" s="79" t="s">
        <v>204</v>
      </c>
    </row>
    <row r="65" spans="1:2" x14ac:dyDescent="0.25">
      <c r="B65" s="79" t="s">
        <v>205</v>
      </c>
    </row>
    <row r="66" spans="1:2" x14ac:dyDescent="0.25">
      <c r="B66" s="79" t="s">
        <v>206</v>
      </c>
    </row>
    <row r="68" spans="1:2" x14ac:dyDescent="0.25">
      <c r="A68" s="79" t="s">
        <v>207</v>
      </c>
      <c r="B68" s="79" t="s">
        <v>208</v>
      </c>
    </row>
    <row r="69" spans="1:2" x14ac:dyDescent="0.25">
      <c r="B69" s="79" t="s">
        <v>209</v>
      </c>
    </row>
  </sheetData>
  <mergeCells count="7">
    <mergeCell ref="A32:C32"/>
    <mergeCell ref="H14:M14"/>
    <mergeCell ref="P14:T14"/>
    <mergeCell ref="A28:A29"/>
    <mergeCell ref="B28:B29"/>
    <mergeCell ref="C28:C29"/>
    <mergeCell ref="D28:D2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202503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2025-03-17T06:16:21Z</dcterms:modified>
</cp:coreProperties>
</file>