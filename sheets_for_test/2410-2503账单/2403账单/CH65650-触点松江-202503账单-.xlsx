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503电信\202503账单\"/>
    </mc:Choice>
  </mc:AlternateContent>
  <xr:revisionPtr revIDLastSave="0" documentId="13_ncr:1_{55939D8E-BCB3-4DA4-AF18-06A384654BE4}" xr6:coauthVersionLast="36" xr6:coauthVersionMax="36" xr10:uidLastSave="{00000000-0000-0000-0000-000000000000}"/>
  <bookViews>
    <workbookView xWindow="0" yWindow="0" windowWidth="23040" windowHeight="8700" activeTab="1" xr2:uid="{749AFD7C-D758-4954-9089-754474E162FD}"/>
  </bookViews>
  <sheets>
    <sheet name="202503" sheetId="1" r:id="rId1"/>
    <sheet name="对账单" sheetId="3" r:id="rId2"/>
    <sheet name="系统" sheetId="2" r:id="rId3"/>
  </sheets>
  <definedNames>
    <definedName name="_xlnm._FilterDatabase" localSheetId="0" hidden="1">'202503'!$A$1:$BE$42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2" i="3"/>
  <c r="C7" i="3"/>
  <c r="C5" i="3"/>
  <c r="J5" i="3" s="1"/>
  <c r="C4" i="3"/>
  <c r="C2" i="3"/>
  <c r="B9" i="3"/>
  <c r="F9" i="3" s="1"/>
  <c r="B7" i="3"/>
  <c r="B5" i="3"/>
  <c r="B4" i="3"/>
  <c r="J4" i="3" s="1"/>
  <c r="B3" i="3"/>
  <c r="B2" i="3"/>
  <c r="E14" i="3"/>
  <c r="H11" i="3"/>
  <c r="G11" i="3"/>
  <c r="E11" i="3"/>
  <c r="J10" i="3"/>
  <c r="I10" i="3"/>
  <c r="D9" i="3"/>
  <c r="I8" i="3"/>
  <c r="J8" i="3"/>
  <c r="I7" i="3"/>
  <c r="J6" i="3"/>
  <c r="I6" i="3"/>
  <c r="I5" i="3"/>
  <c r="I4" i="3"/>
  <c r="J3" i="3"/>
  <c r="I3" i="3"/>
  <c r="I2" i="3"/>
  <c r="J2" i="3"/>
  <c r="B11" i="3" l="1"/>
  <c r="B14" i="3" s="1"/>
  <c r="I15" i="3" s="1"/>
  <c r="F11" i="3"/>
  <c r="I9" i="3"/>
  <c r="G14" i="3"/>
  <c r="J7" i="3"/>
  <c r="C11" i="3"/>
  <c r="D11" i="3"/>
  <c r="G13" i="3"/>
  <c r="J9" i="3"/>
  <c r="H13" i="3"/>
  <c r="H14" i="3" s="1"/>
  <c r="F13" i="3" l="1"/>
  <c r="F14" i="3" s="1"/>
  <c r="D13" i="3"/>
  <c r="I11" i="3"/>
  <c r="C14" i="3"/>
  <c r="I13" i="3" l="1"/>
  <c r="D14" i="3"/>
  <c r="I14" i="3" l="1"/>
  <c r="I16" i="3" s="1"/>
  <c r="I17" i="3" s="1"/>
  <c r="H64" i="2" l="1"/>
  <c r="F64" i="2"/>
  <c r="D64" i="2"/>
  <c r="AF57" i="2"/>
  <c r="AD57" i="2"/>
  <c r="X57" i="2"/>
  <c r="W57" i="2"/>
  <c r="U57" i="2"/>
  <c r="T57" i="2"/>
  <c r="S57" i="2"/>
  <c r="R57" i="2"/>
  <c r="Q57" i="2"/>
  <c r="P57" i="2"/>
  <c r="N57" i="2"/>
  <c r="M57" i="2"/>
  <c r="L57" i="2"/>
  <c r="K57" i="2"/>
  <c r="J57" i="2"/>
  <c r="I57" i="2"/>
  <c r="H57" i="2"/>
  <c r="E57" i="2"/>
  <c r="V56" i="2"/>
  <c r="O56" i="2"/>
  <c r="Y56" i="2" s="1"/>
  <c r="Y55" i="2"/>
  <c r="V55" i="2"/>
  <c r="O55" i="2"/>
  <c r="V54" i="2"/>
  <c r="Y54" i="2" s="1"/>
  <c r="O54" i="2"/>
  <c r="V53" i="2"/>
  <c r="O53" i="2"/>
  <c r="Y53" i="2" s="1"/>
  <c r="V52" i="2"/>
  <c r="O52" i="2"/>
  <c r="Y52" i="2" s="1"/>
  <c r="Y51" i="2"/>
  <c r="V51" i="2"/>
  <c r="O51" i="2"/>
  <c r="V50" i="2"/>
  <c r="Y50" i="2" s="1"/>
  <c r="O50" i="2"/>
  <c r="V49" i="2"/>
  <c r="O49" i="2"/>
  <c r="Y49" i="2" s="1"/>
  <c r="V48" i="2"/>
  <c r="O48" i="2"/>
  <c r="Y48" i="2" s="1"/>
  <c r="Y47" i="2"/>
  <c r="V47" i="2"/>
  <c r="O47" i="2"/>
  <c r="V46" i="2"/>
  <c r="Y46" i="2" s="1"/>
  <c r="O46" i="2"/>
  <c r="V45" i="2"/>
  <c r="O45" i="2"/>
  <c r="Y45" i="2" s="1"/>
  <c r="V44" i="2"/>
  <c r="O44" i="2"/>
  <c r="Y44" i="2" s="1"/>
  <c r="Y43" i="2"/>
  <c r="V43" i="2"/>
  <c r="O43" i="2"/>
  <c r="V42" i="2"/>
  <c r="Y42" i="2" s="1"/>
  <c r="O42" i="2"/>
  <c r="V41" i="2"/>
  <c r="O41" i="2"/>
  <c r="Y41" i="2" s="1"/>
  <c r="V40" i="2"/>
  <c r="O40" i="2"/>
  <c r="Y40" i="2" s="1"/>
  <c r="Y39" i="2"/>
  <c r="V39" i="2"/>
  <c r="O39" i="2"/>
  <c r="V38" i="2"/>
  <c r="Y38" i="2" s="1"/>
  <c r="O38" i="2"/>
  <c r="V37" i="2"/>
  <c r="O37" i="2"/>
  <c r="Y37" i="2" s="1"/>
  <c r="V36" i="2"/>
  <c r="O36" i="2"/>
  <c r="Y36" i="2" s="1"/>
  <c r="Y35" i="2"/>
  <c r="V35" i="2"/>
  <c r="O35" i="2"/>
  <c r="V34" i="2"/>
  <c r="Y34" i="2" s="1"/>
  <c r="O34" i="2"/>
  <c r="V33" i="2"/>
  <c r="O33" i="2"/>
  <c r="Y33" i="2" s="1"/>
  <c r="V32" i="2"/>
  <c r="O32" i="2"/>
  <c r="Y32" i="2" s="1"/>
  <c r="Y31" i="2"/>
  <c r="V31" i="2"/>
  <c r="O31" i="2"/>
  <c r="V30" i="2"/>
  <c r="Y30" i="2" s="1"/>
  <c r="O30" i="2"/>
  <c r="V29" i="2"/>
  <c r="O29" i="2"/>
  <c r="Y29" i="2" s="1"/>
  <c r="V28" i="2"/>
  <c r="O28" i="2"/>
  <c r="Y28" i="2" s="1"/>
  <c r="Y27" i="2"/>
  <c r="V27" i="2"/>
  <c r="O27" i="2"/>
  <c r="V26" i="2"/>
  <c r="Y26" i="2" s="1"/>
  <c r="O26" i="2"/>
  <c r="V25" i="2"/>
  <c r="O25" i="2"/>
  <c r="Y25" i="2" s="1"/>
  <c r="V24" i="2"/>
  <c r="O24" i="2"/>
  <c r="Y24" i="2" s="1"/>
  <c r="Y23" i="2"/>
  <c r="V23" i="2"/>
  <c r="O23" i="2"/>
  <c r="V22" i="2"/>
  <c r="Y22" i="2" s="1"/>
  <c r="O22" i="2"/>
  <c r="V21" i="2"/>
  <c r="O21" i="2"/>
  <c r="Y21" i="2" s="1"/>
  <c r="V20" i="2"/>
  <c r="O20" i="2"/>
  <c r="Y20" i="2" s="1"/>
  <c r="Y19" i="2"/>
  <c r="V19" i="2"/>
  <c r="O19" i="2"/>
  <c r="V18" i="2"/>
  <c r="Y18" i="2" s="1"/>
  <c r="O18" i="2"/>
  <c r="V17" i="2"/>
  <c r="O17" i="2"/>
  <c r="O57" i="2" s="1"/>
  <c r="V16" i="2"/>
  <c r="V57" i="2" s="1"/>
  <c r="O16" i="2"/>
  <c r="Y16" i="2" s="1"/>
  <c r="Y17" i="2" l="1"/>
  <c r="Y57" i="2" s="1"/>
  <c r="Z44" i="1" l="1"/>
  <c r="AG44" i="1"/>
  <c r="AK44" i="1"/>
  <c r="AU44" i="1"/>
  <c r="AV44" i="1"/>
  <c r="AW44" i="1"/>
  <c r="AZ44" i="1"/>
  <c r="BA44" i="1"/>
  <c r="BB44" i="1"/>
  <c r="BC44" i="1"/>
  <c r="BD44" i="1"/>
  <c r="BA3" i="1" l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D43" i="1"/>
  <c r="AU43" i="1"/>
  <c r="AG43" i="1"/>
  <c r="Z43" i="1"/>
  <c r="AK43" i="1" s="1"/>
  <c r="A43" i="1"/>
  <c r="AW43" i="1" l="1"/>
  <c r="BB43" i="1" s="1"/>
  <c r="AU12" i="1"/>
  <c r="BC43" i="1" l="1"/>
  <c r="AX44" i="1" l="1"/>
  <c r="AG12" i="1" l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T42" i="1" l="1"/>
  <c r="AS42" i="1"/>
  <c r="AP42" i="1"/>
  <c r="AO42" i="1"/>
  <c r="AN42" i="1"/>
  <c r="AF42" i="1"/>
  <c r="AG42" i="1" s="1"/>
  <c r="AT41" i="1"/>
  <c r="AS41" i="1"/>
  <c r="AP41" i="1"/>
  <c r="AO41" i="1"/>
  <c r="AN41" i="1"/>
  <c r="AF41" i="1"/>
  <c r="AG41" i="1" s="1"/>
  <c r="AT40" i="1"/>
  <c r="AS40" i="1"/>
  <c r="AP40" i="1"/>
  <c r="AO40" i="1"/>
  <c r="AN40" i="1"/>
  <c r="AF40" i="1"/>
  <c r="AG40" i="1" s="1"/>
  <c r="AT39" i="1"/>
  <c r="AS39" i="1"/>
  <c r="AP39" i="1"/>
  <c r="AO39" i="1"/>
  <c r="AN39" i="1"/>
  <c r="AF39" i="1"/>
  <c r="AG39" i="1" s="1"/>
  <c r="AT38" i="1"/>
  <c r="AS38" i="1"/>
  <c r="AP38" i="1"/>
  <c r="AO38" i="1"/>
  <c r="AN38" i="1"/>
  <c r="AF38" i="1"/>
  <c r="AG38" i="1" s="1"/>
  <c r="AT37" i="1"/>
  <c r="AS37" i="1"/>
  <c r="AP37" i="1"/>
  <c r="AO37" i="1"/>
  <c r="AN37" i="1"/>
  <c r="AF37" i="1"/>
  <c r="AG37" i="1" s="1"/>
  <c r="AT36" i="1"/>
  <c r="AS36" i="1"/>
  <c r="AP36" i="1"/>
  <c r="AO36" i="1"/>
  <c r="AN36" i="1"/>
  <c r="AF36" i="1"/>
  <c r="AG36" i="1" s="1"/>
  <c r="AT35" i="1"/>
  <c r="AS35" i="1"/>
  <c r="AP35" i="1"/>
  <c r="AN35" i="1"/>
  <c r="AF35" i="1"/>
  <c r="AG35" i="1" s="1"/>
  <c r="AT34" i="1"/>
  <c r="AS34" i="1"/>
  <c r="AP34" i="1"/>
  <c r="AO34" i="1"/>
  <c r="AN34" i="1"/>
  <c r="AF34" i="1"/>
  <c r="AG34" i="1" s="1"/>
  <c r="AT33" i="1"/>
  <c r="AS33" i="1"/>
  <c r="AP33" i="1"/>
  <c r="AO33" i="1"/>
  <c r="AN33" i="1"/>
  <c r="AF33" i="1"/>
  <c r="AG33" i="1" s="1"/>
  <c r="AT32" i="1"/>
  <c r="AS32" i="1"/>
  <c r="AP32" i="1"/>
  <c r="AO32" i="1"/>
  <c r="AN32" i="1"/>
  <c r="AF32" i="1"/>
  <c r="AG32" i="1" s="1"/>
  <c r="AT31" i="1"/>
  <c r="AS31" i="1"/>
  <c r="AP31" i="1"/>
  <c r="AO31" i="1"/>
  <c r="AN31" i="1"/>
  <c r="AF31" i="1"/>
  <c r="AG31" i="1" s="1"/>
  <c r="AT30" i="1"/>
  <c r="AS30" i="1"/>
  <c r="AP30" i="1"/>
  <c r="AN30" i="1"/>
  <c r="AF30" i="1"/>
  <c r="AG30" i="1" s="1"/>
  <c r="AT29" i="1"/>
  <c r="AS29" i="1"/>
  <c r="AP29" i="1"/>
  <c r="AO29" i="1"/>
  <c r="AN29" i="1"/>
  <c r="AF29" i="1"/>
  <c r="AG29" i="1" s="1"/>
  <c r="AT28" i="1"/>
  <c r="AS28" i="1"/>
  <c r="AP28" i="1"/>
  <c r="AN28" i="1"/>
  <c r="AF28" i="1"/>
  <c r="AG28" i="1" s="1"/>
  <c r="AT27" i="1"/>
  <c r="AS27" i="1"/>
  <c r="AP27" i="1"/>
  <c r="AO27" i="1"/>
  <c r="AN27" i="1"/>
  <c r="AF27" i="1"/>
  <c r="AG27" i="1" s="1"/>
  <c r="AT26" i="1"/>
  <c r="AS26" i="1"/>
  <c r="AP26" i="1"/>
  <c r="AO26" i="1"/>
  <c r="AN26" i="1"/>
  <c r="AF26" i="1"/>
  <c r="AG26" i="1" s="1"/>
  <c r="AT25" i="1"/>
  <c r="AS25" i="1"/>
  <c r="AP25" i="1"/>
  <c r="AO25" i="1"/>
  <c r="AN25" i="1"/>
  <c r="AF25" i="1"/>
  <c r="AG25" i="1" s="1"/>
  <c r="AT24" i="1"/>
  <c r="AS24" i="1"/>
  <c r="AP24" i="1"/>
  <c r="AO24" i="1"/>
  <c r="AN24" i="1"/>
  <c r="AF24" i="1"/>
  <c r="AG24" i="1" s="1"/>
  <c r="AT23" i="1"/>
  <c r="AS23" i="1"/>
  <c r="AP23" i="1"/>
  <c r="AO23" i="1"/>
  <c r="AN23" i="1"/>
  <c r="AF23" i="1"/>
  <c r="AG23" i="1" s="1"/>
  <c r="AT22" i="1"/>
  <c r="AS22" i="1"/>
  <c r="AP22" i="1"/>
  <c r="AO22" i="1"/>
  <c r="AN22" i="1"/>
  <c r="AF22" i="1"/>
  <c r="AG22" i="1" s="1"/>
  <c r="AT21" i="1"/>
  <c r="AS21" i="1"/>
  <c r="AP21" i="1"/>
  <c r="AO21" i="1"/>
  <c r="AN21" i="1"/>
  <c r="AF21" i="1"/>
  <c r="AG21" i="1" s="1"/>
  <c r="AT20" i="1"/>
  <c r="AS20" i="1"/>
  <c r="AP20" i="1"/>
  <c r="AO20" i="1"/>
  <c r="AN20" i="1"/>
  <c r="AF20" i="1"/>
  <c r="AG20" i="1" s="1"/>
  <c r="AT19" i="1"/>
  <c r="AS19" i="1"/>
  <c r="AP19" i="1"/>
  <c r="AO19" i="1"/>
  <c r="AN19" i="1"/>
  <c r="AF19" i="1"/>
  <c r="AG19" i="1" s="1"/>
  <c r="AT18" i="1"/>
  <c r="AS18" i="1"/>
  <c r="AP18" i="1"/>
  <c r="AO18" i="1"/>
  <c r="AN18" i="1"/>
  <c r="AF18" i="1"/>
  <c r="AG18" i="1" s="1"/>
  <c r="AT17" i="1"/>
  <c r="AS17" i="1"/>
  <c r="AP17" i="1"/>
  <c r="AO17" i="1"/>
  <c r="AN17" i="1"/>
  <c r="AF17" i="1"/>
  <c r="AG17" i="1" s="1"/>
  <c r="AT16" i="1"/>
  <c r="AS16" i="1"/>
  <c r="AP16" i="1"/>
  <c r="AN16" i="1"/>
  <c r="AF16" i="1"/>
  <c r="AG16" i="1" s="1"/>
  <c r="AT15" i="1"/>
  <c r="AS15" i="1"/>
  <c r="AP15" i="1"/>
  <c r="AO15" i="1"/>
  <c r="AN15" i="1"/>
  <c r="AF15" i="1"/>
  <c r="AG15" i="1" s="1"/>
  <c r="AT14" i="1"/>
  <c r="AS14" i="1"/>
  <c r="AP14" i="1"/>
  <c r="AO14" i="1"/>
  <c r="AN14" i="1"/>
  <c r="AF14" i="1"/>
  <c r="AG14" i="1" s="1"/>
  <c r="AT13" i="1"/>
  <c r="AS13" i="1"/>
  <c r="AP13" i="1"/>
  <c r="AO13" i="1"/>
  <c r="AN13" i="1"/>
  <c r="AF13" i="1"/>
  <c r="AG13" i="1" s="1"/>
  <c r="AT11" i="1"/>
  <c r="AS11" i="1"/>
  <c r="AP11" i="1"/>
  <c r="AO11" i="1"/>
  <c r="AN11" i="1"/>
  <c r="AF11" i="1"/>
  <c r="AG11" i="1" s="1"/>
  <c r="AT10" i="1"/>
  <c r="AS10" i="1"/>
  <c r="AP10" i="1"/>
  <c r="AO10" i="1"/>
  <c r="AN10" i="1"/>
  <c r="AF10" i="1"/>
  <c r="AG10" i="1" s="1"/>
  <c r="AT9" i="1"/>
  <c r="AS9" i="1"/>
  <c r="AP9" i="1"/>
  <c r="AN9" i="1"/>
  <c r="AF9" i="1"/>
  <c r="AG9" i="1" s="1"/>
  <c r="AT8" i="1"/>
  <c r="AS8" i="1"/>
  <c r="AP8" i="1"/>
  <c r="AO8" i="1"/>
  <c r="AN8" i="1"/>
  <c r="AF8" i="1"/>
  <c r="AG8" i="1" s="1"/>
  <c r="AT7" i="1"/>
  <c r="AS7" i="1"/>
  <c r="AP7" i="1"/>
  <c r="AO7" i="1"/>
  <c r="AN7" i="1"/>
  <c r="AF7" i="1"/>
  <c r="AG7" i="1" s="1"/>
  <c r="AT6" i="1"/>
  <c r="AS6" i="1"/>
  <c r="AP6" i="1"/>
  <c r="AO6" i="1"/>
  <c r="AN6" i="1"/>
  <c r="AF6" i="1"/>
  <c r="AG6" i="1" s="1"/>
  <c r="AT5" i="1"/>
  <c r="AS5" i="1"/>
  <c r="AP5" i="1"/>
  <c r="AO5" i="1"/>
  <c r="AN5" i="1"/>
  <c r="AF5" i="1"/>
  <c r="AG5" i="1" s="1"/>
  <c r="AT4" i="1"/>
  <c r="AS4" i="1"/>
  <c r="AP4" i="1"/>
  <c r="AO4" i="1"/>
  <c r="AN4" i="1"/>
  <c r="AF4" i="1"/>
  <c r="AG4" i="1" s="1"/>
  <c r="A4" i="1"/>
  <c r="AT3" i="1"/>
  <c r="AS3" i="1"/>
  <c r="AP3" i="1"/>
  <c r="AO3" i="1"/>
  <c r="AN3" i="1"/>
  <c r="AF3" i="1"/>
  <c r="AG3" i="1" s="1"/>
  <c r="A3" i="1"/>
  <c r="AU32" i="1" l="1"/>
  <c r="AU37" i="1"/>
  <c r="AU39" i="1"/>
  <c r="AU41" i="1"/>
  <c r="AU4" i="1"/>
  <c r="AU6" i="1"/>
  <c r="AU8" i="1"/>
  <c r="AU18" i="1"/>
  <c r="AU20" i="1"/>
  <c r="AU22" i="1"/>
  <c r="AU24" i="1"/>
  <c r="AU26" i="1"/>
  <c r="AU28" i="1"/>
  <c r="AU31" i="1"/>
  <c r="AU33" i="1"/>
  <c r="AU35" i="1"/>
  <c r="AU5" i="1"/>
  <c r="AU7" i="1"/>
  <c r="AU9" i="1"/>
  <c r="AU17" i="1"/>
  <c r="AU19" i="1"/>
  <c r="AU21" i="1"/>
  <c r="AU23" i="1"/>
  <c r="AU25" i="1"/>
  <c r="AU27" i="1"/>
  <c r="AU34" i="1"/>
  <c r="AU10" i="1"/>
  <c r="AU13" i="1"/>
  <c r="AU15" i="1"/>
  <c r="AU30" i="1"/>
  <c r="AU11" i="1"/>
  <c r="AU14" i="1"/>
  <c r="AU16" i="1"/>
  <c r="AU29" i="1"/>
  <c r="AU36" i="1"/>
  <c r="AU38" i="1"/>
  <c r="AU40" i="1"/>
  <c r="AU42" i="1"/>
  <c r="Z7" i="1"/>
  <c r="AK7" i="1" s="1"/>
  <c r="Z17" i="1"/>
  <c r="AK17" i="1" s="1"/>
  <c r="Z35" i="1"/>
  <c r="AK35" i="1" s="1"/>
  <c r="Z38" i="1"/>
  <c r="AK38" i="1" s="1"/>
  <c r="Z42" i="1"/>
  <c r="AK42" i="1" s="1"/>
  <c r="Z6" i="1"/>
  <c r="AK6" i="1" s="1"/>
  <c r="Z13" i="1"/>
  <c r="AK13" i="1" s="1"/>
  <c r="Z20" i="1"/>
  <c r="AK20" i="1" s="1"/>
  <c r="Z28" i="1"/>
  <c r="AK28" i="1" s="1"/>
  <c r="Z34" i="1"/>
  <c r="AK34" i="1" s="1"/>
  <c r="Z37" i="1"/>
  <c r="AK37" i="1" s="1"/>
  <c r="Z41" i="1"/>
  <c r="AK41" i="1" s="1"/>
  <c r="Z10" i="1"/>
  <c r="AK10" i="1" s="1"/>
  <c r="Z14" i="1"/>
  <c r="AK14" i="1" s="1"/>
  <c r="Z31" i="1"/>
  <c r="AK31" i="1" s="1"/>
  <c r="Z16" i="1"/>
  <c r="AK16" i="1" s="1"/>
  <c r="Z19" i="1"/>
  <c r="AK19" i="1" s="1"/>
  <c r="Z23" i="1"/>
  <c r="AK23" i="1" s="1"/>
  <c r="Z27" i="1"/>
  <c r="AK27" i="1" s="1"/>
  <c r="Z30" i="1"/>
  <c r="AK30" i="1" s="1"/>
  <c r="Z33" i="1"/>
  <c r="AK33" i="1" s="1"/>
  <c r="Z36" i="1"/>
  <c r="AK36" i="1" s="1"/>
  <c r="Z40" i="1"/>
  <c r="AK40" i="1" s="1"/>
  <c r="Z9" i="1"/>
  <c r="AK9" i="1" s="1"/>
  <c r="Z3" i="1"/>
  <c r="Z8" i="1"/>
  <c r="AK8" i="1" s="1"/>
  <c r="Z11" i="1"/>
  <c r="AK11" i="1" s="1"/>
  <c r="Z15" i="1"/>
  <c r="AK15" i="1" s="1"/>
  <c r="Z22" i="1"/>
  <c r="AK22" i="1" s="1"/>
  <c r="Z26" i="1"/>
  <c r="AK26" i="1" s="1"/>
  <c r="Z29" i="1"/>
  <c r="AK29" i="1" s="1"/>
  <c r="Z39" i="1"/>
  <c r="AK39" i="1" s="1"/>
  <c r="BD18" i="1"/>
  <c r="BD26" i="1"/>
  <c r="BD8" i="1"/>
  <c r="BD9" i="1"/>
  <c r="BD31" i="1"/>
  <c r="BD33" i="1"/>
  <c r="BD6" i="1"/>
  <c r="BD20" i="1"/>
  <c r="BD24" i="1"/>
  <c r="BD28" i="1"/>
  <c r="BD29" i="1"/>
  <c r="BD22" i="1"/>
  <c r="BD4" i="1"/>
  <c r="AU3" i="1"/>
  <c r="BD5" i="1"/>
  <c r="BD7" i="1"/>
  <c r="BD34" i="1"/>
  <c r="BD36" i="1"/>
  <c r="BD38" i="1"/>
  <c r="BD40" i="1"/>
  <c r="BD42" i="1"/>
  <c r="BD13" i="1"/>
  <c r="BD17" i="1"/>
  <c r="BD19" i="1"/>
  <c r="BD21" i="1"/>
  <c r="BD23" i="1"/>
  <c r="BD25" i="1"/>
  <c r="BD27" i="1"/>
  <c r="BD30" i="1"/>
  <c r="BD32" i="1"/>
  <c r="BD35" i="1"/>
  <c r="BD37" i="1"/>
  <c r="BD39" i="1"/>
  <c r="BD41" i="1"/>
  <c r="BD12" i="1"/>
  <c r="BD11" i="1"/>
  <c r="BD15" i="1"/>
  <c r="BD16" i="1"/>
  <c r="BD10" i="1"/>
  <c r="BD14" i="1"/>
  <c r="BD3" i="1" l="1"/>
  <c r="AK3" i="1"/>
  <c r="AW38" i="1"/>
  <c r="BB38" i="1" s="1"/>
  <c r="BC38" i="1" s="1"/>
  <c r="AW10" i="1"/>
  <c r="AW17" i="1"/>
  <c r="AW15" i="1"/>
  <c r="AW31" i="1"/>
  <c r="AW14" i="1"/>
  <c r="AW39" i="1"/>
  <c r="Z25" i="1"/>
  <c r="AW20" i="1"/>
  <c r="Z32" i="1"/>
  <c r="AK32" i="1" s="1"/>
  <c r="Z18" i="1"/>
  <c r="Z4" i="1"/>
  <c r="AK4" i="1" s="1"/>
  <c r="Z5" i="1"/>
  <c r="AK5" i="1" s="1"/>
  <c r="Z24" i="1"/>
  <c r="Z21" i="1"/>
  <c r="AW37" i="1"/>
  <c r="AW27" i="1"/>
  <c r="AW19" i="1"/>
  <c r="AW40" i="1"/>
  <c r="AW29" i="1"/>
  <c r="AW6" i="1"/>
  <c r="AW8" i="1"/>
  <c r="AW28" i="1"/>
  <c r="AW33" i="1"/>
  <c r="AW11" i="1"/>
  <c r="AW23" i="1"/>
  <c r="AW30" i="1"/>
  <c r="AW34" i="1"/>
  <c r="AW7" i="1"/>
  <c r="AW13" i="1"/>
  <c r="AW36" i="1"/>
  <c r="AW26" i="1"/>
  <c r="AW35" i="1"/>
  <c r="AW42" i="1"/>
  <c r="AW16" i="1"/>
  <c r="AW41" i="1"/>
  <c r="AW22" i="1"/>
  <c r="AW9" i="1"/>
  <c r="AW3" i="1"/>
  <c r="BB11" i="1" l="1"/>
  <c r="BC11" i="1" s="1"/>
  <c r="BB10" i="1"/>
  <c r="BC10" i="1" s="1"/>
  <c r="BB17" i="1"/>
  <c r="BC17" i="1" s="1"/>
  <c r="BB42" i="1"/>
  <c r="BC42" i="1" s="1"/>
  <c r="BB19" i="1"/>
  <c r="BC19" i="1" s="1"/>
  <c r="BB6" i="1"/>
  <c r="BC6" i="1" s="1"/>
  <c r="BB27" i="1"/>
  <c r="BC27" i="1" s="1"/>
  <c r="BB14" i="1"/>
  <c r="BC14" i="1" s="1"/>
  <c r="BB9" i="1"/>
  <c r="BC9" i="1" s="1"/>
  <c r="BB23" i="1"/>
  <c r="BC23" i="1" s="1"/>
  <c r="BB26" i="1"/>
  <c r="BC26" i="1" s="1"/>
  <c r="BB34" i="1"/>
  <c r="BC34" i="1" s="1"/>
  <c r="BB33" i="1"/>
  <c r="BC33" i="1" s="1"/>
  <c r="BB29" i="1"/>
  <c r="BC29" i="1" s="1"/>
  <c r="BB37" i="1"/>
  <c r="BB20" i="1"/>
  <c r="BC20" i="1" s="1"/>
  <c r="BB31" i="1"/>
  <c r="BC31" i="1" s="1"/>
  <c r="BB13" i="1"/>
  <c r="BC13" i="1" s="1"/>
  <c r="BB8" i="1"/>
  <c r="BC8" i="1" s="1"/>
  <c r="BB39" i="1"/>
  <c r="BC39" i="1" s="1"/>
  <c r="BB22" i="1"/>
  <c r="BC22" i="1" s="1"/>
  <c r="BB35" i="1"/>
  <c r="BC35" i="1" s="1"/>
  <c r="BB7" i="1"/>
  <c r="BC7" i="1" s="1"/>
  <c r="BB41" i="1"/>
  <c r="BC41" i="1" s="1"/>
  <c r="BB16" i="1"/>
  <c r="BC16" i="1" s="1"/>
  <c r="BB36" i="1"/>
  <c r="BC36" i="1" s="1"/>
  <c r="BB30" i="1"/>
  <c r="BC30" i="1" s="1"/>
  <c r="BB28" i="1"/>
  <c r="BC28" i="1" s="1"/>
  <c r="BB40" i="1"/>
  <c r="BC40" i="1" s="1"/>
  <c r="BB15" i="1"/>
  <c r="BC15" i="1" s="1"/>
  <c r="AK21" i="1"/>
  <c r="AW21" i="1"/>
  <c r="AK24" i="1"/>
  <c r="AW24" i="1"/>
  <c r="AK18" i="1"/>
  <c r="AW18" i="1"/>
  <c r="AK25" i="1"/>
  <c r="AW25" i="1"/>
  <c r="AW5" i="1"/>
  <c r="AW4" i="1"/>
  <c r="AW32" i="1"/>
  <c r="BB32" i="1" l="1"/>
  <c r="BC32" i="1" s="1"/>
  <c r="BC37" i="1"/>
  <c r="BB25" i="1"/>
  <c r="BC25" i="1" s="1"/>
  <c r="BB21" i="1"/>
  <c r="BB18" i="1"/>
  <c r="BC18" i="1" s="1"/>
  <c r="BB24" i="1"/>
  <c r="BC24" i="1" s="1"/>
  <c r="BB5" i="1"/>
  <c r="BC5" i="1" s="1"/>
  <c r="BB3" i="1"/>
  <c r="BC21" i="1" l="1"/>
  <c r="BB4" i="1"/>
  <c r="BC3" i="1"/>
  <c r="BC4" i="1" l="1"/>
  <c r="Z12" i="1" l="1"/>
  <c r="AW12" i="1" l="1"/>
  <c r="AK12" i="1"/>
  <c r="BB12" i="1" l="1"/>
  <c r="BC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A030A380-F3E3-42D8-8A07-EF7C1F663D8F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959D7F5F-0EEC-4263-83C3-660816A11EE5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<sst xmlns="http://schemas.openxmlformats.org/spreadsheetml/2006/main" count="712" uniqueCount="401">
  <si>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</si>
  <si>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</si>
  <si>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</si>
  <si>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</si>
  <si>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</si>
  <si>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</si>
  <si>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</si>
  <si>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</si>
  <si>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</si>
  <si>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</si>
  <si>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</si>
  <si>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</si>
  <si>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</si>
  <si>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</si>
  <si>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</si>
  <si>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</si>
  <si>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</si>
  <si>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</si>
  <si>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</si>
  <si>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</si>
  <si>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</si>
  <si>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</si>
  <si>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</si>
  <si>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</si>
  <si>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</si>
  <si>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</si>
  <si>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</si>
  <si>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</si>
  <si>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</si>
  <si>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</si>
  <si>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</si>
  <si>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</si>
  <si>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</si>
  <si>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</si>
  <si>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</si>
  <si>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</si>
  <si>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</si>
  <si>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</si>
  <si>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</si>
  <si>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</si>
  <si>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</si>
  <si>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</si>
  <si>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</si>
  <si>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</si>
  <si>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</si>
  <si>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</si>
  <si>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</si>
  <si>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</si>
  <si>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</si>
  <si>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</si>
  <si>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</si>
  <si>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</si>
  <si>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</si>
  <si>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</si>
  <si>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</si>
  <si>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</si>
  <si>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</si>
  <si>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</si>
  <si>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</si>
  <si>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</si>
  <si>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</si>
  <si>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</si>
  <si>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</si>
  <si>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</si>
  <si>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</si>
  <si>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</si>
  <si>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</si>
  <si>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</si>
  <si>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</si>
  <si>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</si>
  <si>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</si>
  <si>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</si>
  <si>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</si>
  <si>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</si>
  <si>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</si>
  <si>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</si>
  <si>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</si>
  <si>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</si>
  <si>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</si>
  <si>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</si>
  <si>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</si>
  <si>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</si>
  <si>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</si>
  <si>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</si>
  <si>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</si>
  <si>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</si>
  <si>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</si>
  <si>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</si>
  <si>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</si>
  <si>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</si>
  <si>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</si>
  <si>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</si>
  <si>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</si>
  <si>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</si>
  <si>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</si>
  <si>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</si>
  <si>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</si>
  <si>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</si>
  <si>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</si>
  <si>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</si>
  <si>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</si>
  <si>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</si>
  <si>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</si>
  <si>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</si>
  <si>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</si>
  <si>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</si>
  <si>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</si>
  <si>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</si>
  <si>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</si>
  <si>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</si>
  <si>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</si>
  <si>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</si>
  <si>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</si>
  <si>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</si>
  <si>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</si>
  <si>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</si>
  <si>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</si>
  <si>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</si>
  <si>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</si>
  <si>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</si>
  <si>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</si>
  <si>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</si>
  <si>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</si>
  <si>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</si>
  <si>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</si>
  <si>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</si>
  <si>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</si>
  <si>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</si>
  <si>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</si>
  <si>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</si>
  <si>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</si>
  <si>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</si>
  <si>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</si>
  <si>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</si>
  <si>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</si>
  <si>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</si>
  <si>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</si>
  <si>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</si>
  <si>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</si>
  <si>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</si>
  <si>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</si>
  <si>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</si>
  <si>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</si>
  <si>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</si>
  <si>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</si>
  <si>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</si>
  <si>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</si>
  <si>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</si>
  <si>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</si>
  <si>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</si>
  <si>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</si>
  <si>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</si>
  <si>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</si>
  <si>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</si>
  <si>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</si>
  <si>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</si>
  <si>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</si>
  <si>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</si>
  <si>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</si>
  <si>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</si>
  <si>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</si>
  <si>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吴萍萍</t>
  </si>
  <si>
    <t>310227198801103668</t>
  </si>
  <si>
    <t>马一伟</t>
  </si>
  <si>
    <t>310110198101160036</t>
  </si>
  <si>
    <t>王乐意</t>
  </si>
  <si>
    <t>310227199806014028</t>
  </si>
  <si>
    <t>WB013255</t>
  </si>
  <si>
    <t>WB022825</t>
  </si>
  <si>
    <t>WB023998</t>
  </si>
  <si>
    <t>WB025814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</si>
  <si>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</si>
  <si>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</si>
  <si>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</si>
  <si>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</si>
  <si>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</si>
  <si>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</si>
  <si>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</si>
  <si>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</si>
  <si>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</si>
  <si>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</si>
  <si>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</si>
  <si>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</si>
  <si>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</si>
  <si>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</si>
  <si>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WB037461</t>
  </si>
  <si>
    <t>WB047234</t>
  </si>
  <si>
    <t>WB043358</t>
  </si>
  <si>
    <t>WB027701</t>
  </si>
  <si>
    <t>WB041723</t>
  </si>
  <si>
    <t>WB051748</t>
  </si>
  <si>
    <t>WB049347</t>
  </si>
  <si>
    <t>WB034583</t>
  </si>
  <si>
    <t>WB026293</t>
  </si>
  <si>
    <t>WB046608</t>
  </si>
  <si>
    <t>WB005376</t>
  </si>
  <si>
    <t>WB030495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</si>
  <si>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</si>
  <si>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</si>
  <si>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</si>
  <si>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</si>
  <si>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</si>
  <si>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</si>
  <si>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</si>
  <si>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</si>
  <si>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</si>
  <si>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</si>
  <si>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</si>
  <si>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</si>
  <si>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</si>
  <si>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独生子女奖励</t>
  </si>
  <si>
    <t>其他费用</t>
    <phoneticPr fontId="4" type="noConversion"/>
  </si>
  <si>
    <t>保障多收</t>
    <phoneticPr fontId="4" type="noConversion"/>
  </si>
  <si>
    <t>310227198708184424</t>
    <phoneticPr fontId="4" type="noConversion"/>
  </si>
  <si>
    <t>WB047263</t>
  </si>
  <si>
    <t>工会费返回</t>
    <phoneticPr fontId="4" type="noConversion"/>
  </si>
  <si>
    <t>李琴</t>
    <phoneticPr fontId="4" type="noConversion"/>
  </si>
  <si>
    <t>WB026291</t>
  </si>
  <si>
    <t>何军利</t>
  </si>
  <si>
    <t>310227197512314245</t>
  </si>
  <si>
    <t>平台清算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</si>
  <si>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</si>
  <si>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</si>
  <si>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</si>
  <si>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</si>
  <si>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</si>
  <si>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</si>
  <si>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</si>
  <si>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2025年03月</t>
  </si>
  <si>
    <t>公司名称：中国电信股份有限公司上海分公司</t>
  </si>
  <si>
    <t>帐单号：202503CH6565005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</si>
  <si>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</si>
  <si>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</si>
  <si>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</si>
  <si>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</si>
  <si>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</si>
  <si>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</si>
  <si>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</si>
  <si>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</si>
  <si>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</si>
  <si>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</si>
  <si>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</si>
  <si>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</si>
  <si>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</si>
  <si>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</si>
  <si>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</si>
  <si>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</si>
  <si>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内部工号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</si>
  <si>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</si>
  <si>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</si>
  <si>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</si>
  <si>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</si>
  <si>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</si>
  <si>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</si>
  <si>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</si>
  <si>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</si>
  <si>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</si>
  <si>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</si>
  <si>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</si>
  <si>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</si>
  <si>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</si>
  <si>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</si>
  <si>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</si>
  <si>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</si>
  <si>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</si>
  <si>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</si>
  <si>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</si>
  <si>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</si>
  <si>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</si>
  <si>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</si>
  <si>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</si>
  <si>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</si>
  <si>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Internal ID</t>
  </si>
  <si>
    <t>Taxable Amount</t>
  </si>
  <si>
    <t>Tax Rate</t>
  </si>
  <si>
    <t>202503</t>
  </si>
  <si>
    <t>2024-06-01</t>
  </si>
  <si>
    <t>5545179</t>
  </si>
  <si>
    <t/>
  </si>
  <si>
    <t>6%</t>
  </si>
  <si>
    <t>5573404</t>
  </si>
  <si>
    <t>5545178</t>
  </si>
  <si>
    <t>2024-07-01</t>
  </si>
  <si>
    <t>6063573</t>
  </si>
  <si>
    <t>310227198312160012</t>
  </si>
  <si>
    <t>5517492</t>
  </si>
  <si>
    <t>5573397</t>
  </si>
  <si>
    <t>5573394</t>
  </si>
  <si>
    <t>5573388</t>
  </si>
  <si>
    <t>5517495</t>
  </si>
  <si>
    <t>5545181</t>
  </si>
  <si>
    <t>5573391</t>
  </si>
  <si>
    <t>5573396</t>
  </si>
  <si>
    <t>5545173</t>
  </si>
  <si>
    <t>5573395</t>
  </si>
  <si>
    <t>李琴</t>
  </si>
  <si>
    <t>2025-02-01</t>
  </si>
  <si>
    <t>6283726</t>
  </si>
  <si>
    <t>310227198708184424</t>
  </si>
  <si>
    <t>5573387</t>
  </si>
  <si>
    <t>2024-05-01</t>
  </si>
  <si>
    <t>6010738</t>
  </si>
  <si>
    <t>1881345</t>
  </si>
  <si>
    <t>5545180</t>
  </si>
  <si>
    <t>5862530</t>
  </si>
  <si>
    <t>5573393</t>
  </si>
  <si>
    <t>5573386</t>
  </si>
  <si>
    <t>6063572</t>
  </si>
  <si>
    <t>5517493</t>
  </si>
  <si>
    <t>5573403</t>
  </si>
  <si>
    <t>3277855</t>
  </si>
  <si>
    <t>6010737</t>
  </si>
  <si>
    <t>5545172</t>
  </si>
  <si>
    <t>5545166</t>
  </si>
  <si>
    <t>5545169</t>
  </si>
  <si>
    <t>5573402</t>
  </si>
  <si>
    <t>5606549</t>
  </si>
  <si>
    <t>5545171</t>
  </si>
  <si>
    <t>6064922</t>
  </si>
  <si>
    <t>5573400</t>
  </si>
  <si>
    <t>5545175</t>
  </si>
  <si>
    <t>5545174</t>
  </si>
  <si>
    <t>5545183</t>
  </si>
  <si>
    <t>6010735</t>
  </si>
  <si>
    <t>310227198801262829</t>
  </si>
  <si>
    <t>6010736</t>
  </si>
  <si>
    <t>5573405</t>
  </si>
  <si>
    <t>合计（RMB）</t>
  </si>
  <si>
    <t>总计（RMB）已包含历月补收人民币肆拾肆万陆仟肆佰零贰圆贰角贰分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</si>
  <si>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</si>
  <si>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</si>
  <si>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</si>
  <si>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</si>
  <si>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</si>
  <si>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</si>
  <si>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</si>
  <si>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</si>
  <si>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</si>
  <si>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</si>
  <si>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</si>
  <si>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</si>
  <si>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</si>
  <si>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本次价税合计(RMB):人民币肆拾肆万陆仟肆佰零贰圆贰角贰分</t>
  </si>
  <si>
    <t>本月价税合计（RMB）：446402.22 其中已开票446402.22</t>
  </si>
  <si>
    <t>本月总计（RMB）人民币肆拾肆万陆仟肆佰零贰圆贰角贰分                ￥446402.22</t>
  </si>
  <si>
    <t>制单人：</t>
  </si>
  <si>
    <t>制单日期：2025-03-20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</si>
  <si>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</si>
  <si>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</si>
  <si>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</si>
  <si>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</si>
  <si>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</si>
  <si>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</si>
  <si>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</si>
  <si>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</si>
  <si>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</si>
  <si>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</si>
  <si>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</si>
  <si>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</si>
  <si>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</si>
  <si>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</si>
  <si>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</si>
  <si>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</si>
  <si>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</si>
  <si>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</si>
  <si>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</si>
  <si>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</si>
  <si>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</si>
  <si>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</si>
  <si>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</si>
  <si>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</si>
  <si>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</si>
  <si>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</si>
  <si>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</si>
  <si>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</si>
  <si>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</si>
  <si>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</si>
  <si>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</si>
  <si>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</si>
  <si>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</si>
  <si>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</si>
  <si>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</si>
  <si>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4" type="noConversion"/>
  </si>
  <si>
    <t>预收一次性</t>
    <phoneticPr fontId="2" type="noConversion"/>
  </si>
  <si>
    <t>2月工会费</t>
    <phoneticPr fontId="2" type="noConversion"/>
  </si>
  <si>
    <t>本月垫付，下月收</t>
    <phoneticPr fontId="2" type="noConversion"/>
  </si>
  <si>
    <t>本月多收，下月退</t>
    <phoneticPr fontId="2" type="noConversion"/>
  </si>
  <si>
    <t>合计</t>
  </si>
  <si>
    <t>差异</t>
    <phoneticPr fontId="2" type="noConversion"/>
  </si>
  <si>
    <t>风险费</t>
  </si>
  <si>
    <t>个人四金</t>
  </si>
  <si>
    <t>公司四金</t>
  </si>
  <si>
    <t>工伤退费</t>
    <phoneticPr fontId="2" type="noConversion"/>
  </si>
  <si>
    <t>代发工资</t>
  </si>
  <si>
    <t>本月垫付</t>
    <phoneticPr fontId="2" type="noConversion"/>
  </si>
  <si>
    <t>上月多收</t>
    <phoneticPr fontId="2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</si>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</sst>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3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8"/>
      <color theme="1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28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43" fontId="12" fillId="5" borderId="0" xfId="5" applyFont="1" applyFill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2" fillId="0" borderId="0" xfId="0" applyNumberFormat="1" applyFont="1" applyFill="1" applyBorder="1">
      <alignment vertical="center"/>
    </xf>
    <xf numFmtId="176" fontId="12" fillId="0" borderId="0" xfId="0" applyNumberFormat="1" applyFont="1" applyFill="1" applyBorder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2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176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76" fontId="12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178" fontId="17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left" vertical="center"/>
    </xf>
    <xf numFmtId="49" fontId="21" fillId="0" borderId="5" xfId="0" applyNumberFormat="1" applyFont="1" applyBorder="1" applyAlignment="1">
      <alignment horizontal="center" wrapText="1"/>
    </xf>
    <xf numFmtId="178" fontId="21" fillId="0" borderId="5" xfId="0" applyNumberFormat="1" applyFont="1" applyBorder="1" applyAlignment="1">
      <alignment horizontal="center" wrapText="1"/>
    </xf>
    <xf numFmtId="178" fontId="21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vertical="top" wrapText="1"/>
    </xf>
    <xf numFmtId="178" fontId="22" fillId="0" borderId="5" xfId="0" applyNumberFormat="1" applyFont="1" applyBorder="1" applyAlignment="1">
      <alignment horizontal="center" wrapText="1"/>
    </xf>
    <xf numFmtId="49" fontId="21" fillId="0" borderId="6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178" fontId="21" fillId="0" borderId="1" xfId="0" applyNumberFormat="1" applyFont="1" applyBorder="1" applyAlignment="1">
      <alignment horizontal="center" vertical="top" wrapText="1"/>
    </xf>
    <xf numFmtId="178" fontId="22" fillId="0" borderId="6" xfId="0" applyNumberFormat="1" applyFont="1" applyBorder="1" applyAlignment="1">
      <alignment horizontal="center" vertical="top" wrapText="1"/>
    </xf>
    <xf numFmtId="49" fontId="23" fillId="0" borderId="1" xfId="0" applyNumberFormat="1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right" vertical="center"/>
    </xf>
    <xf numFmtId="178" fontId="24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left" vertical="center"/>
    </xf>
    <xf numFmtId="7" fontId="24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5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wrapText="1"/>
    </xf>
    <xf numFmtId="49" fontId="21" fillId="0" borderId="0" xfId="0" applyNumberFormat="1" applyFont="1" applyAlignment="1">
      <alignment horizontal="center" wrapText="1"/>
    </xf>
    <xf numFmtId="178" fontId="21" fillId="0" borderId="0" xfId="0" applyNumberFormat="1" applyFont="1" applyAlignment="1">
      <alignment horizontal="center" vertical="top" wrapText="1"/>
    </xf>
    <xf numFmtId="49" fontId="21" fillId="0" borderId="0" xfId="0" applyNumberFormat="1" applyFont="1" applyAlignment="1">
      <alignment horizontal="center" vertical="top" wrapText="1"/>
    </xf>
    <xf numFmtId="7" fontId="23" fillId="0" borderId="1" xfId="0" applyNumberFormat="1" applyFont="1" applyBorder="1" applyAlignment="1">
      <alignment horizontal="right" vertical="center"/>
    </xf>
    <xf numFmtId="49" fontId="26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7" fontId="23" fillId="0" borderId="2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7" fontId="23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6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center" vertical="center"/>
    </xf>
    <xf numFmtId="43" fontId="28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8" fillId="5" borderId="1" xfId="0" applyNumberFormat="1" applyFont="1" applyFill="1" applyBorder="1" applyAlignment="1">
      <alignment horizontal="center" vertical="center"/>
    </xf>
    <xf numFmtId="43" fontId="28" fillId="0" borderId="1" xfId="5" applyFont="1" applyFill="1" applyBorder="1" applyAlignment="1">
      <alignment horizontal="center" vertical="center"/>
    </xf>
    <xf numFmtId="43" fontId="28" fillId="0" borderId="1" xfId="0" applyNumberFormat="1" applyFont="1" applyFill="1" applyBorder="1" applyAlignment="1">
      <alignment horizontal="right" vertical="center"/>
    </xf>
    <xf numFmtId="0" fontId="29" fillId="5" borderId="1" xfId="0" applyFont="1" applyFill="1" applyBorder="1" applyAlignment="1">
      <alignment horizontal="center" vertical="center"/>
    </xf>
    <xf numFmtId="43" fontId="29" fillId="5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43" fontId="29" fillId="8" borderId="1" xfId="0" applyNumberFormat="1" applyFont="1" applyFill="1" applyBorder="1" applyAlignment="1">
      <alignment horizontal="center" vertical="center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E99"/>
  <sheetViews>
    <sheetView zoomScale="80" zoomScaleNormal="80" workbookViewId="0">
      <pane xSplit="5" ySplit="2" topLeftCell="AT19" activePane="bottomRight" state="frozen"/>
      <selection pane="topRight" activeCell="E1" sqref="E1"/>
      <selection pane="bottomLeft" activeCell="A3" sqref="A3"/>
      <selection pane="bottomRight" activeCell="BA46" sqref="BA46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9.21875" style="30" customWidth="1"/>
    <col min="8" max="8" width="11.21875" style="30" bestFit="1" customWidth="1"/>
    <col min="9" max="9" width="8.88671875" style="30" bestFit="1" customWidth="1"/>
    <col min="10" max="10" width="12.5546875" style="30" customWidth="1"/>
    <col min="11" max="11" width="26.109375" style="30" customWidth="1"/>
    <col min="12" max="12" width="14.6640625" style="30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8.33203125" style="30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2" width="5.6640625" style="30" bestFit="1" customWidth="1"/>
    <col min="23" max="23" width="9.109375" style="30" customWidth="1"/>
    <col min="24" max="24" width="13.33203125" style="30" customWidth="1"/>
    <col min="25" max="25" width="9" style="30" customWidth="1"/>
    <col min="26" max="26" width="15" style="30" customWidth="1"/>
    <col min="27" max="29" width="8.33203125" style="30" customWidth="1"/>
    <col min="30" max="30" width="8.77734375" style="30" customWidth="1"/>
    <col min="31" max="32" width="8.88671875" style="30" customWidth="1"/>
    <col min="33" max="33" width="12.88671875" style="30" customWidth="1"/>
    <col min="34" max="34" width="9.109375" style="30" customWidth="1"/>
    <col min="35" max="35" width="6.44140625" style="30" customWidth="1"/>
    <col min="36" max="36" width="8.6640625" style="30" customWidth="1"/>
    <col min="37" max="37" width="16.6640625" style="30" customWidth="1"/>
    <col min="38" max="38" width="10.77734375" style="30" customWidth="1"/>
    <col min="39" max="39" width="8.88671875" style="30" customWidth="1"/>
    <col min="40" max="40" width="13.109375" style="30" customWidth="1"/>
    <col min="41" max="41" width="11.44140625" style="30" customWidth="1"/>
    <col min="42" max="42" width="8.77734375" style="30" customWidth="1"/>
    <col min="43" max="43" width="6.44140625" style="30" customWidth="1"/>
    <col min="44" max="44" width="6.5546875" style="30" customWidth="1"/>
    <col min="45" max="45" width="12.88671875" style="30" customWidth="1"/>
    <col min="46" max="46" width="8.33203125" style="30" customWidth="1"/>
    <col min="47" max="47" width="15.6640625" style="30" customWidth="1"/>
    <col min="48" max="48" width="12.88671875" style="43" customWidth="1"/>
    <col min="49" max="49" width="16.77734375" style="30" customWidth="1"/>
    <col min="50" max="50" width="15.33203125" style="30" customWidth="1"/>
    <col min="51" max="51" width="38.21875" style="30" customWidth="1"/>
    <col min="52" max="52" width="14.44140625" style="30" customWidth="1"/>
    <col min="53" max="53" width="19.33203125" style="30" customWidth="1"/>
    <col min="54" max="54" width="15.44140625" style="30" customWidth="1"/>
    <col min="55" max="55" width="17.6640625" style="30" customWidth="1"/>
    <col min="56" max="56" width="11.109375" style="30" customWidth="1"/>
    <col min="57" max="57" width="11.6640625" style="30" bestFit="1" customWidth="1"/>
    <col min="58" max="16384" width="9.109375" style="30"/>
  </cols>
  <sheetData>
    <row r="1" spans="1:57" s="9" customFormat="1" ht="26.1" customHeight="1" x14ac:dyDescent="0.3">
      <c r="A1" s="1" t="s">
        <v>83</v>
      </c>
      <c r="B1" s="2" t="s">
        <v>82</v>
      </c>
      <c r="C1" s="33" t="s">
        <v>84</v>
      </c>
      <c r="D1" s="33" t="s">
        <v>81</v>
      </c>
      <c r="E1" s="33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65" t="s">
        <v>72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7"/>
      <c r="Z1" s="4" t="s">
        <v>71</v>
      </c>
      <c r="AA1" s="3" t="s">
        <v>70</v>
      </c>
      <c r="AB1" s="3" t="s">
        <v>69</v>
      </c>
      <c r="AC1" s="3" t="s">
        <v>68</v>
      </c>
      <c r="AD1" s="3" t="s">
        <v>67</v>
      </c>
      <c r="AE1" s="3" t="s">
        <v>66</v>
      </c>
      <c r="AF1" s="3" t="s">
        <v>65</v>
      </c>
      <c r="AG1" s="4" t="s">
        <v>64</v>
      </c>
      <c r="AH1" s="3" t="s">
        <v>63</v>
      </c>
      <c r="AI1" s="3" t="s">
        <v>62</v>
      </c>
      <c r="AJ1" s="3" t="s">
        <v>61</v>
      </c>
      <c r="AK1" s="4" t="s">
        <v>60</v>
      </c>
      <c r="AL1" s="3" t="s">
        <v>59</v>
      </c>
      <c r="AM1" s="3" t="s">
        <v>58</v>
      </c>
      <c r="AN1" s="3" t="s">
        <v>57</v>
      </c>
      <c r="AO1" s="3" t="s">
        <v>56</v>
      </c>
      <c r="AP1" s="3" t="s">
        <v>55</v>
      </c>
      <c r="AQ1" s="3" t="s">
        <v>54</v>
      </c>
      <c r="AR1" s="3" t="s">
        <v>53</v>
      </c>
      <c r="AS1" s="3" t="s">
        <v>52</v>
      </c>
      <c r="AT1" s="3" t="s">
        <v>51</v>
      </c>
      <c r="AU1" s="4" t="s">
        <v>50</v>
      </c>
      <c r="AV1" s="4" t="s">
        <v>49</v>
      </c>
      <c r="AW1" s="5" t="s">
        <v>48</v>
      </c>
      <c r="AX1" s="6" t="s">
        <v>220</v>
      </c>
      <c r="AY1" s="7" t="s">
        <v>47</v>
      </c>
      <c r="AZ1" s="5" t="s">
        <v>46</v>
      </c>
      <c r="BA1" s="8" t="s">
        <v>86</v>
      </c>
      <c r="BB1" s="5" t="s">
        <v>45</v>
      </c>
      <c r="BC1" s="5" t="s">
        <v>44</v>
      </c>
      <c r="BD1" s="60" t="s">
        <v>215</v>
      </c>
    </row>
    <row r="2" spans="1:57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91</v>
      </c>
      <c r="Q2" s="10" t="s">
        <v>88</v>
      </c>
      <c r="R2" s="10" t="s">
        <v>29</v>
      </c>
      <c r="S2" s="10" t="s">
        <v>210</v>
      </c>
      <c r="T2" s="10" t="s">
        <v>208</v>
      </c>
      <c r="U2" s="10" t="s">
        <v>211</v>
      </c>
      <c r="V2" s="10" t="s">
        <v>28</v>
      </c>
      <c r="W2" s="10" t="s">
        <v>89</v>
      </c>
      <c r="X2" s="10" t="s">
        <v>212</v>
      </c>
      <c r="Y2" s="10" t="s">
        <v>27</v>
      </c>
      <c r="Z2" s="13" t="s">
        <v>26</v>
      </c>
      <c r="AA2" s="12" t="s">
        <v>16</v>
      </c>
      <c r="AB2" s="12" t="s">
        <v>25</v>
      </c>
      <c r="AC2" s="12" t="s">
        <v>24</v>
      </c>
      <c r="AD2" s="12" t="s">
        <v>23</v>
      </c>
      <c r="AE2" s="12" t="s">
        <v>15</v>
      </c>
      <c r="AF2" s="12" t="s">
        <v>22</v>
      </c>
      <c r="AG2" s="13" t="s">
        <v>21</v>
      </c>
      <c r="AH2" s="12" t="s">
        <v>20</v>
      </c>
      <c r="AI2" s="12" t="s">
        <v>19</v>
      </c>
      <c r="AJ2" s="12" t="s">
        <v>18</v>
      </c>
      <c r="AK2" s="13" t="s">
        <v>17</v>
      </c>
      <c r="AL2" s="12" t="s">
        <v>16</v>
      </c>
      <c r="AM2" s="12" t="s">
        <v>15</v>
      </c>
      <c r="AN2" s="12" t="s">
        <v>14</v>
      </c>
      <c r="AO2" s="12" t="s">
        <v>13</v>
      </c>
      <c r="AP2" s="12" t="s">
        <v>12</v>
      </c>
      <c r="AQ2" s="12" t="s">
        <v>11</v>
      </c>
      <c r="AR2" s="12" t="s">
        <v>10</v>
      </c>
      <c r="AS2" s="12" t="s">
        <v>9</v>
      </c>
      <c r="AT2" s="12" t="s">
        <v>8</v>
      </c>
      <c r="AU2" s="13" t="s">
        <v>7</v>
      </c>
      <c r="AV2" s="13" t="s">
        <v>6</v>
      </c>
      <c r="AW2" s="13" t="s">
        <v>5</v>
      </c>
      <c r="AX2" s="14"/>
      <c r="AY2" s="15" t="s">
        <v>4</v>
      </c>
      <c r="AZ2" s="5" t="s">
        <v>3</v>
      </c>
      <c r="BA2" s="8" t="s">
        <v>87</v>
      </c>
      <c r="BB2" s="5" t="s">
        <v>2</v>
      </c>
      <c r="BC2" s="5" t="s">
        <v>1</v>
      </c>
      <c r="BD2" s="60"/>
    </row>
    <row r="3" spans="1:57" s="28" customFormat="1" ht="15" customHeight="1" x14ac:dyDescent="0.25">
      <c r="A3" s="17">
        <f>ROW()-2</f>
        <v>1</v>
      </c>
      <c r="B3" s="18">
        <v>2502</v>
      </c>
      <c r="C3" s="17" t="s">
        <v>209</v>
      </c>
      <c r="D3" s="17" t="s">
        <v>92</v>
      </c>
      <c r="E3" s="19" t="s">
        <v>207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6009.73</v>
      </c>
      <c r="L3" s="22">
        <v>2681.68</v>
      </c>
      <c r="M3" s="22"/>
      <c r="N3" s="22"/>
      <c r="O3" s="22"/>
      <c r="P3" s="22">
        <v>200</v>
      </c>
      <c r="Q3" s="22"/>
      <c r="R3" s="22">
        <v>630</v>
      </c>
      <c r="S3" s="34"/>
      <c r="T3" s="22"/>
      <c r="U3" s="34"/>
      <c r="V3" s="34"/>
      <c r="W3" s="22"/>
      <c r="X3" s="22">
        <v>0</v>
      </c>
      <c r="Y3" s="22">
        <v>0</v>
      </c>
      <c r="Z3" s="23">
        <f t="shared" ref="Z3:Z43" si="0">SUM(J3:Y3)</f>
        <v>10721.41</v>
      </c>
      <c r="AA3" s="24">
        <v>7384</v>
      </c>
      <c r="AB3" s="24">
        <v>590.72</v>
      </c>
      <c r="AC3" s="24">
        <v>147.68</v>
      </c>
      <c r="AD3" s="24">
        <v>36.92</v>
      </c>
      <c r="AE3" s="24">
        <v>2690</v>
      </c>
      <c r="AF3" s="24">
        <f>ROUND(AE3*7%,0)</f>
        <v>188</v>
      </c>
      <c r="AG3" s="23">
        <f t="shared" ref="AG3:AG43" si="1">AB3+AC3+AD3+AF3</f>
        <v>963.32</v>
      </c>
      <c r="AH3" s="25"/>
      <c r="AI3" s="25"/>
      <c r="AJ3" s="25"/>
      <c r="AK3" s="23">
        <f t="shared" ref="AK3:AK43" si="2">Z3-AG3-AH3</f>
        <v>9758.09</v>
      </c>
      <c r="AL3" s="24">
        <v>7384</v>
      </c>
      <c r="AM3" s="24">
        <v>2690</v>
      </c>
      <c r="AN3" s="24">
        <f>ROUND(AL3*16%,2)</f>
        <v>1181.44</v>
      </c>
      <c r="AO3" s="24">
        <f>ROUND(AL3*9%,2)</f>
        <v>664.56</v>
      </c>
      <c r="AP3" s="24">
        <f t="shared" ref="AP3:AP42" si="3">ROUND(AL3*0.5%,2)</f>
        <v>36.92</v>
      </c>
      <c r="AQ3" s="24">
        <v>14.77</v>
      </c>
      <c r="AR3" s="24"/>
      <c r="AS3" s="24">
        <f t="shared" ref="AS3:AS42" si="4">ROUND(AM3*7%,0)</f>
        <v>188</v>
      </c>
      <c r="AT3" s="24">
        <f t="shared" ref="AT3:AT42" si="5">ROUND(IF(AL3&lt;24366,AL3*1.5%,24366*1.5%),2)</f>
        <v>110.76</v>
      </c>
      <c r="AU3" s="23">
        <f t="shared" ref="AU3:AU43" si="6">SUM(AN3:AT3)</f>
        <v>2196.4500000000003</v>
      </c>
      <c r="AV3" s="23">
        <v>202</v>
      </c>
      <c r="AW3" s="23">
        <f t="shared" ref="AW3:AW43" si="7">AU3+Z3+AI3-AJ3+AV3</f>
        <v>13119.86</v>
      </c>
      <c r="AX3" s="26"/>
      <c r="AY3" s="59"/>
      <c r="AZ3" s="23">
        <v>255</v>
      </c>
      <c r="BA3" s="27">
        <f>ROUND(AW3+AZ3+AX3,2)</f>
        <v>13374.86</v>
      </c>
      <c r="BB3" s="23">
        <f t="shared" ref="BB3:BB43" si="8">ROUND(BA3*6%,2)</f>
        <v>802.49</v>
      </c>
      <c r="BC3" s="23">
        <f t="shared" ref="BC3:BC43" si="9">ROUND(SUM(BA3:BB3),2)</f>
        <v>14177.35</v>
      </c>
      <c r="BD3" s="61">
        <f>AV3-5</f>
        <v>197</v>
      </c>
      <c r="BE3" s="29"/>
    </row>
    <row r="4" spans="1:57" s="28" customFormat="1" ht="15" customHeight="1" x14ac:dyDescent="0.25">
      <c r="A4" s="17">
        <f t="shared" ref="A4:A42" si="10">ROW()-2</f>
        <v>2</v>
      </c>
      <c r="B4" s="18">
        <v>2503</v>
      </c>
      <c r="C4" s="17" t="s">
        <v>102</v>
      </c>
      <c r="D4" s="17" t="s">
        <v>99</v>
      </c>
      <c r="E4" s="19" t="s">
        <v>93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1913.56</v>
      </c>
      <c r="L4" s="22">
        <v>924.8</v>
      </c>
      <c r="M4" s="22"/>
      <c r="N4" s="22"/>
      <c r="O4" s="22"/>
      <c r="P4" s="22">
        <v>200</v>
      </c>
      <c r="Q4" s="22"/>
      <c r="R4" s="22">
        <v>630</v>
      </c>
      <c r="S4" s="34"/>
      <c r="T4" s="22"/>
      <c r="U4" s="34"/>
      <c r="V4" s="34"/>
      <c r="W4" s="22"/>
      <c r="X4" s="22">
        <v>0</v>
      </c>
      <c r="Y4" s="22">
        <v>0</v>
      </c>
      <c r="Z4" s="23">
        <f t="shared" si="0"/>
        <v>4618.3599999999997</v>
      </c>
      <c r="AA4" s="24">
        <v>7384</v>
      </c>
      <c r="AB4" s="24">
        <v>590.72</v>
      </c>
      <c r="AC4" s="24">
        <v>147.68</v>
      </c>
      <c r="AD4" s="24">
        <v>36.92</v>
      </c>
      <c r="AE4" s="24">
        <v>2690</v>
      </c>
      <c r="AF4" s="24">
        <f t="shared" ref="AF4:AF42" si="11">ROUND(AE4*7%,0)</f>
        <v>188</v>
      </c>
      <c r="AG4" s="23">
        <f t="shared" si="1"/>
        <v>963.32</v>
      </c>
      <c r="AH4" s="25"/>
      <c r="AI4" s="25"/>
      <c r="AJ4" s="25"/>
      <c r="AK4" s="23">
        <f t="shared" si="2"/>
        <v>3655.0399999999995</v>
      </c>
      <c r="AL4" s="24">
        <v>7384</v>
      </c>
      <c r="AM4" s="24">
        <v>2690</v>
      </c>
      <c r="AN4" s="24">
        <f t="shared" ref="AN4:AN42" si="12">ROUND(AL4*16%,2)</f>
        <v>1181.44</v>
      </c>
      <c r="AO4" s="24">
        <f t="shared" ref="AO4:AO42" si="13">ROUND(AL4*9%,2)</f>
        <v>664.56</v>
      </c>
      <c r="AP4" s="24">
        <f t="shared" si="3"/>
        <v>36.92</v>
      </c>
      <c r="AQ4" s="24">
        <v>14.77</v>
      </c>
      <c r="AR4" s="24"/>
      <c r="AS4" s="24">
        <f t="shared" si="4"/>
        <v>188</v>
      </c>
      <c r="AT4" s="24">
        <f t="shared" si="5"/>
        <v>110.76</v>
      </c>
      <c r="AU4" s="23">
        <f t="shared" si="6"/>
        <v>2196.4500000000003</v>
      </c>
      <c r="AV4" s="23">
        <v>80</v>
      </c>
      <c r="AW4" s="23">
        <f t="shared" si="7"/>
        <v>6894.8099999999995</v>
      </c>
      <c r="AX4" s="26"/>
      <c r="AY4" s="59"/>
      <c r="AZ4" s="23">
        <v>255</v>
      </c>
      <c r="BA4" s="27">
        <f t="shared" ref="BA4:BA43" si="14">ROUND(AW4+AZ4+AX4,2)</f>
        <v>7149.81</v>
      </c>
      <c r="BB4" s="23">
        <f t="shared" si="8"/>
        <v>428.99</v>
      </c>
      <c r="BC4" s="23">
        <f t="shared" si="9"/>
        <v>7578.8</v>
      </c>
      <c r="BD4" s="61">
        <f t="shared" ref="BD4:BD43" si="15">AV4-5</f>
        <v>75</v>
      </c>
      <c r="BE4" s="29"/>
    </row>
    <row r="5" spans="1:57" s="28" customFormat="1" ht="15" customHeight="1" x14ac:dyDescent="0.25">
      <c r="A5" s="17">
        <f t="shared" si="10"/>
        <v>3</v>
      </c>
      <c r="B5" s="18">
        <v>2503</v>
      </c>
      <c r="C5" s="17" t="s">
        <v>103</v>
      </c>
      <c r="D5" s="17" t="s">
        <v>94</v>
      </c>
      <c r="E5" s="19" t="s">
        <v>95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2369.8000000000002</v>
      </c>
      <c r="L5" s="22">
        <v>1295.5999999999999</v>
      </c>
      <c r="M5" s="22"/>
      <c r="N5" s="22"/>
      <c r="O5" s="22"/>
      <c r="P5" s="22">
        <v>200</v>
      </c>
      <c r="Q5" s="22"/>
      <c r="R5" s="22">
        <v>630</v>
      </c>
      <c r="S5" s="34"/>
      <c r="T5" s="22"/>
      <c r="U5" s="34"/>
      <c r="V5" s="34"/>
      <c r="W5" s="22"/>
      <c r="X5" s="22">
        <v>0</v>
      </c>
      <c r="Y5" s="22">
        <v>0</v>
      </c>
      <c r="Z5" s="23">
        <f t="shared" si="0"/>
        <v>5525.4</v>
      </c>
      <c r="AA5" s="24">
        <v>7384</v>
      </c>
      <c r="AB5" s="24">
        <v>590.72</v>
      </c>
      <c r="AC5" s="24">
        <v>147.68</v>
      </c>
      <c r="AD5" s="24">
        <v>36.92</v>
      </c>
      <c r="AE5" s="24">
        <v>2690</v>
      </c>
      <c r="AF5" s="24">
        <f t="shared" si="11"/>
        <v>188</v>
      </c>
      <c r="AG5" s="23">
        <f t="shared" si="1"/>
        <v>963.32</v>
      </c>
      <c r="AH5" s="25"/>
      <c r="AI5" s="25"/>
      <c r="AJ5" s="25"/>
      <c r="AK5" s="23">
        <f t="shared" si="2"/>
        <v>4562.08</v>
      </c>
      <c r="AL5" s="24">
        <v>7384</v>
      </c>
      <c r="AM5" s="24">
        <v>2690</v>
      </c>
      <c r="AN5" s="24">
        <f t="shared" si="12"/>
        <v>1181.44</v>
      </c>
      <c r="AO5" s="24">
        <f t="shared" si="13"/>
        <v>664.56</v>
      </c>
      <c r="AP5" s="24">
        <f t="shared" si="3"/>
        <v>36.92</v>
      </c>
      <c r="AQ5" s="24">
        <v>14.77</v>
      </c>
      <c r="AR5" s="24"/>
      <c r="AS5" s="24">
        <f t="shared" si="4"/>
        <v>188</v>
      </c>
      <c r="AT5" s="24">
        <f t="shared" si="5"/>
        <v>110.76</v>
      </c>
      <c r="AU5" s="23">
        <f t="shared" si="6"/>
        <v>2196.4500000000003</v>
      </c>
      <c r="AV5" s="23">
        <v>98</v>
      </c>
      <c r="AW5" s="23">
        <f t="shared" si="7"/>
        <v>7819.85</v>
      </c>
      <c r="AX5" s="26"/>
      <c r="AY5" s="59"/>
      <c r="AZ5" s="23">
        <v>255</v>
      </c>
      <c r="BA5" s="27">
        <f t="shared" si="14"/>
        <v>8074.85</v>
      </c>
      <c r="BB5" s="23">
        <f t="shared" si="8"/>
        <v>484.49</v>
      </c>
      <c r="BC5" s="23">
        <f t="shared" si="9"/>
        <v>8559.34</v>
      </c>
      <c r="BD5" s="61">
        <f t="shared" si="15"/>
        <v>93</v>
      </c>
      <c r="BE5" s="29"/>
    </row>
    <row r="6" spans="1:57" s="28" customFormat="1" ht="15" customHeight="1" x14ac:dyDescent="0.25">
      <c r="A6" s="17">
        <f t="shared" si="10"/>
        <v>4</v>
      </c>
      <c r="B6" s="18">
        <v>2503</v>
      </c>
      <c r="C6" s="17" t="s">
        <v>101</v>
      </c>
      <c r="D6" s="17" t="s">
        <v>96</v>
      </c>
      <c r="E6" s="19" t="s">
        <v>97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5175</v>
      </c>
      <c r="L6" s="22">
        <v>1310.32</v>
      </c>
      <c r="M6" s="22"/>
      <c r="N6" s="22"/>
      <c r="O6" s="22"/>
      <c r="P6" s="22">
        <v>200</v>
      </c>
      <c r="Q6" s="22"/>
      <c r="R6" s="22">
        <v>630</v>
      </c>
      <c r="S6" s="34"/>
      <c r="T6" s="22"/>
      <c r="U6" s="34"/>
      <c r="V6" s="34"/>
      <c r="W6" s="22"/>
      <c r="X6" s="22">
        <v>0</v>
      </c>
      <c r="Y6" s="22">
        <v>0</v>
      </c>
      <c r="Z6" s="23">
        <f t="shared" si="0"/>
        <v>8265.32</v>
      </c>
      <c r="AA6" s="24">
        <v>7384</v>
      </c>
      <c r="AB6" s="24">
        <v>590.72</v>
      </c>
      <c r="AC6" s="24">
        <v>147.68</v>
      </c>
      <c r="AD6" s="24">
        <v>36.92</v>
      </c>
      <c r="AE6" s="24">
        <v>2690</v>
      </c>
      <c r="AF6" s="24">
        <f t="shared" si="11"/>
        <v>188</v>
      </c>
      <c r="AG6" s="23">
        <f t="shared" si="1"/>
        <v>963.32</v>
      </c>
      <c r="AH6" s="25"/>
      <c r="AI6" s="25"/>
      <c r="AJ6" s="25"/>
      <c r="AK6" s="23">
        <f t="shared" si="2"/>
        <v>7302</v>
      </c>
      <c r="AL6" s="24">
        <v>7384</v>
      </c>
      <c r="AM6" s="24">
        <v>2690</v>
      </c>
      <c r="AN6" s="24">
        <f t="shared" si="12"/>
        <v>1181.44</v>
      </c>
      <c r="AO6" s="24">
        <f t="shared" si="13"/>
        <v>664.56</v>
      </c>
      <c r="AP6" s="24">
        <f t="shared" si="3"/>
        <v>36.92</v>
      </c>
      <c r="AQ6" s="24">
        <v>14.77</v>
      </c>
      <c r="AR6" s="24"/>
      <c r="AS6" s="24">
        <f t="shared" si="4"/>
        <v>188</v>
      </c>
      <c r="AT6" s="24">
        <f t="shared" si="5"/>
        <v>110.76</v>
      </c>
      <c r="AU6" s="23">
        <f t="shared" si="6"/>
        <v>2196.4500000000003</v>
      </c>
      <c r="AV6" s="23">
        <v>153</v>
      </c>
      <c r="AW6" s="23">
        <f t="shared" si="7"/>
        <v>10614.77</v>
      </c>
      <c r="AX6" s="26"/>
      <c r="AY6" s="59"/>
      <c r="AZ6" s="23">
        <v>255</v>
      </c>
      <c r="BA6" s="27">
        <f t="shared" si="14"/>
        <v>10869.77</v>
      </c>
      <c r="BB6" s="23">
        <f t="shared" si="8"/>
        <v>652.19000000000005</v>
      </c>
      <c r="BC6" s="23">
        <f t="shared" si="9"/>
        <v>11521.96</v>
      </c>
      <c r="BD6" s="61">
        <f t="shared" si="15"/>
        <v>148</v>
      </c>
      <c r="BE6" s="29"/>
    </row>
    <row r="7" spans="1:57" s="28" customFormat="1" ht="15" customHeight="1" x14ac:dyDescent="0.25">
      <c r="A7" s="17">
        <f t="shared" si="10"/>
        <v>5</v>
      </c>
      <c r="B7" s="18">
        <v>2503</v>
      </c>
      <c r="C7" s="17" t="s">
        <v>104</v>
      </c>
      <c r="D7" s="17" t="s">
        <v>100</v>
      </c>
      <c r="E7" s="19" t="s">
        <v>98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473.04</v>
      </c>
      <c r="L7" s="22">
        <v>0</v>
      </c>
      <c r="M7" s="22"/>
      <c r="N7" s="22"/>
      <c r="O7" s="22"/>
      <c r="P7" s="22">
        <v>200</v>
      </c>
      <c r="Q7" s="22"/>
      <c r="R7" s="22">
        <v>630</v>
      </c>
      <c r="S7" s="34"/>
      <c r="T7" s="22"/>
      <c r="U7" s="34"/>
      <c r="V7" s="34"/>
      <c r="W7" s="22"/>
      <c r="X7" s="22">
        <v>2235.2800000000002</v>
      </c>
      <c r="Y7" s="22">
        <v>0</v>
      </c>
      <c r="Z7" s="23">
        <f t="shared" si="0"/>
        <v>4488.32</v>
      </c>
      <c r="AA7" s="24">
        <v>7384</v>
      </c>
      <c r="AB7" s="24">
        <v>590.72</v>
      </c>
      <c r="AC7" s="24">
        <v>147.68</v>
      </c>
      <c r="AD7" s="24">
        <v>36.92</v>
      </c>
      <c r="AE7" s="24">
        <v>2690</v>
      </c>
      <c r="AF7" s="24">
        <f t="shared" si="11"/>
        <v>188</v>
      </c>
      <c r="AG7" s="23">
        <f t="shared" si="1"/>
        <v>963.32</v>
      </c>
      <c r="AH7" s="25"/>
      <c r="AI7" s="25"/>
      <c r="AJ7" s="25"/>
      <c r="AK7" s="23">
        <f t="shared" si="2"/>
        <v>3524.9999999999995</v>
      </c>
      <c r="AL7" s="24">
        <v>7384</v>
      </c>
      <c r="AM7" s="24">
        <v>2690</v>
      </c>
      <c r="AN7" s="24">
        <f t="shared" si="12"/>
        <v>1181.44</v>
      </c>
      <c r="AO7" s="24">
        <f t="shared" si="13"/>
        <v>664.56</v>
      </c>
      <c r="AP7" s="24">
        <f t="shared" si="3"/>
        <v>36.92</v>
      </c>
      <c r="AQ7" s="24">
        <v>14.77</v>
      </c>
      <c r="AR7" s="24"/>
      <c r="AS7" s="24">
        <f t="shared" si="4"/>
        <v>188</v>
      </c>
      <c r="AT7" s="24">
        <f t="shared" si="5"/>
        <v>110.76</v>
      </c>
      <c r="AU7" s="23">
        <f t="shared" si="6"/>
        <v>2196.4500000000003</v>
      </c>
      <c r="AV7" s="23">
        <v>77</v>
      </c>
      <c r="AW7" s="23">
        <f t="shared" si="7"/>
        <v>6761.77</v>
      </c>
      <c r="AX7" s="26"/>
      <c r="AY7" s="59"/>
      <c r="AZ7" s="23">
        <v>255</v>
      </c>
      <c r="BA7" s="27">
        <f t="shared" si="14"/>
        <v>7016.77</v>
      </c>
      <c r="BB7" s="23">
        <f t="shared" si="8"/>
        <v>421.01</v>
      </c>
      <c r="BC7" s="23">
        <f t="shared" si="9"/>
        <v>7437.78</v>
      </c>
      <c r="BD7" s="61">
        <f t="shared" si="15"/>
        <v>72</v>
      </c>
      <c r="BE7" s="29"/>
    </row>
    <row r="8" spans="1:57" s="28" customFormat="1" ht="15" customHeight="1" x14ac:dyDescent="0.25">
      <c r="A8" s="17">
        <f t="shared" si="10"/>
        <v>6</v>
      </c>
      <c r="B8" s="18">
        <v>2503</v>
      </c>
      <c r="C8" s="17" t="s">
        <v>167</v>
      </c>
      <c r="D8" s="17" t="s">
        <v>105</v>
      </c>
      <c r="E8" s="19" t="s">
        <v>106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4576</v>
      </c>
      <c r="L8" s="22">
        <v>4081.6</v>
      </c>
      <c r="M8" s="22"/>
      <c r="N8" s="22"/>
      <c r="O8" s="22"/>
      <c r="P8" s="22">
        <v>200</v>
      </c>
      <c r="Q8" s="22"/>
      <c r="R8" s="22">
        <v>630</v>
      </c>
      <c r="S8" s="34"/>
      <c r="T8" s="22"/>
      <c r="U8" s="34"/>
      <c r="V8" s="34"/>
      <c r="W8" s="22"/>
      <c r="X8" s="22">
        <v>0</v>
      </c>
      <c r="Y8" s="22">
        <v>0</v>
      </c>
      <c r="Z8" s="23">
        <f t="shared" si="0"/>
        <v>10387.6</v>
      </c>
      <c r="AA8" s="24">
        <v>7384</v>
      </c>
      <c r="AB8" s="24">
        <v>590.72</v>
      </c>
      <c r="AC8" s="24">
        <v>147.68</v>
      </c>
      <c r="AD8" s="24">
        <v>36.92</v>
      </c>
      <c r="AE8" s="24">
        <v>6878</v>
      </c>
      <c r="AF8" s="24">
        <f t="shared" si="11"/>
        <v>481</v>
      </c>
      <c r="AG8" s="23">
        <f t="shared" si="1"/>
        <v>1256.3200000000002</v>
      </c>
      <c r="AH8" s="25"/>
      <c r="AI8" s="25"/>
      <c r="AJ8" s="25"/>
      <c r="AK8" s="23">
        <f t="shared" si="2"/>
        <v>9131.2800000000007</v>
      </c>
      <c r="AL8" s="24">
        <v>7384</v>
      </c>
      <c r="AM8" s="24">
        <v>6878</v>
      </c>
      <c r="AN8" s="24">
        <f t="shared" si="12"/>
        <v>1181.44</v>
      </c>
      <c r="AO8" s="24">
        <f t="shared" si="13"/>
        <v>664.56</v>
      </c>
      <c r="AP8" s="24">
        <f t="shared" si="3"/>
        <v>36.92</v>
      </c>
      <c r="AQ8" s="24">
        <v>14.77</v>
      </c>
      <c r="AR8" s="24"/>
      <c r="AS8" s="24">
        <f t="shared" si="4"/>
        <v>481</v>
      </c>
      <c r="AT8" s="24">
        <f t="shared" si="5"/>
        <v>110.76</v>
      </c>
      <c r="AU8" s="23">
        <f t="shared" si="6"/>
        <v>2489.4500000000003</v>
      </c>
      <c r="AV8" s="23">
        <v>195</v>
      </c>
      <c r="AW8" s="23">
        <f t="shared" si="7"/>
        <v>13072.050000000001</v>
      </c>
      <c r="AX8" s="26"/>
      <c r="AY8" s="59"/>
      <c r="AZ8" s="23">
        <v>255</v>
      </c>
      <c r="BA8" s="27">
        <f t="shared" si="14"/>
        <v>13327.05</v>
      </c>
      <c r="BB8" s="23">
        <f t="shared" si="8"/>
        <v>799.62</v>
      </c>
      <c r="BC8" s="23">
        <f t="shared" si="9"/>
        <v>14126.67</v>
      </c>
      <c r="BD8" s="61">
        <f t="shared" si="15"/>
        <v>190</v>
      </c>
      <c r="BE8" s="29"/>
    </row>
    <row r="9" spans="1:57" s="28" customFormat="1" ht="15" customHeight="1" x14ac:dyDescent="0.25">
      <c r="A9" s="17">
        <f t="shared" si="10"/>
        <v>7</v>
      </c>
      <c r="B9" s="18">
        <v>2503</v>
      </c>
      <c r="C9" s="17" t="s">
        <v>168</v>
      </c>
      <c r="D9" s="17" t="s">
        <v>107</v>
      </c>
      <c r="E9" s="19" t="s">
        <v>108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3801.13</v>
      </c>
      <c r="L9" s="22">
        <v>2179.04</v>
      </c>
      <c r="M9" s="22"/>
      <c r="N9" s="22"/>
      <c r="O9" s="22"/>
      <c r="P9" s="22">
        <v>200</v>
      </c>
      <c r="Q9" s="22"/>
      <c r="R9" s="22">
        <v>630</v>
      </c>
      <c r="S9" s="34"/>
      <c r="T9" s="22"/>
      <c r="U9" s="34"/>
      <c r="V9" s="34"/>
      <c r="W9" s="22"/>
      <c r="X9" s="22">
        <v>0</v>
      </c>
      <c r="Y9" s="22">
        <v>0</v>
      </c>
      <c r="Z9" s="23">
        <f t="shared" si="0"/>
        <v>8010.17</v>
      </c>
      <c r="AA9" s="24">
        <v>8131</v>
      </c>
      <c r="AB9" s="24">
        <v>650.48</v>
      </c>
      <c r="AC9" s="24">
        <v>162.62</v>
      </c>
      <c r="AD9" s="24">
        <v>40.659999999999997</v>
      </c>
      <c r="AE9" s="24">
        <v>8131</v>
      </c>
      <c r="AF9" s="24">
        <f t="shared" si="11"/>
        <v>569</v>
      </c>
      <c r="AG9" s="23">
        <f t="shared" si="1"/>
        <v>1422.76</v>
      </c>
      <c r="AH9" s="25"/>
      <c r="AI9" s="25"/>
      <c r="AJ9" s="25"/>
      <c r="AK9" s="23">
        <f t="shared" si="2"/>
        <v>6587.41</v>
      </c>
      <c r="AL9" s="24">
        <v>8131</v>
      </c>
      <c r="AM9" s="24">
        <v>8131</v>
      </c>
      <c r="AN9" s="24">
        <f t="shared" si="12"/>
        <v>1300.96</v>
      </c>
      <c r="AO9" s="24">
        <v>731.8</v>
      </c>
      <c r="AP9" s="24">
        <f t="shared" si="3"/>
        <v>40.659999999999997</v>
      </c>
      <c r="AQ9" s="24">
        <v>16.260000000000002</v>
      </c>
      <c r="AR9" s="24"/>
      <c r="AS9" s="24">
        <f t="shared" si="4"/>
        <v>569</v>
      </c>
      <c r="AT9" s="24">
        <f t="shared" si="5"/>
        <v>121.97</v>
      </c>
      <c r="AU9" s="23">
        <f t="shared" si="6"/>
        <v>2780.65</v>
      </c>
      <c r="AV9" s="23">
        <v>148</v>
      </c>
      <c r="AW9" s="23">
        <f t="shared" si="7"/>
        <v>10938.82</v>
      </c>
      <c r="AX9" s="26"/>
      <c r="AY9" s="59"/>
      <c r="AZ9" s="23">
        <v>255</v>
      </c>
      <c r="BA9" s="27">
        <f t="shared" si="14"/>
        <v>11193.82</v>
      </c>
      <c r="BB9" s="23">
        <f t="shared" si="8"/>
        <v>671.63</v>
      </c>
      <c r="BC9" s="23">
        <f t="shared" si="9"/>
        <v>11865.45</v>
      </c>
      <c r="BD9" s="61">
        <f t="shared" si="15"/>
        <v>143</v>
      </c>
      <c r="BE9" s="29"/>
    </row>
    <row r="10" spans="1:57" s="28" customFormat="1" ht="15" customHeight="1" x14ac:dyDescent="0.25">
      <c r="A10" s="17">
        <f t="shared" si="10"/>
        <v>8</v>
      </c>
      <c r="B10" s="18">
        <v>2503</v>
      </c>
      <c r="C10" s="17" t="s">
        <v>169</v>
      </c>
      <c r="D10" s="17" t="s">
        <v>109</v>
      </c>
      <c r="E10" s="19" t="s">
        <v>110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4066</v>
      </c>
      <c r="L10" s="22">
        <v>3961.68</v>
      </c>
      <c r="M10" s="22"/>
      <c r="N10" s="22"/>
      <c r="O10" s="22"/>
      <c r="P10" s="22">
        <v>200</v>
      </c>
      <c r="Q10" s="22"/>
      <c r="R10" s="22">
        <v>630</v>
      </c>
      <c r="S10" s="34"/>
      <c r="T10" s="22"/>
      <c r="U10" s="34"/>
      <c r="V10" s="34"/>
      <c r="W10" s="22"/>
      <c r="X10" s="22">
        <v>0</v>
      </c>
      <c r="Y10" s="22">
        <v>-200</v>
      </c>
      <c r="Z10" s="23">
        <f t="shared" si="0"/>
        <v>9957.68</v>
      </c>
      <c r="AA10" s="24">
        <v>12760</v>
      </c>
      <c r="AB10" s="24">
        <v>1020.8</v>
      </c>
      <c r="AC10" s="24">
        <v>255.2</v>
      </c>
      <c r="AD10" s="24">
        <v>63.8</v>
      </c>
      <c r="AE10" s="24">
        <v>12760</v>
      </c>
      <c r="AF10" s="24">
        <f t="shared" si="11"/>
        <v>893</v>
      </c>
      <c r="AG10" s="23">
        <f t="shared" si="1"/>
        <v>2232.8000000000002</v>
      </c>
      <c r="AH10" s="25"/>
      <c r="AI10" s="25"/>
      <c r="AJ10" s="25"/>
      <c r="AK10" s="23">
        <f t="shared" si="2"/>
        <v>7724.88</v>
      </c>
      <c r="AL10" s="24">
        <v>12760</v>
      </c>
      <c r="AM10" s="24">
        <v>12760</v>
      </c>
      <c r="AN10" s="24">
        <f t="shared" si="12"/>
        <v>2041.6</v>
      </c>
      <c r="AO10" s="24">
        <f t="shared" si="13"/>
        <v>1148.4000000000001</v>
      </c>
      <c r="AP10" s="24">
        <f t="shared" si="3"/>
        <v>63.8</v>
      </c>
      <c r="AQ10" s="24">
        <v>25.52</v>
      </c>
      <c r="AR10" s="24"/>
      <c r="AS10" s="24">
        <f t="shared" si="4"/>
        <v>893</v>
      </c>
      <c r="AT10" s="24">
        <f t="shared" si="5"/>
        <v>191.4</v>
      </c>
      <c r="AU10" s="23">
        <f t="shared" si="6"/>
        <v>4363.7199999999993</v>
      </c>
      <c r="AV10" s="23">
        <v>187</v>
      </c>
      <c r="AW10" s="23">
        <f t="shared" si="7"/>
        <v>14508.4</v>
      </c>
      <c r="AX10" s="26"/>
      <c r="AY10" s="59"/>
      <c r="AZ10" s="23">
        <v>255</v>
      </c>
      <c r="BA10" s="27">
        <f t="shared" si="14"/>
        <v>14763.4</v>
      </c>
      <c r="BB10" s="23">
        <f t="shared" si="8"/>
        <v>885.8</v>
      </c>
      <c r="BC10" s="23">
        <f t="shared" si="9"/>
        <v>15649.2</v>
      </c>
      <c r="BD10" s="61">
        <f t="shared" si="15"/>
        <v>182</v>
      </c>
      <c r="BE10" s="29"/>
    </row>
    <row r="11" spans="1:57" s="28" customFormat="1" ht="15" customHeight="1" x14ac:dyDescent="0.25">
      <c r="A11" s="17">
        <f t="shared" si="10"/>
        <v>9</v>
      </c>
      <c r="B11" s="18">
        <v>2503</v>
      </c>
      <c r="C11" s="17" t="s">
        <v>170</v>
      </c>
      <c r="D11" s="17" t="s">
        <v>111</v>
      </c>
      <c r="E11" s="19" t="s">
        <v>112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1701.2</v>
      </c>
      <c r="L11" s="22">
        <v>1176.24</v>
      </c>
      <c r="M11" s="22"/>
      <c r="N11" s="22"/>
      <c r="O11" s="22"/>
      <c r="P11" s="22">
        <v>200</v>
      </c>
      <c r="Q11" s="22"/>
      <c r="R11" s="22">
        <v>630</v>
      </c>
      <c r="S11" s="34"/>
      <c r="T11" s="22"/>
      <c r="U11" s="34"/>
      <c r="V11" s="34"/>
      <c r="W11" s="22"/>
      <c r="X11" s="22">
        <v>0</v>
      </c>
      <c r="Y11" s="22">
        <v>0</v>
      </c>
      <c r="Z11" s="23">
        <f t="shared" si="0"/>
        <v>4737.4399999999996</v>
      </c>
      <c r="AA11" s="24">
        <v>7384</v>
      </c>
      <c r="AB11" s="24">
        <v>590.72</v>
      </c>
      <c r="AC11" s="24">
        <v>147.68</v>
      </c>
      <c r="AD11" s="24">
        <v>36.92</v>
      </c>
      <c r="AE11" s="24">
        <v>4668</v>
      </c>
      <c r="AF11" s="24">
        <f t="shared" si="11"/>
        <v>327</v>
      </c>
      <c r="AG11" s="23">
        <f t="shared" si="1"/>
        <v>1102.3200000000002</v>
      </c>
      <c r="AH11" s="25"/>
      <c r="AI11" s="25"/>
      <c r="AJ11" s="25"/>
      <c r="AK11" s="23">
        <f t="shared" si="2"/>
        <v>3635.1199999999994</v>
      </c>
      <c r="AL11" s="24">
        <v>7384</v>
      </c>
      <c r="AM11" s="24">
        <v>4668</v>
      </c>
      <c r="AN11" s="24">
        <f t="shared" si="12"/>
        <v>1181.44</v>
      </c>
      <c r="AO11" s="24">
        <f t="shared" si="13"/>
        <v>664.56</v>
      </c>
      <c r="AP11" s="24">
        <f t="shared" si="3"/>
        <v>36.92</v>
      </c>
      <c r="AQ11" s="24">
        <v>14.77</v>
      </c>
      <c r="AR11" s="24"/>
      <c r="AS11" s="24">
        <f t="shared" si="4"/>
        <v>327</v>
      </c>
      <c r="AT11" s="24">
        <f t="shared" si="5"/>
        <v>110.76</v>
      </c>
      <c r="AU11" s="23">
        <f t="shared" si="6"/>
        <v>2335.4500000000003</v>
      </c>
      <c r="AV11" s="23">
        <v>82</v>
      </c>
      <c r="AW11" s="23">
        <f t="shared" si="7"/>
        <v>7154.8899999999994</v>
      </c>
      <c r="AX11" s="26"/>
      <c r="AY11" s="59"/>
      <c r="AZ11" s="23">
        <v>255</v>
      </c>
      <c r="BA11" s="27">
        <f t="shared" si="14"/>
        <v>7409.89</v>
      </c>
      <c r="BB11" s="23">
        <f t="shared" si="8"/>
        <v>444.59</v>
      </c>
      <c r="BC11" s="23">
        <f t="shared" si="9"/>
        <v>7854.48</v>
      </c>
      <c r="BD11" s="61">
        <f t="shared" si="15"/>
        <v>77</v>
      </c>
      <c r="BE11" s="29"/>
    </row>
    <row r="12" spans="1:57" s="28" customFormat="1" ht="15" customHeight="1" x14ac:dyDescent="0.25">
      <c r="A12" s="17">
        <f t="shared" si="10"/>
        <v>10</v>
      </c>
      <c r="B12" s="18">
        <v>2503</v>
      </c>
      <c r="C12" s="17" t="s">
        <v>214</v>
      </c>
      <c r="D12" s="44" t="s">
        <v>216</v>
      </c>
      <c r="E12" s="19" t="s">
        <v>213</v>
      </c>
      <c r="F12" s="20">
        <v>45689</v>
      </c>
      <c r="G12" s="20">
        <v>46053</v>
      </c>
      <c r="H12" s="20"/>
      <c r="I12" s="21" t="s">
        <v>0</v>
      </c>
      <c r="J12" s="22">
        <v>950</v>
      </c>
      <c r="K12" s="22">
        <v>7692</v>
      </c>
      <c r="L12" s="22">
        <v>1959.24</v>
      </c>
      <c r="M12" s="22"/>
      <c r="N12" s="22"/>
      <c r="O12" s="22"/>
      <c r="P12" s="22">
        <v>200</v>
      </c>
      <c r="Q12" s="22"/>
      <c r="R12" s="22">
        <v>630</v>
      </c>
      <c r="S12" s="34"/>
      <c r="T12" s="22"/>
      <c r="U12" s="34"/>
      <c r="V12" s="34"/>
      <c r="W12" s="22"/>
      <c r="X12" s="22">
        <v>0</v>
      </c>
      <c r="Y12" s="22">
        <v>-200</v>
      </c>
      <c r="Z12" s="23">
        <f t="shared" si="0"/>
        <v>11231.24</v>
      </c>
      <c r="AA12" s="24">
        <v>7384</v>
      </c>
      <c r="AB12" s="24">
        <v>590.72</v>
      </c>
      <c r="AC12" s="24">
        <v>147.68</v>
      </c>
      <c r="AD12" s="24">
        <v>36.92</v>
      </c>
      <c r="AE12" s="24">
        <v>5493</v>
      </c>
      <c r="AF12" s="24">
        <v>385</v>
      </c>
      <c r="AG12" s="23">
        <f t="shared" si="1"/>
        <v>1160.3200000000002</v>
      </c>
      <c r="AH12" s="25"/>
      <c r="AI12" s="25"/>
      <c r="AJ12" s="25"/>
      <c r="AK12" s="23">
        <f t="shared" si="2"/>
        <v>10070.92</v>
      </c>
      <c r="AL12" s="24">
        <v>7384</v>
      </c>
      <c r="AM12" s="24">
        <v>5493</v>
      </c>
      <c r="AN12" s="24">
        <v>1181.44</v>
      </c>
      <c r="AO12" s="24">
        <v>664.56</v>
      </c>
      <c r="AP12" s="24">
        <v>36.92</v>
      </c>
      <c r="AQ12" s="24">
        <v>14.77</v>
      </c>
      <c r="AR12" s="24"/>
      <c r="AS12" s="24">
        <v>385</v>
      </c>
      <c r="AT12" s="24">
        <v>110.76</v>
      </c>
      <c r="AU12" s="23">
        <f t="shared" si="6"/>
        <v>2393.4500000000003</v>
      </c>
      <c r="AV12" s="23">
        <v>212</v>
      </c>
      <c r="AW12" s="23">
        <f t="shared" si="7"/>
        <v>13836.69</v>
      </c>
      <c r="AX12" s="26"/>
      <c r="AY12" s="59"/>
      <c r="AZ12" s="23">
        <v>255</v>
      </c>
      <c r="BA12" s="27">
        <f t="shared" si="14"/>
        <v>14091.69</v>
      </c>
      <c r="BB12" s="23">
        <f t="shared" si="8"/>
        <v>845.5</v>
      </c>
      <c r="BC12" s="23">
        <f t="shared" si="9"/>
        <v>14937.19</v>
      </c>
      <c r="BD12" s="61">
        <f t="shared" si="15"/>
        <v>207</v>
      </c>
      <c r="BE12" s="29"/>
    </row>
    <row r="13" spans="1:57" s="28" customFormat="1" ht="15" customHeight="1" x14ac:dyDescent="0.25">
      <c r="A13" s="17">
        <f t="shared" si="10"/>
        <v>11</v>
      </c>
      <c r="B13" s="18">
        <v>2503</v>
      </c>
      <c r="C13" s="17" t="s">
        <v>171</v>
      </c>
      <c r="D13" s="17" t="s">
        <v>113</v>
      </c>
      <c r="E13" s="19" t="s">
        <v>114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1784.8</v>
      </c>
      <c r="L13" s="22">
        <v>1042</v>
      </c>
      <c r="M13" s="22"/>
      <c r="N13" s="22"/>
      <c r="O13" s="22"/>
      <c r="P13" s="22">
        <v>200</v>
      </c>
      <c r="Q13" s="22"/>
      <c r="R13" s="22">
        <v>630</v>
      </c>
      <c r="S13" s="34"/>
      <c r="T13" s="22"/>
      <c r="U13" s="34"/>
      <c r="V13" s="34"/>
      <c r="W13" s="22"/>
      <c r="X13" s="22">
        <v>78.52</v>
      </c>
      <c r="Y13" s="22">
        <v>0</v>
      </c>
      <c r="Z13" s="23">
        <f t="shared" si="0"/>
        <v>4765.3200000000006</v>
      </c>
      <c r="AA13" s="24">
        <v>7384</v>
      </c>
      <c r="AB13" s="24">
        <v>590.72</v>
      </c>
      <c r="AC13" s="24">
        <v>147.68</v>
      </c>
      <c r="AD13" s="24">
        <v>36.92</v>
      </c>
      <c r="AE13" s="24">
        <v>6644</v>
      </c>
      <c r="AF13" s="24">
        <f t="shared" si="11"/>
        <v>465</v>
      </c>
      <c r="AG13" s="23">
        <f t="shared" si="1"/>
        <v>1240.3200000000002</v>
      </c>
      <c r="AH13" s="25"/>
      <c r="AI13" s="25"/>
      <c r="AJ13" s="25"/>
      <c r="AK13" s="23">
        <f t="shared" si="2"/>
        <v>3525.0000000000005</v>
      </c>
      <c r="AL13" s="24">
        <v>7384</v>
      </c>
      <c r="AM13" s="24">
        <v>6644</v>
      </c>
      <c r="AN13" s="24">
        <f t="shared" si="12"/>
        <v>1181.44</v>
      </c>
      <c r="AO13" s="24">
        <f t="shared" si="13"/>
        <v>664.56</v>
      </c>
      <c r="AP13" s="24">
        <f t="shared" si="3"/>
        <v>36.92</v>
      </c>
      <c r="AQ13" s="24">
        <v>14.77</v>
      </c>
      <c r="AR13" s="24"/>
      <c r="AS13" s="24">
        <f t="shared" si="4"/>
        <v>465</v>
      </c>
      <c r="AT13" s="24">
        <f t="shared" si="5"/>
        <v>110.76</v>
      </c>
      <c r="AU13" s="23">
        <f t="shared" si="6"/>
        <v>2473.4500000000003</v>
      </c>
      <c r="AV13" s="23">
        <v>83</v>
      </c>
      <c r="AW13" s="23">
        <f t="shared" si="7"/>
        <v>7321.77</v>
      </c>
      <c r="AX13" s="26"/>
      <c r="AY13" s="59"/>
      <c r="AZ13" s="23">
        <v>255</v>
      </c>
      <c r="BA13" s="27">
        <f t="shared" si="14"/>
        <v>7576.77</v>
      </c>
      <c r="BB13" s="23">
        <f t="shared" si="8"/>
        <v>454.61</v>
      </c>
      <c r="BC13" s="23">
        <f t="shared" si="9"/>
        <v>8031.38</v>
      </c>
      <c r="BD13" s="61">
        <f t="shared" si="15"/>
        <v>78</v>
      </c>
      <c r="BE13" s="29"/>
    </row>
    <row r="14" spans="1:57" s="28" customFormat="1" ht="15" customHeight="1" x14ac:dyDescent="0.25">
      <c r="A14" s="17">
        <f t="shared" si="10"/>
        <v>12</v>
      </c>
      <c r="B14" s="18">
        <v>2503</v>
      </c>
      <c r="C14" s="17" t="s">
        <v>172</v>
      </c>
      <c r="D14" s="17" t="s">
        <v>115</v>
      </c>
      <c r="E14" s="19" t="s">
        <v>116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2713.6</v>
      </c>
      <c r="L14" s="22">
        <v>1777.2</v>
      </c>
      <c r="M14" s="22"/>
      <c r="N14" s="22"/>
      <c r="O14" s="22"/>
      <c r="P14" s="22">
        <v>200</v>
      </c>
      <c r="Q14" s="22"/>
      <c r="R14" s="22">
        <v>630</v>
      </c>
      <c r="S14" s="34"/>
      <c r="T14" s="22"/>
      <c r="U14" s="34"/>
      <c r="V14" s="34"/>
      <c r="W14" s="22"/>
      <c r="X14" s="22">
        <v>0</v>
      </c>
      <c r="Y14" s="22">
        <v>0</v>
      </c>
      <c r="Z14" s="23">
        <f t="shared" si="0"/>
        <v>6270.8</v>
      </c>
      <c r="AA14" s="24">
        <v>7384</v>
      </c>
      <c r="AB14" s="24">
        <v>590.72</v>
      </c>
      <c r="AC14" s="24">
        <v>147.68</v>
      </c>
      <c r="AD14" s="24">
        <v>36.92</v>
      </c>
      <c r="AE14" s="24">
        <v>5300</v>
      </c>
      <c r="AF14" s="24">
        <f t="shared" si="11"/>
        <v>371</v>
      </c>
      <c r="AG14" s="23">
        <f t="shared" si="1"/>
        <v>1146.3200000000002</v>
      </c>
      <c r="AH14" s="25"/>
      <c r="AI14" s="25"/>
      <c r="AJ14" s="25"/>
      <c r="AK14" s="23">
        <f t="shared" si="2"/>
        <v>5124.4799999999996</v>
      </c>
      <c r="AL14" s="24">
        <v>7384</v>
      </c>
      <c r="AM14" s="24">
        <v>5300</v>
      </c>
      <c r="AN14" s="24">
        <f t="shared" si="12"/>
        <v>1181.44</v>
      </c>
      <c r="AO14" s="24">
        <f t="shared" si="13"/>
        <v>664.56</v>
      </c>
      <c r="AP14" s="24">
        <f t="shared" si="3"/>
        <v>36.92</v>
      </c>
      <c r="AQ14" s="24">
        <v>14.77</v>
      </c>
      <c r="AR14" s="24"/>
      <c r="AS14" s="24">
        <f t="shared" si="4"/>
        <v>371</v>
      </c>
      <c r="AT14" s="24">
        <f t="shared" si="5"/>
        <v>110.76</v>
      </c>
      <c r="AU14" s="23">
        <f t="shared" si="6"/>
        <v>2379.4500000000003</v>
      </c>
      <c r="AV14" s="23">
        <v>113</v>
      </c>
      <c r="AW14" s="23">
        <f t="shared" si="7"/>
        <v>8763.25</v>
      </c>
      <c r="AX14" s="26"/>
      <c r="AY14" s="59"/>
      <c r="AZ14" s="23">
        <v>255</v>
      </c>
      <c r="BA14" s="27">
        <f t="shared" si="14"/>
        <v>9018.25</v>
      </c>
      <c r="BB14" s="23">
        <f t="shared" si="8"/>
        <v>541.1</v>
      </c>
      <c r="BC14" s="23">
        <f t="shared" si="9"/>
        <v>9559.35</v>
      </c>
      <c r="BD14" s="61">
        <f t="shared" si="15"/>
        <v>108</v>
      </c>
      <c r="BE14" s="29"/>
    </row>
    <row r="15" spans="1:57" s="28" customFormat="1" ht="15" customHeight="1" x14ac:dyDescent="0.25">
      <c r="A15" s="17">
        <f t="shared" si="10"/>
        <v>13</v>
      </c>
      <c r="B15" s="18">
        <v>2503</v>
      </c>
      <c r="C15" s="17" t="s">
        <v>173</v>
      </c>
      <c r="D15" s="17" t="s">
        <v>117</v>
      </c>
      <c r="E15" s="19" t="s">
        <v>118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1946.4</v>
      </c>
      <c r="L15" s="22">
        <v>1028.48</v>
      </c>
      <c r="M15" s="22"/>
      <c r="N15" s="22"/>
      <c r="O15" s="22"/>
      <c r="P15" s="22">
        <v>200</v>
      </c>
      <c r="Q15" s="22"/>
      <c r="R15" s="22">
        <v>630</v>
      </c>
      <c r="S15" s="34"/>
      <c r="T15" s="22"/>
      <c r="U15" s="34"/>
      <c r="V15" s="34"/>
      <c r="W15" s="22"/>
      <c r="X15" s="22">
        <v>0</v>
      </c>
      <c r="Y15" s="22">
        <v>0</v>
      </c>
      <c r="Z15" s="23">
        <f t="shared" si="0"/>
        <v>5004.88</v>
      </c>
      <c r="AA15" s="24">
        <v>7384</v>
      </c>
      <c r="AB15" s="24">
        <v>590.72</v>
      </c>
      <c r="AC15" s="24">
        <v>147.68</v>
      </c>
      <c r="AD15" s="24">
        <v>36.92</v>
      </c>
      <c r="AE15" s="24">
        <v>5351</v>
      </c>
      <c r="AF15" s="24">
        <f t="shared" si="11"/>
        <v>375</v>
      </c>
      <c r="AG15" s="23">
        <f t="shared" si="1"/>
        <v>1150.3200000000002</v>
      </c>
      <c r="AH15" s="25"/>
      <c r="AI15" s="25"/>
      <c r="AJ15" s="25"/>
      <c r="AK15" s="23">
        <f t="shared" si="2"/>
        <v>3854.56</v>
      </c>
      <c r="AL15" s="24">
        <v>7384</v>
      </c>
      <c r="AM15" s="24">
        <v>5351</v>
      </c>
      <c r="AN15" s="24">
        <f t="shared" si="12"/>
        <v>1181.44</v>
      </c>
      <c r="AO15" s="24">
        <f t="shared" si="13"/>
        <v>664.56</v>
      </c>
      <c r="AP15" s="24">
        <f t="shared" si="3"/>
        <v>36.92</v>
      </c>
      <c r="AQ15" s="24">
        <v>14.77</v>
      </c>
      <c r="AR15" s="24"/>
      <c r="AS15" s="24">
        <f t="shared" si="4"/>
        <v>375</v>
      </c>
      <c r="AT15" s="24">
        <f t="shared" si="5"/>
        <v>110.76</v>
      </c>
      <c r="AU15" s="23">
        <f t="shared" si="6"/>
        <v>2383.4500000000003</v>
      </c>
      <c r="AV15" s="23">
        <v>87</v>
      </c>
      <c r="AW15" s="23">
        <f t="shared" si="7"/>
        <v>7475.33</v>
      </c>
      <c r="AX15" s="26"/>
      <c r="AY15" s="59"/>
      <c r="AZ15" s="23">
        <v>255</v>
      </c>
      <c r="BA15" s="27">
        <f t="shared" si="14"/>
        <v>7730.33</v>
      </c>
      <c r="BB15" s="23">
        <f t="shared" si="8"/>
        <v>463.82</v>
      </c>
      <c r="BC15" s="23">
        <f t="shared" si="9"/>
        <v>8194.15</v>
      </c>
      <c r="BD15" s="61">
        <f t="shared" si="15"/>
        <v>82</v>
      </c>
      <c r="BE15" s="29"/>
    </row>
    <row r="16" spans="1:57" s="28" customFormat="1" ht="15" customHeight="1" x14ac:dyDescent="0.25">
      <c r="A16" s="17">
        <f t="shared" si="10"/>
        <v>14</v>
      </c>
      <c r="B16" s="18">
        <v>2503</v>
      </c>
      <c r="C16" s="17" t="s">
        <v>174</v>
      </c>
      <c r="D16" s="17" t="s">
        <v>119</v>
      </c>
      <c r="E16" s="19" t="s">
        <v>120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4089.2</v>
      </c>
      <c r="L16" s="22">
        <v>3036</v>
      </c>
      <c r="M16" s="22"/>
      <c r="N16" s="22"/>
      <c r="O16" s="22"/>
      <c r="P16" s="22">
        <v>200</v>
      </c>
      <c r="Q16" s="22"/>
      <c r="R16" s="22">
        <v>630</v>
      </c>
      <c r="S16" s="34"/>
      <c r="T16" s="22"/>
      <c r="U16" s="34"/>
      <c r="V16" s="34"/>
      <c r="W16" s="22"/>
      <c r="X16" s="22">
        <v>0</v>
      </c>
      <c r="Y16" s="22">
        <v>0</v>
      </c>
      <c r="Z16" s="23">
        <f t="shared" si="0"/>
        <v>8985.2000000000007</v>
      </c>
      <c r="AA16" s="24">
        <v>12769</v>
      </c>
      <c r="AB16" s="24">
        <v>1021.52</v>
      </c>
      <c r="AC16" s="24">
        <v>255.38</v>
      </c>
      <c r="AD16" s="24">
        <v>63.85</v>
      </c>
      <c r="AE16" s="24">
        <v>12769</v>
      </c>
      <c r="AF16" s="24">
        <f t="shared" si="11"/>
        <v>894</v>
      </c>
      <c r="AG16" s="23">
        <f t="shared" si="1"/>
        <v>2234.75</v>
      </c>
      <c r="AH16" s="25"/>
      <c r="AI16" s="25"/>
      <c r="AJ16" s="25"/>
      <c r="AK16" s="23">
        <f t="shared" si="2"/>
        <v>6750.4500000000007</v>
      </c>
      <c r="AL16" s="24">
        <v>12769</v>
      </c>
      <c r="AM16" s="24">
        <v>12769</v>
      </c>
      <c r="AN16" s="24">
        <f t="shared" si="12"/>
        <v>2043.04</v>
      </c>
      <c r="AO16" s="24">
        <v>1149.22</v>
      </c>
      <c r="AP16" s="24">
        <f t="shared" si="3"/>
        <v>63.85</v>
      </c>
      <c r="AQ16" s="24">
        <v>25.54</v>
      </c>
      <c r="AR16" s="24"/>
      <c r="AS16" s="24">
        <f t="shared" si="4"/>
        <v>894</v>
      </c>
      <c r="AT16" s="24">
        <f t="shared" si="5"/>
        <v>191.54</v>
      </c>
      <c r="AU16" s="23">
        <f t="shared" si="6"/>
        <v>4367.1899999999996</v>
      </c>
      <c r="AV16" s="23">
        <v>167</v>
      </c>
      <c r="AW16" s="23">
        <f t="shared" si="7"/>
        <v>13519.39</v>
      </c>
      <c r="AX16" s="26"/>
      <c r="AY16" s="59"/>
      <c r="AZ16" s="23">
        <v>255</v>
      </c>
      <c r="BA16" s="27">
        <f t="shared" si="14"/>
        <v>13774.39</v>
      </c>
      <c r="BB16" s="23">
        <f t="shared" si="8"/>
        <v>826.46</v>
      </c>
      <c r="BC16" s="23">
        <f t="shared" si="9"/>
        <v>14600.85</v>
      </c>
      <c r="BD16" s="61">
        <f t="shared" si="15"/>
        <v>162</v>
      </c>
      <c r="BE16" s="29"/>
    </row>
    <row r="17" spans="1:57" s="28" customFormat="1" ht="15" customHeight="1" x14ac:dyDescent="0.25">
      <c r="A17" s="17">
        <f t="shared" si="10"/>
        <v>15</v>
      </c>
      <c r="B17" s="18">
        <v>2503</v>
      </c>
      <c r="C17" s="17" t="s">
        <v>175</v>
      </c>
      <c r="D17" s="17" t="s">
        <v>121</v>
      </c>
      <c r="E17" s="19" t="s">
        <v>122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1874.58</v>
      </c>
      <c r="L17" s="22">
        <v>1053.76</v>
      </c>
      <c r="M17" s="22"/>
      <c r="N17" s="22"/>
      <c r="O17" s="22"/>
      <c r="P17" s="22">
        <v>200</v>
      </c>
      <c r="Q17" s="22"/>
      <c r="R17" s="22">
        <v>630</v>
      </c>
      <c r="S17" s="34"/>
      <c r="T17" s="22"/>
      <c r="U17" s="34"/>
      <c r="V17" s="34"/>
      <c r="W17" s="22"/>
      <c r="X17" s="22">
        <v>59.04</v>
      </c>
      <c r="Y17" s="22">
        <v>0</v>
      </c>
      <c r="Z17" s="23">
        <f t="shared" si="0"/>
        <v>4847.38</v>
      </c>
      <c r="AA17" s="24">
        <v>7556</v>
      </c>
      <c r="AB17" s="24">
        <v>604.48</v>
      </c>
      <c r="AC17" s="24">
        <v>151.12</v>
      </c>
      <c r="AD17" s="24">
        <v>37.78</v>
      </c>
      <c r="AE17" s="24">
        <v>7556</v>
      </c>
      <c r="AF17" s="24">
        <f t="shared" si="11"/>
        <v>529</v>
      </c>
      <c r="AG17" s="23">
        <f t="shared" si="1"/>
        <v>1322.38</v>
      </c>
      <c r="AH17" s="25"/>
      <c r="AI17" s="25"/>
      <c r="AJ17" s="25"/>
      <c r="AK17" s="23">
        <f t="shared" si="2"/>
        <v>3525</v>
      </c>
      <c r="AL17" s="24">
        <v>7556</v>
      </c>
      <c r="AM17" s="24">
        <v>7556</v>
      </c>
      <c r="AN17" s="24">
        <f t="shared" si="12"/>
        <v>1208.96</v>
      </c>
      <c r="AO17" s="24">
        <f t="shared" si="13"/>
        <v>680.04</v>
      </c>
      <c r="AP17" s="24">
        <f t="shared" si="3"/>
        <v>37.78</v>
      </c>
      <c r="AQ17" s="24">
        <v>15.11</v>
      </c>
      <c r="AR17" s="24"/>
      <c r="AS17" s="24">
        <f t="shared" si="4"/>
        <v>529</v>
      </c>
      <c r="AT17" s="24">
        <f t="shared" si="5"/>
        <v>113.34</v>
      </c>
      <c r="AU17" s="23">
        <f t="shared" si="6"/>
        <v>2584.23</v>
      </c>
      <c r="AV17" s="23">
        <v>84</v>
      </c>
      <c r="AW17" s="23">
        <f t="shared" si="7"/>
        <v>7515.6100000000006</v>
      </c>
      <c r="AX17" s="26"/>
      <c r="AY17" s="59"/>
      <c r="AZ17" s="23">
        <v>255</v>
      </c>
      <c r="BA17" s="27">
        <f t="shared" si="14"/>
        <v>7770.61</v>
      </c>
      <c r="BB17" s="23">
        <f t="shared" si="8"/>
        <v>466.24</v>
      </c>
      <c r="BC17" s="23">
        <f t="shared" si="9"/>
        <v>8236.85</v>
      </c>
      <c r="BD17" s="61">
        <f t="shared" si="15"/>
        <v>79</v>
      </c>
      <c r="BE17" s="29"/>
    </row>
    <row r="18" spans="1:57" s="28" customFormat="1" ht="15" customHeight="1" x14ac:dyDescent="0.25">
      <c r="A18" s="17">
        <f t="shared" si="10"/>
        <v>16</v>
      </c>
      <c r="B18" s="18">
        <v>2503</v>
      </c>
      <c r="C18" s="17" t="s">
        <v>176</v>
      </c>
      <c r="D18" s="17" t="s">
        <v>123</v>
      </c>
      <c r="E18" s="19" t="s">
        <v>124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2587.15</v>
      </c>
      <c r="L18" s="22">
        <v>1537.6</v>
      </c>
      <c r="M18" s="22"/>
      <c r="N18" s="22"/>
      <c r="O18" s="22"/>
      <c r="P18" s="22">
        <v>200</v>
      </c>
      <c r="Q18" s="22"/>
      <c r="R18" s="22">
        <v>630</v>
      </c>
      <c r="S18" s="34"/>
      <c r="T18" s="22"/>
      <c r="U18" s="34"/>
      <c r="V18" s="34"/>
      <c r="W18" s="22"/>
      <c r="X18" s="22">
        <v>0</v>
      </c>
      <c r="Y18" s="22">
        <v>-400</v>
      </c>
      <c r="Z18" s="23">
        <f t="shared" si="0"/>
        <v>5584.75</v>
      </c>
      <c r="AA18" s="24">
        <v>7384</v>
      </c>
      <c r="AB18" s="24">
        <v>590.72</v>
      </c>
      <c r="AC18" s="24">
        <v>147.68</v>
      </c>
      <c r="AD18" s="24">
        <v>36.92</v>
      </c>
      <c r="AE18" s="24">
        <v>5176</v>
      </c>
      <c r="AF18" s="24">
        <f t="shared" si="11"/>
        <v>362</v>
      </c>
      <c r="AG18" s="23">
        <f t="shared" si="1"/>
        <v>1137.3200000000002</v>
      </c>
      <c r="AH18" s="25"/>
      <c r="AI18" s="25"/>
      <c r="AJ18" s="25"/>
      <c r="AK18" s="23">
        <f t="shared" si="2"/>
        <v>4447.43</v>
      </c>
      <c r="AL18" s="24">
        <v>7384</v>
      </c>
      <c r="AM18" s="24">
        <v>5176</v>
      </c>
      <c r="AN18" s="24">
        <f t="shared" si="12"/>
        <v>1181.44</v>
      </c>
      <c r="AO18" s="24">
        <f t="shared" si="13"/>
        <v>664.56</v>
      </c>
      <c r="AP18" s="24">
        <f t="shared" si="3"/>
        <v>36.92</v>
      </c>
      <c r="AQ18" s="24">
        <v>14.77</v>
      </c>
      <c r="AR18" s="24"/>
      <c r="AS18" s="24">
        <f t="shared" si="4"/>
        <v>362</v>
      </c>
      <c r="AT18" s="24">
        <f t="shared" si="5"/>
        <v>110.76</v>
      </c>
      <c r="AU18" s="23">
        <f t="shared" si="6"/>
        <v>2370.4500000000003</v>
      </c>
      <c r="AV18" s="23">
        <v>99</v>
      </c>
      <c r="AW18" s="23">
        <f t="shared" si="7"/>
        <v>8054.2000000000007</v>
      </c>
      <c r="AX18" s="26"/>
      <c r="AY18" s="59"/>
      <c r="AZ18" s="23">
        <v>255</v>
      </c>
      <c r="BA18" s="27">
        <f t="shared" si="14"/>
        <v>8309.2000000000007</v>
      </c>
      <c r="BB18" s="23">
        <f t="shared" si="8"/>
        <v>498.55</v>
      </c>
      <c r="BC18" s="23">
        <f t="shared" si="9"/>
        <v>8807.75</v>
      </c>
      <c r="BD18" s="61">
        <f t="shared" si="15"/>
        <v>94</v>
      </c>
      <c r="BE18" s="29"/>
    </row>
    <row r="19" spans="1:57" s="28" customFormat="1" ht="15" customHeight="1" x14ac:dyDescent="0.25">
      <c r="A19" s="17">
        <f t="shared" si="10"/>
        <v>17</v>
      </c>
      <c r="B19" s="18">
        <v>2503</v>
      </c>
      <c r="C19" s="17" t="s">
        <v>177</v>
      </c>
      <c r="D19" s="17" t="s">
        <v>125</v>
      </c>
      <c r="E19" s="19" t="s">
        <v>126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2573.1999999999998</v>
      </c>
      <c r="L19" s="22">
        <v>1964</v>
      </c>
      <c r="M19" s="22"/>
      <c r="N19" s="22"/>
      <c r="O19" s="22"/>
      <c r="P19" s="22">
        <v>200</v>
      </c>
      <c r="Q19" s="22"/>
      <c r="R19" s="22">
        <v>630</v>
      </c>
      <c r="S19" s="34"/>
      <c r="T19" s="22"/>
      <c r="U19" s="34"/>
      <c r="V19" s="34"/>
      <c r="W19" s="22"/>
      <c r="X19" s="22">
        <v>0</v>
      </c>
      <c r="Y19" s="22">
        <v>0</v>
      </c>
      <c r="Z19" s="23">
        <f t="shared" si="0"/>
        <v>6317.2</v>
      </c>
      <c r="AA19" s="24">
        <v>7384</v>
      </c>
      <c r="AB19" s="24">
        <v>590.72</v>
      </c>
      <c r="AC19" s="24">
        <v>147.68</v>
      </c>
      <c r="AD19" s="24">
        <v>36.92</v>
      </c>
      <c r="AE19" s="24">
        <v>7189</v>
      </c>
      <c r="AF19" s="24">
        <f t="shared" si="11"/>
        <v>503</v>
      </c>
      <c r="AG19" s="23">
        <f t="shared" si="1"/>
        <v>1278.3200000000002</v>
      </c>
      <c r="AH19" s="25"/>
      <c r="AI19" s="25"/>
      <c r="AJ19" s="25"/>
      <c r="AK19" s="23">
        <f t="shared" si="2"/>
        <v>5038.8799999999992</v>
      </c>
      <c r="AL19" s="24">
        <v>7384</v>
      </c>
      <c r="AM19" s="24">
        <v>7189</v>
      </c>
      <c r="AN19" s="24">
        <f t="shared" si="12"/>
        <v>1181.44</v>
      </c>
      <c r="AO19" s="24">
        <f t="shared" si="13"/>
        <v>664.56</v>
      </c>
      <c r="AP19" s="24">
        <f t="shared" si="3"/>
        <v>36.92</v>
      </c>
      <c r="AQ19" s="24">
        <v>14.77</v>
      </c>
      <c r="AR19" s="24"/>
      <c r="AS19" s="24">
        <f t="shared" si="4"/>
        <v>503</v>
      </c>
      <c r="AT19" s="24">
        <f t="shared" si="5"/>
        <v>110.76</v>
      </c>
      <c r="AU19" s="23">
        <f t="shared" si="6"/>
        <v>2511.4500000000003</v>
      </c>
      <c r="AV19" s="23">
        <v>114</v>
      </c>
      <c r="AW19" s="23">
        <f t="shared" si="7"/>
        <v>8942.65</v>
      </c>
      <c r="AX19" s="26"/>
      <c r="AY19" s="59"/>
      <c r="AZ19" s="23">
        <v>255</v>
      </c>
      <c r="BA19" s="27">
        <f t="shared" si="14"/>
        <v>9197.65</v>
      </c>
      <c r="BB19" s="23">
        <f t="shared" si="8"/>
        <v>551.86</v>
      </c>
      <c r="BC19" s="23">
        <f t="shared" si="9"/>
        <v>9749.51</v>
      </c>
      <c r="BD19" s="61">
        <f t="shared" si="15"/>
        <v>109</v>
      </c>
      <c r="BE19" s="29"/>
    </row>
    <row r="20" spans="1:57" s="28" customFormat="1" ht="15" customHeight="1" x14ac:dyDescent="0.25">
      <c r="A20" s="17">
        <f t="shared" si="10"/>
        <v>18</v>
      </c>
      <c r="B20" s="18">
        <v>2503</v>
      </c>
      <c r="C20" s="17" t="s">
        <v>178</v>
      </c>
      <c r="D20" s="17" t="s">
        <v>127</v>
      </c>
      <c r="E20" s="19" t="s">
        <v>128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3534.64</v>
      </c>
      <c r="L20" s="22">
        <v>2900.64</v>
      </c>
      <c r="M20" s="22"/>
      <c r="N20" s="22"/>
      <c r="O20" s="22"/>
      <c r="P20" s="22">
        <v>200</v>
      </c>
      <c r="Q20" s="22"/>
      <c r="R20" s="22">
        <v>630</v>
      </c>
      <c r="S20" s="34"/>
      <c r="T20" s="22"/>
      <c r="U20" s="34"/>
      <c r="V20" s="34"/>
      <c r="W20" s="22"/>
      <c r="X20" s="22">
        <v>0</v>
      </c>
      <c r="Y20" s="22">
        <v>0</v>
      </c>
      <c r="Z20" s="23">
        <f t="shared" si="0"/>
        <v>8295.2799999999988</v>
      </c>
      <c r="AA20" s="24">
        <v>7384</v>
      </c>
      <c r="AB20" s="24">
        <v>590.72</v>
      </c>
      <c r="AC20" s="24">
        <v>147.68</v>
      </c>
      <c r="AD20" s="24">
        <v>36.92</v>
      </c>
      <c r="AE20" s="24">
        <v>5148</v>
      </c>
      <c r="AF20" s="24">
        <f t="shared" si="11"/>
        <v>360</v>
      </c>
      <c r="AG20" s="23">
        <f t="shared" si="1"/>
        <v>1135.3200000000002</v>
      </c>
      <c r="AH20" s="25"/>
      <c r="AI20" s="25"/>
      <c r="AJ20" s="25"/>
      <c r="AK20" s="23">
        <f t="shared" si="2"/>
        <v>7159.9599999999991</v>
      </c>
      <c r="AL20" s="24">
        <v>7384</v>
      </c>
      <c r="AM20" s="24">
        <v>5148</v>
      </c>
      <c r="AN20" s="24">
        <f t="shared" si="12"/>
        <v>1181.44</v>
      </c>
      <c r="AO20" s="24">
        <f t="shared" si="13"/>
        <v>664.56</v>
      </c>
      <c r="AP20" s="24">
        <f t="shared" si="3"/>
        <v>36.92</v>
      </c>
      <c r="AQ20" s="24">
        <v>14.77</v>
      </c>
      <c r="AR20" s="24"/>
      <c r="AS20" s="24">
        <f t="shared" si="4"/>
        <v>360</v>
      </c>
      <c r="AT20" s="24">
        <f t="shared" si="5"/>
        <v>110.76</v>
      </c>
      <c r="AU20" s="23">
        <f t="shared" si="6"/>
        <v>2368.4500000000003</v>
      </c>
      <c r="AV20" s="23">
        <v>153</v>
      </c>
      <c r="AW20" s="23">
        <f t="shared" si="7"/>
        <v>10816.73</v>
      </c>
      <c r="AX20" s="26"/>
      <c r="AY20" s="59"/>
      <c r="AZ20" s="23">
        <v>255</v>
      </c>
      <c r="BA20" s="27">
        <f t="shared" si="14"/>
        <v>11071.73</v>
      </c>
      <c r="BB20" s="23">
        <f t="shared" si="8"/>
        <v>664.3</v>
      </c>
      <c r="BC20" s="23">
        <f t="shared" si="9"/>
        <v>11736.03</v>
      </c>
      <c r="BD20" s="61">
        <f t="shared" si="15"/>
        <v>148</v>
      </c>
      <c r="BE20" s="29"/>
    </row>
    <row r="21" spans="1:57" s="28" customFormat="1" ht="15" customHeight="1" x14ac:dyDescent="0.25">
      <c r="A21" s="17">
        <f t="shared" si="10"/>
        <v>19</v>
      </c>
      <c r="B21" s="18">
        <v>2503</v>
      </c>
      <c r="C21" s="17" t="s">
        <v>179</v>
      </c>
      <c r="D21" s="17" t="s">
        <v>129</v>
      </c>
      <c r="E21" s="19" t="s">
        <v>130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50.4</v>
      </c>
      <c r="L21" s="22">
        <v>0</v>
      </c>
      <c r="M21" s="22"/>
      <c r="N21" s="22"/>
      <c r="O21" s="22"/>
      <c r="P21" s="22">
        <v>0</v>
      </c>
      <c r="Q21" s="22"/>
      <c r="R21" s="22">
        <v>0</v>
      </c>
      <c r="S21" s="34"/>
      <c r="T21" s="22"/>
      <c r="U21" s="34"/>
      <c r="V21" s="34"/>
      <c r="W21" s="22"/>
      <c r="X21" s="22">
        <v>2301.92</v>
      </c>
      <c r="Y21" s="22">
        <v>0</v>
      </c>
      <c r="Z21" s="23">
        <f t="shared" si="0"/>
        <v>3252.32</v>
      </c>
      <c r="AA21" s="24">
        <v>7384</v>
      </c>
      <c r="AB21" s="24">
        <v>590.72</v>
      </c>
      <c r="AC21" s="24">
        <v>147.68</v>
      </c>
      <c r="AD21" s="24">
        <v>36.92</v>
      </c>
      <c r="AE21" s="24">
        <v>4570</v>
      </c>
      <c r="AF21" s="24">
        <f t="shared" si="11"/>
        <v>320</v>
      </c>
      <c r="AG21" s="23">
        <f t="shared" si="1"/>
        <v>1095.3200000000002</v>
      </c>
      <c r="AH21" s="25"/>
      <c r="AI21" s="25"/>
      <c r="AJ21" s="25"/>
      <c r="AK21" s="23">
        <f t="shared" si="2"/>
        <v>2157</v>
      </c>
      <c r="AL21" s="24">
        <v>7384</v>
      </c>
      <c r="AM21" s="24">
        <v>4570</v>
      </c>
      <c r="AN21" s="24">
        <f t="shared" si="12"/>
        <v>1181.44</v>
      </c>
      <c r="AO21" s="24">
        <f t="shared" si="13"/>
        <v>664.56</v>
      </c>
      <c r="AP21" s="24">
        <f t="shared" si="3"/>
        <v>36.92</v>
      </c>
      <c r="AQ21" s="24">
        <v>14.77</v>
      </c>
      <c r="AR21" s="24"/>
      <c r="AS21" s="24">
        <f t="shared" si="4"/>
        <v>320</v>
      </c>
      <c r="AT21" s="24">
        <f t="shared" si="5"/>
        <v>110.76</v>
      </c>
      <c r="AU21" s="23">
        <f t="shared" si="6"/>
        <v>2328.4500000000003</v>
      </c>
      <c r="AV21" s="23">
        <v>65</v>
      </c>
      <c r="AW21" s="23">
        <f t="shared" si="7"/>
        <v>5645.77</v>
      </c>
      <c r="AX21" s="26"/>
      <c r="AY21" s="59"/>
      <c r="AZ21" s="23">
        <v>255</v>
      </c>
      <c r="BA21" s="27">
        <f t="shared" si="14"/>
        <v>5900.77</v>
      </c>
      <c r="BB21" s="23">
        <f t="shared" si="8"/>
        <v>354.05</v>
      </c>
      <c r="BC21" s="23">
        <f t="shared" si="9"/>
        <v>6254.82</v>
      </c>
      <c r="BD21" s="61">
        <f t="shared" si="15"/>
        <v>60</v>
      </c>
      <c r="BE21" s="29"/>
    </row>
    <row r="22" spans="1:57" s="28" customFormat="1" ht="15" customHeight="1" x14ac:dyDescent="0.25">
      <c r="A22" s="17">
        <f t="shared" si="10"/>
        <v>20</v>
      </c>
      <c r="B22" s="18">
        <v>2503</v>
      </c>
      <c r="C22" s="17" t="s">
        <v>180</v>
      </c>
      <c r="D22" s="17" t="s">
        <v>131</v>
      </c>
      <c r="E22" s="19" t="s">
        <v>132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856</v>
      </c>
      <c r="L22" s="22">
        <v>577.36</v>
      </c>
      <c r="M22" s="22"/>
      <c r="N22" s="22"/>
      <c r="O22" s="22"/>
      <c r="P22" s="22">
        <v>200</v>
      </c>
      <c r="Q22" s="22"/>
      <c r="R22" s="22">
        <v>630</v>
      </c>
      <c r="S22" s="34"/>
      <c r="T22" s="22"/>
      <c r="U22" s="34"/>
      <c r="V22" s="34"/>
      <c r="W22" s="22"/>
      <c r="X22" s="22">
        <v>1919.75</v>
      </c>
      <c r="Y22" s="22">
        <v>-126</v>
      </c>
      <c r="Z22" s="23">
        <f t="shared" si="0"/>
        <v>4957.1100000000006</v>
      </c>
      <c r="AA22" s="24">
        <v>8182</v>
      </c>
      <c r="AB22" s="24">
        <v>654.55999999999995</v>
      </c>
      <c r="AC22" s="24">
        <v>163.63999999999999</v>
      </c>
      <c r="AD22" s="24">
        <v>40.909999999999997</v>
      </c>
      <c r="AE22" s="24">
        <v>8182</v>
      </c>
      <c r="AF22" s="24">
        <f t="shared" si="11"/>
        <v>573</v>
      </c>
      <c r="AG22" s="23">
        <f t="shared" si="1"/>
        <v>1432.11</v>
      </c>
      <c r="AH22" s="25"/>
      <c r="AI22" s="25"/>
      <c r="AJ22" s="25"/>
      <c r="AK22" s="23">
        <f t="shared" si="2"/>
        <v>3525.0000000000009</v>
      </c>
      <c r="AL22" s="24">
        <v>8182</v>
      </c>
      <c r="AM22" s="24">
        <v>8182</v>
      </c>
      <c r="AN22" s="24">
        <f t="shared" si="12"/>
        <v>1309.1199999999999</v>
      </c>
      <c r="AO22" s="24">
        <f t="shared" si="13"/>
        <v>736.38</v>
      </c>
      <c r="AP22" s="24">
        <f t="shared" si="3"/>
        <v>40.909999999999997</v>
      </c>
      <c r="AQ22" s="24">
        <v>16.36</v>
      </c>
      <c r="AR22" s="24"/>
      <c r="AS22" s="24">
        <f t="shared" si="4"/>
        <v>573</v>
      </c>
      <c r="AT22" s="24">
        <f t="shared" si="5"/>
        <v>122.73</v>
      </c>
      <c r="AU22" s="23">
        <f t="shared" si="6"/>
        <v>2798.5</v>
      </c>
      <c r="AV22" s="23">
        <v>87</v>
      </c>
      <c r="AW22" s="23">
        <f t="shared" si="7"/>
        <v>7842.6100000000006</v>
      </c>
      <c r="AX22" s="26"/>
      <c r="AY22" s="59"/>
      <c r="AZ22" s="23">
        <v>255</v>
      </c>
      <c r="BA22" s="27">
        <f t="shared" si="14"/>
        <v>8097.61</v>
      </c>
      <c r="BB22" s="23">
        <f t="shared" si="8"/>
        <v>485.86</v>
      </c>
      <c r="BC22" s="23">
        <f t="shared" si="9"/>
        <v>8583.4699999999993</v>
      </c>
      <c r="BD22" s="61">
        <f t="shared" si="15"/>
        <v>82</v>
      </c>
      <c r="BE22" s="29"/>
    </row>
    <row r="23" spans="1:57" s="28" customFormat="1" ht="15" customHeight="1" x14ac:dyDescent="0.25">
      <c r="A23" s="17">
        <f t="shared" si="10"/>
        <v>21</v>
      </c>
      <c r="B23" s="18">
        <v>2503</v>
      </c>
      <c r="C23" s="17" t="s">
        <v>181</v>
      </c>
      <c r="D23" s="17" t="s">
        <v>133</v>
      </c>
      <c r="E23" s="19" t="s">
        <v>134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5288</v>
      </c>
      <c r="L23" s="22">
        <v>3165.68</v>
      </c>
      <c r="M23" s="22"/>
      <c r="N23" s="22"/>
      <c r="O23" s="22"/>
      <c r="P23" s="22">
        <v>200</v>
      </c>
      <c r="Q23" s="22"/>
      <c r="R23" s="22">
        <v>630</v>
      </c>
      <c r="S23" s="34"/>
      <c r="T23" s="22"/>
      <c r="U23" s="34"/>
      <c r="V23" s="34"/>
      <c r="W23" s="22"/>
      <c r="X23" s="22">
        <v>0</v>
      </c>
      <c r="Y23" s="22">
        <v>0</v>
      </c>
      <c r="Z23" s="23">
        <f t="shared" si="0"/>
        <v>10233.68</v>
      </c>
      <c r="AA23" s="24">
        <v>7384</v>
      </c>
      <c r="AB23" s="24">
        <v>590.72</v>
      </c>
      <c r="AC23" s="24">
        <v>147.68</v>
      </c>
      <c r="AD23" s="24">
        <v>36.92</v>
      </c>
      <c r="AE23" s="24">
        <v>6353</v>
      </c>
      <c r="AF23" s="24">
        <f t="shared" si="11"/>
        <v>445</v>
      </c>
      <c r="AG23" s="23">
        <f t="shared" si="1"/>
        <v>1220.3200000000002</v>
      </c>
      <c r="AH23" s="25"/>
      <c r="AI23" s="25"/>
      <c r="AJ23" s="25"/>
      <c r="AK23" s="23">
        <f t="shared" si="2"/>
        <v>9013.36</v>
      </c>
      <c r="AL23" s="24">
        <v>7384</v>
      </c>
      <c r="AM23" s="24">
        <v>6353</v>
      </c>
      <c r="AN23" s="24">
        <f t="shared" si="12"/>
        <v>1181.44</v>
      </c>
      <c r="AO23" s="24">
        <f t="shared" si="13"/>
        <v>664.56</v>
      </c>
      <c r="AP23" s="24">
        <f t="shared" si="3"/>
        <v>36.92</v>
      </c>
      <c r="AQ23" s="24">
        <v>14.77</v>
      </c>
      <c r="AR23" s="24"/>
      <c r="AS23" s="24">
        <f t="shared" si="4"/>
        <v>445</v>
      </c>
      <c r="AT23" s="24">
        <f t="shared" si="5"/>
        <v>110.76</v>
      </c>
      <c r="AU23" s="23">
        <f t="shared" si="6"/>
        <v>2453.4500000000003</v>
      </c>
      <c r="AV23" s="23">
        <v>192</v>
      </c>
      <c r="AW23" s="23">
        <f t="shared" si="7"/>
        <v>12879.130000000001</v>
      </c>
      <c r="AX23" s="26"/>
      <c r="AY23" s="59"/>
      <c r="AZ23" s="23">
        <v>255</v>
      </c>
      <c r="BA23" s="27">
        <f t="shared" si="14"/>
        <v>13134.13</v>
      </c>
      <c r="BB23" s="23">
        <f t="shared" si="8"/>
        <v>788.05</v>
      </c>
      <c r="BC23" s="23">
        <f t="shared" si="9"/>
        <v>13922.18</v>
      </c>
      <c r="BD23" s="61">
        <f t="shared" si="15"/>
        <v>187</v>
      </c>
      <c r="BE23" s="29"/>
    </row>
    <row r="24" spans="1:57" s="28" customFormat="1" ht="15" customHeight="1" x14ac:dyDescent="0.25">
      <c r="A24" s="17">
        <f t="shared" si="10"/>
        <v>22</v>
      </c>
      <c r="B24" s="18">
        <v>2503</v>
      </c>
      <c r="C24" s="17" t="s">
        <v>182</v>
      </c>
      <c r="D24" s="17" t="s">
        <v>135</v>
      </c>
      <c r="E24" s="19" t="s">
        <v>136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1615.08</v>
      </c>
      <c r="L24" s="22">
        <v>1285.52</v>
      </c>
      <c r="M24" s="22"/>
      <c r="N24" s="22"/>
      <c r="O24" s="22"/>
      <c r="P24" s="22">
        <v>200</v>
      </c>
      <c r="Q24" s="22"/>
      <c r="R24" s="22">
        <v>630</v>
      </c>
      <c r="S24" s="34"/>
      <c r="T24" s="22"/>
      <c r="U24" s="34"/>
      <c r="V24" s="34"/>
      <c r="W24" s="22"/>
      <c r="X24" s="22">
        <v>31.72</v>
      </c>
      <c r="Y24" s="22">
        <v>0</v>
      </c>
      <c r="Z24" s="23">
        <f t="shared" si="0"/>
        <v>4792.3200000000006</v>
      </c>
      <c r="AA24" s="24">
        <v>7384</v>
      </c>
      <c r="AB24" s="24">
        <v>590.72</v>
      </c>
      <c r="AC24" s="24">
        <v>147.68</v>
      </c>
      <c r="AD24" s="24">
        <v>36.92</v>
      </c>
      <c r="AE24" s="24">
        <v>7034</v>
      </c>
      <c r="AF24" s="24">
        <f t="shared" si="11"/>
        <v>492</v>
      </c>
      <c r="AG24" s="23">
        <f t="shared" si="1"/>
        <v>1267.3200000000002</v>
      </c>
      <c r="AH24" s="25"/>
      <c r="AI24" s="25"/>
      <c r="AJ24" s="25"/>
      <c r="AK24" s="23">
        <f t="shared" si="2"/>
        <v>3525.0000000000005</v>
      </c>
      <c r="AL24" s="24">
        <v>7384</v>
      </c>
      <c r="AM24" s="24">
        <v>7034</v>
      </c>
      <c r="AN24" s="24">
        <f t="shared" si="12"/>
        <v>1181.44</v>
      </c>
      <c r="AO24" s="24">
        <f t="shared" si="13"/>
        <v>664.56</v>
      </c>
      <c r="AP24" s="24">
        <f t="shared" si="3"/>
        <v>36.92</v>
      </c>
      <c r="AQ24" s="24">
        <v>14.77</v>
      </c>
      <c r="AR24" s="24"/>
      <c r="AS24" s="24">
        <f t="shared" si="4"/>
        <v>492</v>
      </c>
      <c r="AT24" s="24">
        <f t="shared" si="5"/>
        <v>110.76</v>
      </c>
      <c r="AU24" s="23">
        <f t="shared" si="6"/>
        <v>2500.4500000000003</v>
      </c>
      <c r="AV24" s="23">
        <v>83</v>
      </c>
      <c r="AW24" s="23">
        <f t="shared" si="7"/>
        <v>7375.77</v>
      </c>
      <c r="AX24" s="26"/>
      <c r="AY24" s="59"/>
      <c r="AZ24" s="23">
        <v>255</v>
      </c>
      <c r="BA24" s="27">
        <f t="shared" si="14"/>
        <v>7630.77</v>
      </c>
      <c r="BB24" s="23">
        <f t="shared" si="8"/>
        <v>457.85</v>
      </c>
      <c r="BC24" s="23">
        <f t="shared" si="9"/>
        <v>8088.62</v>
      </c>
      <c r="BD24" s="61">
        <f t="shared" si="15"/>
        <v>78</v>
      </c>
      <c r="BE24" s="29"/>
    </row>
    <row r="25" spans="1:57" s="28" customFormat="1" ht="15" customHeight="1" x14ac:dyDescent="0.25">
      <c r="A25" s="17">
        <f t="shared" si="10"/>
        <v>23</v>
      </c>
      <c r="B25" s="18">
        <v>2503</v>
      </c>
      <c r="C25" s="17" t="s">
        <v>183</v>
      </c>
      <c r="D25" s="17" t="s">
        <v>137</v>
      </c>
      <c r="E25" s="19" t="s">
        <v>138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1414.6</v>
      </c>
      <c r="L25" s="22">
        <v>1292.8</v>
      </c>
      <c r="M25" s="22"/>
      <c r="N25" s="22"/>
      <c r="O25" s="22"/>
      <c r="P25" s="22">
        <v>200</v>
      </c>
      <c r="Q25" s="22"/>
      <c r="R25" s="22">
        <v>630</v>
      </c>
      <c r="S25" s="34"/>
      <c r="T25" s="22"/>
      <c r="U25" s="34"/>
      <c r="V25" s="34"/>
      <c r="W25" s="22"/>
      <c r="X25" s="22">
        <v>154.91999999999999</v>
      </c>
      <c r="Y25" s="22">
        <v>0</v>
      </c>
      <c r="Z25" s="23">
        <f t="shared" si="0"/>
        <v>4642.32</v>
      </c>
      <c r="AA25" s="24">
        <v>7384</v>
      </c>
      <c r="AB25" s="24">
        <v>590.72</v>
      </c>
      <c r="AC25" s="24">
        <v>147.68</v>
      </c>
      <c r="AD25" s="24">
        <v>36.92</v>
      </c>
      <c r="AE25" s="24">
        <v>4880</v>
      </c>
      <c r="AF25" s="24">
        <f t="shared" si="11"/>
        <v>342</v>
      </c>
      <c r="AG25" s="23">
        <f t="shared" si="1"/>
        <v>1117.3200000000002</v>
      </c>
      <c r="AH25" s="25"/>
      <c r="AI25" s="25"/>
      <c r="AJ25" s="25"/>
      <c r="AK25" s="23">
        <f t="shared" si="2"/>
        <v>3524.9999999999995</v>
      </c>
      <c r="AL25" s="24">
        <v>7384</v>
      </c>
      <c r="AM25" s="24">
        <v>4880</v>
      </c>
      <c r="AN25" s="24">
        <f t="shared" si="12"/>
        <v>1181.44</v>
      </c>
      <c r="AO25" s="24">
        <f t="shared" si="13"/>
        <v>664.56</v>
      </c>
      <c r="AP25" s="24">
        <f t="shared" si="3"/>
        <v>36.92</v>
      </c>
      <c r="AQ25" s="24">
        <v>14.77</v>
      </c>
      <c r="AR25" s="24"/>
      <c r="AS25" s="24">
        <f t="shared" si="4"/>
        <v>342</v>
      </c>
      <c r="AT25" s="24">
        <f t="shared" si="5"/>
        <v>110.76</v>
      </c>
      <c r="AU25" s="23">
        <f t="shared" si="6"/>
        <v>2350.4500000000003</v>
      </c>
      <c r="AV25" s="23">
        <v>80</v>
      </c>
      <c r="AW25" s="23">
        <f t="shared" si="7"/>
        <v>7072.77</v>
      </c>
      <c r="AX25" s="26"/>
      <c r="AY25" s="59"/>
      <c r="AZ25" s="23">
        <v>255</v>
      </c>
      <c r="BA25" s="27">
        <f t="shared" si="14"/>
        <v>7327.77</v>
      </c>
      <c r="BB25" s="23">
        <f t="shared" si="8"/>
        <v>439.67</v>
      </c>
      <c r="BC25" s="23">
        <f t="shared" si="9"/>
        <v>7767.44</v>
      </c>
      <c r="BD25" s="61">
        <f t="shared" si="15"/>
        <v>75</v>
      </c>
      <c r="BE25" s="29"/>
    </row>
    <row r="26" spans="1:57" s="28" customFormat="1" ht="15" customHeight="1" x14ac:dyDescent="0.25">
      <c r="A26" s="17">
        <f t="shared" si="10"/>
        <v>24</v>
      </c>
      <c r="B26" s="18">
        <v>2503</v>
      </c>
      <c r="C26" s="17" t="s">
        <v>184</v>
      </c>
      <c r="D26" s="17" t="s">
        <v>139</v>
      </c>
      <c r="E26" s="19" t="s">
        <v>140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1060.52</v>
      </c>
      <c r="L26" s="22">
        <v>288.48</v>
      </c>
      <c r="M26" s="22"/>
      <c r="N26" s="22"/>
      <c r="O26" s="22"/>
      <c r="P26" s="22">
        <v>200</v>
      </c>
      <c r="Q26" s="22"/>
      <c r="R26" s="22">
        <v>630</v>
      </c>
      <c r="S26" s="34"/>
      <c r="T26" s="22"/>
      <c r="U26" s="34"/>
      <c r="V26" s="34"/>
      <c r="W26" s="22"/>
      <c r="X26" s="22">
        <v>1484.32</v>
      </c>
      <c r="Y26" s="22">
        <v>0</v>
      </c>
      <c r="Z26" s="23">
        <f t="shared" si="0"/>
        <v>4613.32</v>
      </c>
      <c r="AA26" s="24">
        <v>7384</v>
      </c>
      <c r="AB26" s="24">
        <v>590.72</v>
      </c>
      <c r="AC26" s="24">
        <v>147.68</v>
      </c>
      <c r="AD26" s="24">
        <v>36.92</v>
      </c>
      <c r="AE26" s="24">
        <v>4467</v>
      </c>
      <c r="AF26" s="24">
        <f t="shared" si="11"/>
        <v>313</v>
      </c>
      <c r="AG26" s="23">
        <f t="shared" si="1"/>
        <v>1088.3200000000002</v>
      </c>
      <c r="AH26" s="25"/>
      <c r="AI26" s="25"/>
      <c r="AJ26" s="25"/>
      <c r="AK26" s="23">
        <f t="shared" si="2"/>
        <v>3524.9999999999995</v>
      </c>
      <c r="AL26" s="24">
        <v>7384</v>
      </c>
      <c r="AM26" s="24">
        <v>4467</v>
      </c>
      <c r="AN26" s="24">
        <f t="shared" si="12"/>
        <v>1181.44</v>
      </c>
      <c r="AO26" s="24">
        <f t="shared" si="13"/>
        <v>664.56</v>
      </c>
      <c r="AP26" s="24">
        <f t="shared" si="3"/>
        <v>36.92</v>
      </c>
      <c r="AQ26" s="24">
        <v>14.77</v>
      </c>
      <c r="AR26" s="24"/>
      <c r="AS26" s="24">
        <f t="shared" si="4"/>
        <v>313</v>
      </c>
      <c r="AT26" s="24">
        <f t="shared" si="5"/>
        <v>110.76</v>
      </c>
      <c r="AU26" s="23">
        <f t="shared" si="6"/>
        <v>2321.4500000000003</v>
      </c>
      <c r="AV26" s="23">
        <v>80</v>
      </c>
      <c r="AW26" s="23">
        <f t="shared" si="7"/>
        <v>7014.77</v>
      </c>
      <c r="AX26" s="26"/>
      <c r="AY26" s="59"/>
      <c r="AZ26" s="23">
        <v>255</v>
      </c>
      <c r="BA26" s="27">
        <f t="shared" si="14"/>
        <v>7269.77</v>
      </c>
      <c r="BB26" s="23">
        <f t="shared" si="8"/>
        <v>436.19</v>
      </c>
      <c r="BC26" s="23">
        <f t="shared" si="9"/>
        <v>7705.96</v>
      </c>
      <c r="BD26" s="61">
        <f t="shared" si="15"/>
        <v>75</v>
      </c>
      <c r="BE26" s="29"/>
    </row>
    <row r="27" spans="1:57" s="28" customFormat="1" ht="15" customHeight="1" x14ac:dyDescent="0.25">
      <c r="A27" s="17">
        <f t="shared" si="10"/>
        <v>25</v>
      </c>
      <c r="B27" s="18">
        <v>2503</v>
      </c>
      <c r="C27" s="17" t="s">
        <v>185</v>
      </c>
      <c r="D27" s="17" t="s">
        <v>141</v>
      </c>
      <c r="E27" s="19" t="s">
        <v>142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1268.8599999999999</v>
      </c>
      <c r="L27" s="22">
        <v>768.48</v>
      </c>
      <c r="M27" s="22"/>
      <c r="N27" s="22"/>
      <c r="O27" s="22"/>
      <c r="P27" s="22">
        <v>200</v>
      </c>
      <c r="Q27" s="22"/>
      <c r="R27" s="22">
        <v>630</v>
      </c>
      <c r="S27" s="34"/>
      <c r="T27" s="22"/>
      <c r="U27" s="34"/>
      <c r="V27" s="34"/>
      <c r="W27" s="22"/>
      <c r="X27" s="22">
        <v>796.98</v>
      </c>
      <c r="Y27" s="22">
        <v>0</v>
      </c>
      <c r="Z27" s="23">
        <f t="shared" si="0"/>
        <v>4614.32</v>
      </c>
      <c r="AA27" s="24">
        <v>7384</v>
      </c>
      <c r="AB27" s="24">
        <v>590.72</v>
      </c>
      <c r="AC27" s="24">
        <v>147.68</v>
      </c>
      <c r="AD27" s="24">
        <v>36.92</v>
      </c>
      <c r="AE27" s="24">
        <v>4492</v>
      </c>
      <c r="AF27" s="24">
        <f t="shared" si="11"/>
        <v>314</v>
      </c>
      <c r="AG27" s="23">
        <f t="shared" si="1"/>
        <v>1089.3200000000002</v>
      </c>
      <c r="AH27" s="25"/>
      <c r="AI27" s="25"/>
      <c r="AJ27" s="25"/>
      <c r="AK27" s="23">
        <f t="shared" si="2"/>
        <v>3524.9999999999995</v>
      </c>
      <c r="AL27" s="24">
        <v>7384</v>
      </c>
      <c r="AM27" s="24">
        <v>4492</v>
      </c>
      <c r="AN27" s="24">
        <f t="shared" si="12"/>
        <v>1181.44</v>
      </c>
      <c r="AO27" s="24">
        <f t="shared" si="13"/>
        <v>664.56</v>
      </c>
      <c r="AP27" s="24">
        <f t="shared" si="3"/>
        <v>36.92</v>
      </c>
      <c r="AQ27" s="24">
        <v>14.77</v>
      </c>
      <c r="AR27" s="24"/>
      <c r="AS27" s="24">
        <f t="shared" si="4"/>
        <v>314</v>
      </c>
      <c r="AT27" s="24">
        <f t="shared" si="5"/>
        <v>110.76</v>
      </c>
      <c r="AU27" s="23">
        <f t="shared" si="6"/>
        <v>2322.4500000000003</v>
      </c>
      <c r="AV27" s="23">
        <v>80</v>
      </c>
      <c r="AW27" s="23">
        <f t="shared" si="7"/>
        <v>7016.77</v>
      </c>
      <c r="AX27" s="26"/>
      <c r="AY27" s="59"/>
      <c r="AZ27" s="23">
        <v>255</v>
      </c>
      <c r="BA27" s="27">
        <f t="shared" si="14"/>
        <v>7271.77</v>
      </c>
      <c r="BB27" s="23">
        <f t="shared" si="8"/>
        <v>436.31</v>
      </c>
      <c r="BC27" s="23">
        <f t="shared" si="9"/>
        <v>7708.08</v>
      </c>
      <c r="BD27" s="61">
        <f t="shared" si="15"/>
        <v>75</v>
      </c>
      <c r="BE27" s="29"/>
    </row>
    <row r="28" spans="1:57" s="28" customFormat="1" ht="15" customHeight="1" x14ac:dyDescent="0.25">
      <c r="A28" s="17">
        <f t="shared" si="10"/>
        <v>26</v>
      </c>
      <c r="B28" s="18">
        <v>2503</v>
      </c>
      <c r="C28" s="17" t="s">
        <v>186</v>
      </c>
      <c r="D28" s="17" t="s">
        <v>143</v>
      </c>
      <c r="E28" s="19" t="s">
        <v>144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8802</v>
      </c>
      <c r="L28" s="22">
        <v>3384.68</v>
      </c>
      <c r="M28" s="22"/>
      <c r="N28" s="22"/>
      <c r="O28" s="22"/>
      <c r="P28" s="22">
        <v>200</v>
      </c>
      <c r="Q28" s="22"/>
      <c r="R28" s="22">
        <v>630</v>
      </c>
      <c r="S28" s="34"/>
      <c r="T28" s="22"/>
      <c r="U28" s="34"/>
      <c r="V28" s="34"/>
      <c r="W28" s="22"/>
      <c r="X28" s="22">
        <v>0</v>
      </c>
      <c r="Y28" s="22">
        <v>-120</v>
      </c>
      <c r="Z28" s="23">
        <f t="shared" si="0"/>
        <v>13926.68</v>
      </c>
      <c r="AA28" s="24">
        <v>13877</v>
      </c>
      <c r="AB28" s="24">
        <v>1110.1600000000001</v>
      </c>
      <c r="AC28" s="24">
        <v>277.54000000000002</v>
      </c>
      <c r="AD28" s="24">
        <v>69.39</v>
      </c>
      <c r="AE28" s="24">
        <v>13877</v>
      </c>
      <c r="AF28" s="24">
        <f t="shared" si="11"/>
        <v>971</v>
      </c>
      <c r="AG28" s="23">
        <f t="shared" si="1"/>
        <v>2428.09</v>
      </c>
      <c r="AH28" s="25"/>
      <c r="AI28" s="25"/>
      <c r="AJ28" s="25"/>
      <c r="AK28" s="23">
        <f t="shared" si="2"/>
        <v>11498.59</v>
      </c>
      <c r="AL28" s="24">
        <v>13877</v>
      </c>
      <c r="AM28" s="24">
        <v>13877</v>
      </c>
      <c r="AN28" s="24">
        <f t="shared" si="12"/>
        <v>2220.3200000000002</v>
      </c>
      <c r="AO28" s="24">
        <v>1248.94</v>
      </c>
      <c r="AP28" s="24">
        <f t="shared" si="3"/>
        <v>69.39</v>
      </c>
      <c r="AQ28" s="24">
        <v>27.75</v>
      </c>
      <c r="AR28" s="24"/>
      <c r="AS28" s="24">
        <f t="shared" si="4"/>
        <v>971</v>
      </c>
      <c r="AT28" s="24">
        <f t="shared" si="5"/>
        <v>208.16</v>
      </c>
      <c r="AU28" s="23">
        <f t="shared" si="6"/>
        <v>4745.5599999999995</v>
      </c>
      <c r="AV28" s="23">
        <v>266</v>
      </c>
      <c r="AW28" s="23">
        <f t="shared" si="7"/>
        <v>18938.239999999998</v>
      </c>
      <c r="AX28" s="26"/>
      <c r="AY28" s="59"/>
      <c r="AZ28" s="23">
        <v>255</v>
      </c>
      <c r="BA28" s="27">
        <f t="shared" si="14"/>
        <v>19193.240000000002</v>
      </c>
      <c r="BB28" s="23">
        <f t="shared" si="8"/>
        <v>1151.5899999999999</v>
      </c>
      <c r="BC28" s="23">
        <f t="shared" si="9"/>
        <v>20344.830000000002</v>
      </c>
      <c r="BD28" s="61">
        <f t="shared" si="15"/>
        <v>261</v>
      </c>
      <c r="BE28" s="29"/>
    </row>
    <row r="29" spans="1:57" s="28" customFormat="1" ht="15" customHeight="1" x14ac:dyDescent="0.25">
      <c r="A29" s="17">
        <f t="shared" si="10"/>
        <v>27</v>
      </c>
      <c r="B29" s="18">
        <v>2503</v>
      </c>
      <c r="C29" s="17" t="s">
        <v>187</v>
      </c>
      <c r="D29" s="17" t="s">
        <v>145</v>
      </c>
      <c r="E29" s="19" t="s">
        <v>146</v>
      </c>
      <c r="F29" s="20">
        <v>45444</v>
      </c>
      <c r="G29" s="20">
        <v>45808</v>
      </c>
      <c r="H29" s="17"/>
      <c r="I29" s="21" t="s">
        <v>0</v>
      </c>
      <c r="J29" s="22">
        <v>950</v>
      </c>
      <c r="K29" s="22">
        <v>7821.92</v>
      </c>
      <c r="L29" s="22">
        <v>2685.44</v>
      </c>
      <c r="M29" s="22"/>
      <c r="N29" s="22"/>
      <c r="O29" s="22"/>
      <c r="P29" s="22">
        <v>200</v>
      </c>
      <c r="Q29" s="22"/>
      <c r="R29" s="22">
        <v>630</v>
      </c>
      <c r="S29" s="34"/>
      <c r="T29" s="22"/>
      <c r="U29" s="34"/>
      <c r="V29" s="34"/>
      <c r="W29" s="22"/>
      <c r="X29" s="22">
        <v>0</v>
      </c>
      <c r="Y29" s="22">
        <v>-210</v>
      </c>
      <c r="Z29" s="23">
        <f t="shared" si="0"/>
        <v>12077.36</v>
      </c>
      <c r="AA29" s="24">
        <v>8878</v>
      </c>
      <c r="AB29" s="24">
        <v>710.24</v>
      </c>
      <c r="AC29" s="24">
        <v>177.56</v>
      </c>
      <c r="AD29" s="24">
        <v>44.39</v>
      </c>
      <c r="AE29" s="24">
        <v>8878</v>
      </c>
      <c r="AF29" s="24">
        <f t="shared" si="11"/>
        <v>621</v>
      </c>
      <c r="AG29" s="23">
        <f t="shared" si="1"/>
        <v>1553.19</v>
      </c>
      <c r="AH29" s="25"/>
      <c r="AI29" s="25"/>
      <c r="AJ29" s="25"/>
      <c r="AK29" s="23">
        <f t="shared" si="2"/>
        <v>10524.17</v>
      </c>
      <c r="AL29" s="24">
        <v>8878</v>
      </c>
      <c r="AM29" s="24">
        <v>8878</v>
      </c>
      <c r="AN29" s="24">
        <f t="shared" si="12"/>
        <v>1420.48</v>
      </c>
      <c r="AO29" s="24">
        <f t="shared" si="13"/>
        <v>799.02</v>
      </c>
      <c r="AP29" s="24">
        <f t="shared" si="3"/>
        <v>44.39</v>
      </c>
      <c r="AQ29" s="24">
        <v>17.760000000000002</v>
      </c>
      <c r="AR29" s="24"/>
      <c r="AS29" s="24">
        <f t="shared" si="4"/>
        <v>621</v>
      </c>
      <c r="AT29" s="24">
        <f t="shared" si="5"/>
        <v>133.16999999999999</v>
      </c>
      <c r="AU29" s="23">
        <f t="shared" si="6"/>
        <v>3035.82</v>
      </c>
      <c r="AV29" s="23">
        <v>229</v>
      </c>
      <c r="AW29" s="23">
        <f t="shared" si="7"/>
        <v>15342.18</v>
      </c>
      <c r="AX29" s="26"/>
      <c r="AY29" s="59"/>
      <c r="AZ29" s="23">
        <v>255</v>
      </c>
      <c r="BA29" s="27">
        <f t="shared" si="14"/>
        <v>15597.18</v>
      </c>
      <c r="BB29" s="23">
        <f t="shared" si="8"/>
        <v>935.83</v>
      </c>
      <c r="BC29" s="23">
        <f t="shared" si="9"/>
        <v>16533.009999999998</v>
      </c>
      <c r="BD29" s="61">
        <f t="shared" si="15"/>
        <v>224</v>
      </c>
      <c r="BE29" s="29"/>
    </row>
    <row r="30" spans="1:57" s="28" customFormat="1" ht="15" customHeight="1" x14ac:dyDescent="0.25">
      <c r="A30" s="17">
        <f t="shared" si="10"/>
        <v>28</v>
      </c>
      <c r="B30" s="18">
        <v>2503</v>
      </c>
      <c r="C30" s="17" t="s">
        <v>188</v>
      </c>
      <c r="D30" s="17" t="s">
        <v>147</v>
      </c>
      <c r="E30" s="19" t="s">
        <v>148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7742</v>
      </c>
      <c r="L30" s="22">
        <v>2208.56</v>
      </c>
      <c r="M30" s="22"/>
      <c r="N30" s="22"/>
      <c r="O30" s="22"/>
      <c r="P30" s="22">
        <v>200</v>
      </c>
      <c r="Q30" s="22"/>
      <c r="R30" s="22">
        <v>630</v>
      </c>
      <c r="S30" s="34"/>
      <c r="T30" s="22"/>
      <c r="U30" s="34"/>
      <c r="V30" s="34"/>
      <c r="W30" s="22"/>
      <c r="X30" s="22">
        <v>0</v>
      </c>
      <c r="Y30" s="22">
        <v>0</v>
      </c>
      <c r="Z30" s="23">
        <f t="shared" si="0"/>
        <v>11730.56</v>
      </c>
      <c r="AA30" s="24">
        <v>8677</v>
      </c>
      <c r="AB30" s="24">
        <v>694.16</v>
      </c>
      <c r="AC30" s="24">
        <v>173.54</v>
      </c>
      <c r="AD30" s="24">
        <v>43.39</v>
      </c>
      <c r="AE30" s="24">
        <v>8677</v>
      </c>
      <c r="AF30" s="24">
        <f t="shared" si="11"/>
        <v>607</v>
      </c>
      <c r="AG30" s="23">
        <f t="shared" si="1"/>
        <v>1518.09</v>
      </c>
      <c r="AH30" s="25"/>
      <c r="AI30" s="25"/>
      <c r="AJ30" s="25"/>
      <c r="AK30" s="23">
        <f t="shared" si="2"/>
        <v>10212.469999999999</v>
      </c>
      <c r="AL30" s="24">
        <v>8677</v>
      </c>
      <c r="AM30" s="24">
        <v>8677</v>
      </c>
      <c r="AN30" s="24">
        <f t="shared" si="12"/>
        <v>1388.32</v>
      </c>
      <c r="AO30" s="24">
        <v>780.94</v>
      </c>
      <c r="AP30" s="24">
        <f t="shared" si="3"/>
        <v>43.39</v>
      </c>
      <c r="AQ30" s="24">
        <v>17.350000000000001</v>
      </c>
      <c r="AR30" s="24"/>
      <c r="AS30" s="24">
        <f t="shared" si="4"/>
        <v>607</v>
      </c>
      <c r="AT30" s="24">
        <f t="shared" si="5"/>
        <v>130.16</v>
      </c>
      <c r="AU30" s="23">
        <f t="shared" si="6"/>
        <v>2967.16</v>
      </c>
      <c r="AV30" s="23">
        <v>222</v>
      </c>
      <c r="AW30" s="23">
        <f t="shared" si="7"/>
        <v>14919.72</v>
      </c>
      <c r="AX30" s="26"/>
      <c r="AY30" s="59"/>
      <c r="AZ30" s="23">
        <v>255</v>
      </c>
      <c r="BA30" s="27">
        <f t="shared" si="14"/>
        <v>15174.72</v>
      </c>
      <c r="BB30" s="23">
        <f t="shared" si="8"/>
        <v>910.48</v>
      </c>
      <c r="BC30" s="23">
        <f t="shared" si="9"/>
        <v>16085.2</v>
      </c>
      <c r="BD30" s="61">
        <f t="shared" si="15"/>
        <v>217</v>
      </c>
      <c r="BE30" s="29"/>
    </row>
    <row r="31" spans="1:57" s="28" customFormat="1" ht="15" customHeight="1" x14ac:dyDescent="0.25">
      <c r="A31" s="17">
        <f t="shared" si="10"/>
        <v>29</v>
      </c>
      <c r="B31" s="18">
        <v>2503</v>
      </c>
      <c r="C31" s="17" t="s">
        <v>189</v>
      </c>
      <c r="D31" s="17" t="s">
        <v>149</v>
      </c>
      <c r="E31" s="19" t="s">
        <v>150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10204</v>
      </c>
      <c r="L31" s="22">
        <v>2167.52</v>
      </c>
      <c r="M31" s="22"/>
      <c r="N31" s="22"/>
      <c r="O31" s="22"/>
      <c r="P31" s="22">
        <v>200</v>
      </c>
      <c r="Q31" s="22"/>
      <c r="R31" s="22">
        <v>630</v>
      </c>
      <c r="S31" s="34"/>
      <c r="T31" s="22"/>
      <c r="U31" s="34"/>
      <c r="V31" s="34"/>
      <c r="W31" s="22"/>
      <c r="X31" s="22">
        <v>0</v>
      </c>
      <c r="Y31" s="22">
        <v>0</v>
      </c>
      <c r="Z31" s="23">
        <f t="shared" si="0"/>
        <v>14151.52</v>
      </c>
      <c r="AA31" s="24">
        <v>7384</v>
      </c>
      <c r="AB31" s="24">
        <v>590.72</v>
      </c>
      <c r="AC31" s="24">
        <v>147.68</v>
      </c>
      <c r="AD31" s="24">
        <v>36.92</v>
      </c>
      <c r="AE31" s="24">
        <v>5109</v>
      </c>
      <c r="AF31" s="24">
        <f t="shared" si="11"/>
        <v>358</v>
      </c>
      <c r="AG31" s="23">
        <f t="shared" si="1"/>
        <v>1133.3200000000002</v>
      </c>
      <c r="AH31" s="25"/>
      <c r="AI31" s="25"/>
      <c r="AJ31" s="25"/>
      <c r="AK31" s="23">
        <f t="shared" si="2"/>
        <v>13018.2</v>
      </c>
      <c r="AL31" s="24">
        <v>7384</v>
      </c>
      <c r="AM31" s="24">
        <v>5109</v>
      </c>
      <c r="AN31" s="24">
        <f t="shared" si="12"/>
        <v>1181.44</v>
      </c>
      <c r="AO31" s="24">
        <f t="shared" si="13"/>
        <v>664.56</v>
      </c>
      <c r="AP31" s="24">
        <f t="shared" si="3"/>
        <v>36.92</v>
      </c>
      <c r="AQ31" s="24">
        <v>14.77</v>
      </c>
      <c r="AR31" s="24"/>
      <c r="AS31" s="24">
        <f t="shared" si="4"/>
        <v>358</v>
      </c>
      <c r="AT31" s="24">
        <f t="shared" si="5"/>
        <v>110.76</v>
      </c>
      <c r="AU31" s="23">
        <f t="shared" si="6"/>
        <v>2366.4500000000003</v>
      </c>
      <c r="AV31" s="23">
        <v>270</v>
      </c>
      <c r="AW31" s="23">
        <f t="shared" si="7"/>
        <v>16787.97</v>
      </c>
      <c r="AX31" s="26"/>
      <c r="AY31" s="59"/>
      <c r="AZ31" s="23">
        <v>255</v>
      </c>
      <c r="BA31" s="27">
        <f t="shared" si="14"/>
        <v>17042.97</v>
      </c>
      <c r="BB31" s="23">
        <f t="shared" si="8"/>
        <v>1022.58</v>
      </c>
      <c r="BC31" s="23">
        <f t="shared" si="9"/>
        <v>18065.55</v>
      </c>
      <c r="BD31" s="61">
        <f t="shared" si="15"/>
        <v>265</v>
      </c>
      <c r="BE31" s="29"/>
    </row>
    <row r="32" spans="1:57" s="28" customFormat="1" ht="15" customHeight="1" x14ac:dyDescent="0.25">
      <c r="A32" s="17">
        <f t="shared" si="10"/>
        <v>30</v>
      </c>
      <c r="B32" s="18">
        <v>2503</v>
      </c>
      <c r="C32" s="17" t="s">
        <v>190</v>
      </c>
      <c r="D32" s="17" t="s">
        <v>151</v>
      </c>
      <c r="E32" s="19" t="s">
        <v>152</v>
      </c>
      <c r="F32" s="20">
        <v>45444</v>
      </c>
      <c r="G32" s="20">
        <v>45808</v>
      </c>
      <c r="H32" s="17"/>
      <c r="I32" s="21" t="s">
        <v>0</v>
      </c>
      <c r="J32" s="22">
        <v>800</v>
      </c>
      <c r="K32" s="22">
        <v>642.03</v>
      </c>
      <c r="L32" s="22">
        <v>953.76</v>
      </c>
      <c r="M32" s="22"/>
      <c r="N32" s="22"/>
      <c r="O32" s="22"/>
      <c r="P32" s="22">
        <v>200</v>
      </c>
      <c r="Q32" s="22"/>
      <c r="R32" s="22">
        <v>630</v>
      </c>
      <c r="S32" s="34"/>
      <c r="T32" s="22"/>
      <c r="U32" s="34"/>
      <c r="V32" s="34"/>
      <c r="W32" s="22"/>
      <c r="X32" s="22">
        <v>1454.53</v>
      </c>
      <c r="Y32" s="22">
        <v>0</v>
      </c>
      <c r="Z32" s="23">
        <f t="shared" si="0"/>
        <v>4680.32</v>
      </c>
      <c r="AA32" s="24">
        <v>7384</v>
      </c>
      <c r="AB32" s="24">
        <v>590.72</v>
      </c>
      <c r="AC32" s="24">
        <v>147.68</v>
      </c>
      <c r="AD32" s="24">
        <v>36.92</v>
      </c>
      <c r="AE32" s="24">
        <v>5432</v>
      </c>
      <c r="AF32" s="24">
        <f t="shared" si="11"/>
        <v>380</v>
      </c>
      <c r="AG32" s="23">
        <f t="shared" si="1"/>
        <v>1155.3200000000002</v>
      </c>
      <c r="AH32" s="25"/>
      <c r="AI32" s="25"/>
      <c r="AJ32" s="25"/>
      <c r="AK32" s="23">
        <f t="shared" si="2"/>
        <v>3524.9999999999995</v>
      </c>
      <c r="AL32" s="24">
        <v>7384</v>
      </c>
      <c r="AM32" s="24">
        <v>5432</v>
      </c>
      <c r="AN32" s="24">
        <f t="shared" si="12"/>
        <v>1181.44</v>
      </c>
      <c r="AO32" s="24">
        <f t="shared" si="13"/>
        <v>664.56</v>
      </c>
      <c r="AP32" s="24">
        <f t="shared" si="3"/>
        <v>36.92</v>
      </c>
      <c r="AQ32" s="24">
        <v>14.77</v>
      </c>
      <c r="AR32" s="24"/>
      <c r="AS32" s="24">
        <f t="shared" si="4"/>
        <v>380</v>
      </c>
      <c r="AT32" s="24">
        <f t="shared" si="5"/>
        <v>110.76</v>
      </c>
      <c r="AU32" s="23">
        <f t="shared" si="6"/>
        <v>2388.4500000000003</v>
      </c>
      <c r="AV32" s="23">
        <v>81</v>
      </c>
      <c r="AW32" s="23">
        <f t="shared" si="7"/>
        <v>7149.77</v>
      </c>
      <c r="AX32" s="26"/>
      <c r="AY32" s="59"/>
      <c r="AZ32" s="23">
        <v>255</v>
      </c>
      <c r="BA32" s="27">
        <f t="shared" si="14"/>
        <v>7404.77</v>
      </c>
      <c r="BB32" s="23">
        <f t="shared" si="8"/>
        <v>444.29</v>
      </c>
      <c r="BC32" s="23">
        <f t="shared" si="9"/>
        <v>7849.06</v>
      </c>
      <c r="BD32" s="61">
        <f t="shared" si="15"/>
        <v>76</v>
      </c>
      <c r="BE32" s="29"/>
    </row>
    <row r="33" spans="1:57" s="28" customFormat="1" ht="15" customHeight="1" x14ac:dyDescent="0.25">
      <c r="A33" s="17">
        <f t="shared" si="10"/>
        <v>31</v>
      </c>
      <c r="B33" s="18">
        <v>2503</v>
      </c>
      <c r="C33" s="17" t="s">
        <v>191</v>
      </c>
      <c r="D33" s="17" t="s">
        <v>153</v>
      </c>
      <c r="E33" s="19" t="s">
        <v>154</v>
      </c>
      <c r="F33" s="20">
        <v>45444</v>
      </c>
      <c r="G33" s="20">
        <v>45808</v>
      </c>
      <c r="H33" s="17"/>
      <c r="I33" s="21" t="s">
        <v>0</v>
      </c>
      <c r="J33" s="22">
        <v>900</v>
      </c>
      <c r="K33" s="22">
        <v>2439</v>
      </c>
      <c r="L33" s="22">
        <v>1326.8</v>
      </c>
      <c r="M33" s="22"/>
      <c r="N33" s="22"/>
      <c r="O33" s="22"/>
      <c r="P33" s="22">
        <v>200</v>
      </c>
      <c r="Q33" s="22"/>
      <c r="R33" s="22">
        <v>630</v>
      </c>
      <c r="S33" s="34"/>
      <c r="T33" s="22"/>
      <c r="U33" s="34"/>
      <c r="V33" s="34"/>
      <c r="W33" s="22"/>
      <c r="X33" s="22">
        <v>0</v>
      </c>
      <c r="Y33" s="22">
        <v>0</v>
      </c>
      <c r="Z33" s="23">
        <f t="shared" si="0"/>
        <v>5495.8</v>
      </c>
      <c r="AA33" s="24">
        <v>7606</v>
      </c>
      <c r="AB33" s="24">
        <v>608.48</v>
      </c>
      <c r="AC33" s="24">
        <v>152.12</v>
      </c>
      <c r="AD33" s="24">
        <v>38.03</v>
      </c>
      <c r="AE33" s="24">
        <v>7606</v>
      </c>
      <c r="AF33" s="24">
        <f t="shared" si="11"/>
        <v>532</v>
      </c>
      <c r="AG33" s="23">
        <f t="shared" si="1"/>
        <v>1330.63</v>
      </c>
      <c r="AH33" s="25"/>
      <c r="AI33" s="25"/>
      <c r="AJ33" s="25"/>
      <c r="AK33" s="23">
        <f t="shared" si="2"/>
        <v>4165.17</v>
      </c>
      <c r="AL33" s="24">
        <v>7606</v>
      </c>
      <c r="AM33" s="24">
        <v>7606</v>
      </c>
      <c r="AN33" s="24">
        <f t="shared" si="12"/>
        <v>1216.96</v>
      </c>
      <c r="AO33" s="24">
        <f t="shared" si="13"/>
        <v>684.54</v>
      </c>
      <c r="AP33" s="24">
        <f t="shared" si="3"/>
        <v>38.03</v>
      </c>
      <c r="AQ33" s="24">
        <v>15.21</v>
      </c>
      <c r="AR33" s="24"/>
      <c r="AS33" s="24">
        <f t="shared" si="4"/>
        <v>532</v>
      </c>
      <c r="AT33" s="24">
        <f t="shared" si="5"/>
        <v>114.09</v>
      </c>
      <c r="AU33" s="23">
        <f t="shared" si="6"/>
        <v>2600.83</v>
      </c>
      <c r="AV33" s="23">
        <v>97</v>
      </c>
      <c r="AW33" s="23">
        <f t="shared" si="7"/>
        <v>8193.630000000001</v>
      </c>
      <c r="AX33" s="26"/>
      <c r="AY33" s="59"/>
      <c r="AZ33" s="23">
        <v>255</v>
      </c>
      <c r="BA33" s="27">
        <f t="shared" si="14"/>
        <v>8448.6299999999992</v>
      </c>
      <c r="BB33" s="23">
        <f t="shared" si="8"/>
        <v>506.92</v>
      </c>
      <c r="BC33" s="23">
        <f t="shared" si="9"/>
        <v>8955.5499999999993</v>
      </c>
      <c r="BD33" s="61">
        <f t="shared" si="15"/>
        <v>92</v>
      </c>
      <c r="BE33" s="29"/>
    </row>
    <row r="34" spans="1:57" s="28" customFormat="1" ht="15" customHeight="1" x14ac:dyDescent="0.25">
      <c r="A34" s="17">
        <f t="shared" si="10"/>
        <v>32</v>
      </c>
      <c r="B34" s="18">
        <v>2503</v>
      </c>
      <c r="C34" s="17" t="s">
        <v>192</v>
      </c>
      <c r="D34" s="17" t="s">
        <v>155</v>
      </c>
      <c r="E34" s="19" t="s">
        <v>156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8234</v>
      </c>
      <c r="L34" s="22">
        <v>1484.48</v>
      </c>
      <c r="M34" s="22"/>
      <c r="N34" s="22"/>
      <c r="O34" s="22"/>
      <c r="P34" s="22">
        <v>200</v>
      </c>
      <c r="Q34" s="22"/>
      <c r="R34" s="22">
        <v>630</v>
      </c>
      <c r="S34" s="34"/>
      <c r="T34" s="22"/>
      <c r="U34" s="34"/>
      <c r="V34" s="34"/>
      <c r="W34" s="22"/>
      <c r="X34" s="22">
        <v>0</v>
      </c>
      <c r="Y34" s="22">
        <v>-30</v>
      </c>
      <c r="Z34" s="23">
        <f t="shared" si="0"/>
        <v>11548.48</v>
      </c>
      <c r="AA34" s="24">
        <v>7384</v>
      </c>
      <c r="AB34" s="24">
        <v>590.72</v>
      </c>
      <c r="AC34" s="24">
        <v>147.68</v>
      </c>
      <c r="AD34" s="24">
        <v>36.92</v>
      </c>
      <c r="AE34" s="24">
        <v>5402</v>
      </c>
      <c r="AF34" s="24">
        <f t="shared" si="11"/>
        <v>378</v>
      </c>
      <c r="AG34" s="23">
        <f t="shared" si="1"/>
        <v>1153.3200000000002</v>
      </c>
      <c r="AH34" s="25"/>
      <c r="AI34" s="25"/>
      <c r="AJ34" s="25"/>
      <c r="AK34" s="23">
        <f t="shared" si="2"/>
        <v>10395.16</v>
      </c>
      <c r="AL34" s="24">
        <v>7384</v>
      </c>
      <c r="AM34" s="24">
        <v>5402</v>
      </c>
      <c r="AN34" s="24">
        <f t="shared" si="12"/>
        <v>1181.44</v>
      </c>
      <c r="AO34" s="24">
        <f t="shared" si="13"/>
        <v>664.56</v>
      </c>
      <c r="AP34" s="24">
        <f t="shared" si="3"/>
        <v>36.92</v>
      </c>
      <c r="AQ34" s="24">
        <v>14.77</v>
      </c>
      <c r="AR34" s="24"/>
      <c r="AS34" s="24">
        <f t="shared" si="4"/>
        <v>378</v>
      </c>
      <c r="AT34" s="24">
        <f t="shared" si="5"/>
        <v>110.76</v>
      </c>
      <c r="AU34" s="23">
        <f t="shared" si="6"/>
        <v>2386.4500000000003</v>
      </c>
      <c r="AV34" s="23">
        <v>218</v>
      </c>
      <c r="AW34" s="23">
        <f t="shared" si="7"/>
        <v>14152.93</v>
      </c>
      <c r="AX34" s="26"/>
      <c r="AY34" s="59"/>
      <c r="AZ34" s="23">
        <v>255</v>
      </c>
      <c r="BA34" s="27">
        <f t="shared" si="14"/>
        <v>14407.93</v>
      </c>
      <c r="BB34" s="23">
        <f t="shared" si="8"/>
        <v>864.48</v>
      </c>
      <c r="BC34" s="23">
        <f t="shared" si="9"/>
        <v>15272.41</v>
      </c>
      <c r="BD34" s="61">
        <f t="shared" si="15"/>
        <v>213</v>
      </c>
      <c r="BE34" s="29"/>
    </row>
    <row r="35" spans="1:57" s="28" customFormat="1" ht="15" customHeight="1" x14ac:dyDescent="0.25">
      <c r="A35" s="17">
        <f t="shared" si="10"/>
        <v>33</v>
      </c>
      <c r="B35" s="18">
        <v>2503</v>
      </c>
      <c r="C35" s="17" t="s">
        <v>193</v>
      </c>
      <c r="D35" s="17" t="s">
        <v>157</v>
      </c>
      <c r="E35" s="19" t="s">
        <v>158</v>
      </c>
      <c r="F35" s="20">
        <v>45444</v>
      </c>
      <c r="G35" s="20">
        <v>45808</v>
      </c>
      <c r="H35" s="17"/>
      <c r="I35" s="21" t="s">
        <v>0</v>
      </c>
      <c r="J35" s="22">
        <v>1030</v>
      </c>
      <c r="K35" s="22">
        <v>10391.92</v>
      </c>
      <c r="L35" s="22">
        <v>3022.96</v>
      </c>
      <c r="M35" s="22"/>
      <c r="N35" s="22"/>
      <c r="O35" s="22"/>
      <c r="P35" s="22">
        <v>200</v>
      </c>
      <c r="Q35" s="22"/>
      <c r="R35" s="22">
        <v>630</v>
      </c>
      <c r="S35" s="34"/>
      <c r="T35" s="22"/>
      <c r="U35" s="34"/>
      <c r="V35" s="34"/>
      <c r="W35" s="22"/>
      <c r="X35" s="22">
        <v>0</v>
      </c>
      <c r="Y35" s="22">
        <v>-200</v>
      </c>
      <c r="Z35" s="23">
        <f t="shared" si="0"/>
        <v>15074.880000000001</v>
      </c>
      <c r="AA35" s="24">
        <v>10751</v>
      </c>
      <c r="AB35" s="24">
        <v>860.08</v>
      </c>
      <c r="AC35" s="24">
        <v>215.02</v>
      </c>
      <c r="AD35" s="24">
        <v>53.76</v>
      </c>
      <c r="AE35" s="24">
        <v>10751</v>
      </c>
      <c r="AF35" s="24">
        <f t="shared" si="11"/>
        <v>753</v>
      </c>
      <c r="AG35" s="23">
        <f t="shared" si="1"/>
        <v>1881.8600000000001</v>
      </c>
      <c r="AH35" s="25"/>
      <c r="AI35" s="25"/>
      <c r="AJ35" s="25"/>
      <c r="AK35" s="23">
        <f t="shared" si="2"/>
        <v>13193.02</v>
      </c>
      <c r="AL35" s="24">
        <v>10751</v>
      </c>
      <c r="AM35" s="24">
        <v>10751</v>
      </c>
      <c r="AN35" s="24">
        <f t="shared" si="12"/>
        <v>1720.16</v>
      </c>
      <c r="AO35" s="24">
        <v>967.6</v>
      </c>
      <c r="AP35" s="24">
        <f t="shared" si="3"/>
        <v>53.76</v>
      </c>
      <c r="AQ35" s="24">
        <v>21.5</v>
      </c>
      <c r="AR35" s="24"/>
      <c r="AS35" s="24">
        <f t="shared" si="4"/>
        <v>753</v>
      </c>
      <c r="AT35" s="24">
        <f t="shared" si="5"/>
        <v>161.27000000000001</v>
      </c>
      <c r="AU35" s="23">
        <f t="shared" si="6"/>
        <v>3677.2900000000004</v>
      </c>
      <c r="AV35" s="23">
        <v>289</v>
      </c>
      <c r="AW35" s="23">
        <f t="shared" si="7"/>
        <v>19041.170000000002</v>
      </c>
      <c r="AX35" s="26"/>
      <c r="AY35" s="59"/>
      <c r="AZ35" s="23">
        <v>255</v>
      </c>
      <c r="BA35" s="27">
        <f t="shared" si="14"/>
        <v>19296.169999999998</v>
      </c>
      <c r="BB35" s="23">
        <f t="shared" si="8"/>
        <v>1157.77</v>
      </c>
      <c r="BC35" s="23">
        <f t="shared" si="9"/>
        <v>20453.939999999999</v>
      </c>
      <c r="BD35" s="61">
        <f t="shared" si="15"/>
        <v>284</v>
      </c>
      <c r="BE35" s="29"/>
    </row>
    <row r="36" spans="1:57" s="28" customFormat="1" ht="15" customHeight="1" x14ac:dyDescent="0.25">
      <c r="A36" s="17">
        <f t="shared" si="10"/>
        <v>34</v>
      </c>
      <c r="B36" s="18">
        <v>2503</v>
      </c>
      <c r="C36" s="17" t="s">
        <v>194</v>
      </c>
      <c r="D36" s="17" t="s">
        <v>159</v>
      </c>
      <c r="E36" s="19" t="s">
        <v>160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7649.92</v>
      </c>
      <c r="L36" s="22">
        <v>1022</v>
      </c>
      <c r="M36" s="22"/>
      <c r="N36" s="22"/>
      <c r="O36" s="22"/>
      <c r="P36" s="22">
        <v>200</v>
      </c>
      <c r="Q36" s="22"/>
      <c r="R36" s="22">
        <v>630</v>
      </c>
      <c r="S36" s="34"/>
      <c r="T36" s="22"/>
      <c r="U36" s="34"/>
      <c r="V36" s="34"/>
      <c r="W36" s="22"/>
      <c r="X36" s="22">
        <v>0</v>
      </c>
      <c r="Y36" s="22">
        <v>0</v>
      </c>
      <c r="Z36" s="23">
        <f t="shared" si="0"/>
        <v>10531.92</v>
      </c>
      <c r="AA36" s="24">
        <v>7384</v>
      </c>
      <c r="AB36" s="24">
        <v>590.72</v>
      </c>
      <c r="AC36" s="24">
        <v>147.68</v>
      </c>
      <c r="AD36" s="24">
        <v>36.92</v>
      </c>
      <c r="AE36" s="24">
        <v>4849</v>
      </c>
      <c r="AF36" s="24">
        <f t="shared" si="11"/>
        <v>339</v>
      </c>
      <c r="AG36" s="23">
        <f t="shared" si="1"/>
        <v>1114.3200000000002</v>
      </c>
      <c r="AH36" s="25"/>
      <c r="AI36" s="25"/>
      <c r="AJ36" s="25"/>
      <c r="AK36" s="23">
        <f t="shared" si="2"/>
        <v>9417.6</v>
      </c>
      <c r="AL36" s="24">
        <v>7384</v>
      </c>
      <c r="AM36" s="24">
        <v>4849</v>
      </c>
      <c r="AN36" s="24">
        <f t="shared" si="12"/>
        <v>1181.44</v>
      </c>
      <c r="AO36" s="24">
        <f t="shared" si="13"/>
        <v>664.56</v>
      </c>
      <c r="AP36" s="24">
        <f t="shared" si="3"/>
        <v>36.92</v>
      </c>
      <c r="AQ36" s="24">
        <v>14.77</v>
      </c>
      <c r="AR36" s="24"/>
      <c r="AS36" s="24">
        <f t="shared" si="4"/>
        <v>339</v>
      </c>
      <c r="AT36" s="24">
        <f t="shared" si="5"/>
        <v>110.76</v>
      </c>
      <c r="AU36" s="23">
        <f t="shared" si="6"/>
        <v>2347.4500000000003</v>
      </c>
      <c r="AV36" s="23">
        <v>198</v>
      </c>
      <c r="AW36" s="23">
        <f t="shared" si="7"/>
        <v>13077.37</v>
      </c>
      <c r="AX36" s="26"/>
      <c r="AY36" s="59"/>
      <c r="AZ36" s="23">
        <v>255</v>
      </c>
      <c r="BA36" s="27">
        <f t="shared" si="14"/>
        <v>13332.37</v>
      </c>
      <c r="BB36" s="23">
        <f t="shared" si="8"/>
        <v>799.94</v>
      </c>
      <c r="BC36" s="23">
        <f t="shared" si="9"/>
        <v>14132.31</v>
      </c>
      <c r="BD36" s="61">
        <f t="shared" si="15"/>
        <v>193</v>
      </c>
      <c r="BE36" s="29"/>
    </row>
    <row r="37" spans="1:57" s="28" customFormat="1" ht="15" customHeight="1" x14ac:dyDescent="0.25">
      <c r="A37" s="17">
        <f t="shared" si="10"/>
        <v>35</v>
      </c>
      <c r="B37" s="18">
        <v>2503</v>
      </c>
      <c r="C37" s="17" t="s">
        <v>195</v>
      </c>
      <c r="D37" s="17" t="s">
        <v>161</v>
      </c>
      <c r="E37" s="19" t="s">
        <v>162</v>
      </c>
      <c r="F37" s="20">
        <v>45444</v>
      </c>
      <c r="G37" s="20">
        <v>45808</v>
      </c>
      <c r="H37" s="17"/>
      <c r="I37" s="21" t="s">
        <v>0</v>
      </c>
      <c r="J37" s="22">
        <v>1510</v>
      </c>
      <c r="K37" s="22">
        <v>1873.44</v>
      </c>
      <c r="L37" s="22">
        <v>1793.6</v>
      </c>
      <c r="M37" s="22"/>
      <c r="N37" s="22"/>
      <c r="O37" s="22"/>
      <c r="P37" s="22">
        <v>200</v>
      </c>
      <c r="Q37" s="22"/>
      <c r="R37" s="22">
        <v>630</v>
      </c>
      <c r="S37" s="34"/>
      <c r="T37" s="22"/>
      <c r="U37" s="34"/>
      <c r="V37" s="34"/>
      <c r="W37" s="22"/>
      <c r="X37" s="22">
        <v>0</v>
      </c>
      <c r="Y37" s="22">
        <v>0</v>
      </c>
      <c r="Z37" s="23">
        <f t="shared" si="0"/>
        <v>6007.04</v>
      </c>
      <c r="AA37" s="24">
        <v>12662</v>
      </c>
      <c r="AB37" s="24">
        <v>1012.96</v>
      </c>
      <c r="AC37" s="24">
        <v>253.24</v>
      </c>
      <c r="AD37" s="24">
        <v>63.31</v>
      </c>
      <c r="AE37" s="24">
        <v>12662</v>
      </c>
      <c r="AF37" s="24">
        <f t="shared" si="11"/>
        <v>886</v>
      </c>
      <c r="AG37" s="23">
        <f t="shared" si="1"/>
        <v>2215.5100000000002</v>
      </c>
      <c r="AH37" s="25"/>
      <c r="AI37" s="25"/>
      <c r="AJ37" s="25"/>
      <c r="AK37" s="23">
        <f t="shared" si="2"/>
        <v>3791.5299999999997</v>
      </c>
      <c r="AL37" s="24">
        <v>12662</v>
      </c>
      <c r="AM37" s="24">
        <v>12662</v>
      </c>
      <c r="AN37" s="24">
        <f t="shared" si="12"/>
        <v>2025.92</v>
      </c>
      <c r="AO37" s="24">
        <f t="shared" si="13"/>
        <v>1139.58</v>
      </c>
      <c r="AP37" s="24">
        <f t="shared" si="3"/>
        <v>63.31</v>
      </c>
      <c r="AQ37" s="24">
        <v>25.32</v>
      </c>
      <c r="AR37" s="24"/>
      <c r="AS37" s="24">
        <f t="shared" si="4"/>
        <v>886</v>
      </c>
      <c r="AT37" s="24">
        <f t="shared" si="5"/>
        <v>189.93</v>
      </c>
      <c r="AU37" s="23">
        <f t="shared" si="6"/>
        <v>4330.0600000000004</v>
      </c>
      <c r="AV37" s="23">
        <v>108</v>
      </c>
      <c r="AW37" s="23">
        <f t="shared" si="7"/>
        <v>10445.1</v>
      </c>
      <c r="AX37" s="26"/>
      <c r="AY37" s="59"/>
      <c r="AZ37" s="23">
        <v>255</v>
      </c>
      <c r="BA37" s="27">
        <f t="shared" si="14"/>
        <v>10700.1</v>
      </c>
      <c r="BB37" s="23">
        <f t="shared" si="8"/>
        <v>642.01</v>
      </c>
      <c r="BC37" s="23">
        <f t="shared" si="9"/>
        <v>11342.11</v>
      </c>
      <c r="BD37" s="61">
        <f t="shared" si="15"/>
        <v>103</v>
      </c>
      <c r="BE37" s="29"/>
    </row>
    <row r="38" spans="1:57" s="28" customFormat="1" ht="15" customHeight="1" x14ac:dyDescent="0.25">
      <c r="A38" s="17">
        <f t="shared" si="10"/>
        <v>36</v>
      </c>
      <c r="B38" s="18">
        <v>2503</v>
      </c>
      <c r="C38" s="17" t="s">
        <v>196</v>
      </c>
      <c r="D38" s="17" t="s">
        <v>163</v>
      </c>
      <c r="E38" s="19" t="s">
        <v>164</v>
      </c>
      <c r="F38" s="20">
        <v>45444</v>
      </c>
      <c r="G38" s="20">
        <v>45808</v>
      </c>
      <c r="H38" s="17"/>
      <c r="I38" s="21" t="s">
        <v>0</v>
      </c>
      <c r="J38" s="22">
        <v>1200</v>
      </c>
      <c r="K38" s="22">
        <v>1873.6</v>
      </c>
      <c r="L38" s="22">
        <v>1306.8</v>
      </c>
      <c r="M38" s="22"/>
      <c r="N38" s="22"/>
      <c r="O38" s="22"/>
      <c r="P38" s="22">
        <v>200</v>
      </c>
      <c r="Q38" s="22"/>
      <c r="R38" s="22">
        <v>630</v>
      </c>
      <c r="S38" s="34"/>
      <c r="T38" s="22"/>
      <c r="U38" s="34"/>
      <c r="V38" s="34"/>
      <c r="W38" s="22"/>
      <c r="X38" s="22">
        <v>0</v>
      </c>
      <c r="Y38" s="22">
        <v>0</v>
      </c>
      <c r="Z38" s="23">
        <f t="shared" si="0"/>
        <v>5210.3999999999996</v>
      </c>
      <c r="AA38" s="24">
        <v>7384</v>
      </c>
      <c r="AB38" s="24">
        <v>590.72</v>
      </c>
      <c r="AC38" s="24">
        <v>147.68</v>
      </c>
      <c r="AD38" s="24">
        <v>36.92</v>
      </c>
      <c r="AE38" s="24">
        <v>2690</v>
      </c>
      <c r="AF38" s="24">
        <f t="shared" si="11"/>
        <v>188</v>
      </c>
      <c r="AG38" s="23">
        <f t="shared" si="1"/>
        <v>963.32</v>
      </c>
      <c r="AH38" s="25"/>
      <c r="AI38" s="25"/>
      <c r="AJ38" s="25"/>
      <c r="AK38" s="23">
        <f t="shared" si="2"/>
        <v>4247.08</v>
      </c>
      <c r="AL38" s="24">
        <v>7384</v>
      </c>
      <c r="AM38" s="24">
        <v>2690</v>
      </c>
      <c r="AN38" s="24">
        <f t="shared" si="12"/>
        <v>1181.44</v>
      </c>
      <c r="AO38" s="24">
        <f t="shared" si="13"/>
        <v>664.56</v>
      </c>
      <c r="AP38" s="24">
        <f t="shared" si="3"/>
        <v>36.92</v>
      </c>
      <c r="AQ38" s="24">
        <v>14.77</v>
      </c>
      <c r="AR38" s="24"/>
      <c r="AS38" s="24">
        <f t="shared" si="4"/>
        <v>188</v>
      </c>
      <c r="AT38" s="24">
        <f t="shared" si="5"/>
        <v>110.76</v>
      </c>
      <c r="AU38" s="23">
        <f t="shared" si="6"/>
        <v>2196.4500000000003</v>
      </c>
      <c r="AV38" s="23">
        <v>92</v>
      </c>
      <c r="AW38" s="23">
        <f t="shared" si="7"/>
        <v>7498.85</v>
      </c>
      <c r="AX38" s="26"/>
      <c r="AY38" s="59"/>
      <c r="AZ38" s="23">
        <v>255</v>
      </c>
      <c r="BA38" s="27">
        <f t="shared" si="14"/>
        <v>7753.85</v>
      </c>
      <c r="BB38" s="23">
        <f t="shared" si="8"/>
        <v>465.23</v>
      </c>
      <c r="BC38" s="23">
        <f t="shared" si="9"/>
        <v>8219.08</v>
      </c>
      <c r="BD38" s="61">
        <f t="shared" si="15"/>
        <v>87</v>
      </c>
      <c r="BE38" s="29"/>
    </row>
    <row r="39" spans="1:57" s="28" customFormat="1" ht="15" customHeight="1" x14ac:dyDescent="0.25">
      <c r="A39" s="17">
        <f t="shared" si="10"/>
        <v>37</v>
      </c>
      <c r="B39" s="18">
        <v>2503</v>
      </c>
      <c r="C39" s="17" t="s">
        <v>197</v>
      </c>
      <c r="D39" s="17" t="s">
        <v>165</v>
      </c>
      <c r="E39" s="19" t="s">
        <v>166</v>
      </c>
      <c r="F39" s="20">
        <v>45444</v>
      </c>
      <c r="G39" s="20">
        <v>45808</v>
      </c>
      <c r="H39" s="17"/>
      <c r="I39" s="21" t="s">
        <v>0</v>
      </c>
      <c r="J39" s="22">
        <v>950</v>
      </c>
      <c r="K39" s="22">
        <v>668.96</v>
      </c>
      <c r="L39" s="22">
        <v>298.3</v>
      </c>
      <c r="M39" s="22"/>
      <c r="N39" s="22"/>
      <c r="O39" s="22"/>
      <c r="P39" s="22">
        <v>200</v>
      </c>
      <c r="Q39" s="22"/>
      <c r="R39" s="22">
        <v>630</v>
      </c>
      <c r="S39" s="34"/>
      <c r="T39" s="22"/>
      <c r="U39" s="34"/>
      <c r="V39" s="34"/>
      <c r="W39" s="22"/>
      <c r="X39" s="22">
        <v>2133.06</v>
      </c>
      <c r="Y39" s="22">
        <v>-222</v>
      </c>
      <c r="Z39" s="23">
        <f t="shared" si="0"/>
        <v>4658.32</v>
      </c>
      <c r="AA39" s="24">
        <v>7384</v>
      </c>
      <c r="AB39" s="24">
        <v>590.72</v>
      </c>
      <c r="AC39" s="24">
        <v>147.68</v>
      </c>
      <c r="AD39" s="24">
        <v>36.92</v>
      </c>
      <c r="AE39" s="24">
        <v>5121</v>
      </c>
      <c r="AF39" s="24">
        <f t="shared" si="11"/>
        <v>358</v>
      </c>
      <c r="AG39" s="23">
        <f t="shared" si="1"/>
        <v>1133.3200000000002</v>
      </c>
      <c r="AH39" s="25"/>
      <c r="AI39" s="25"/>
      <c r="AJ39" s="25"/>
      <c r="AK39" s="23">
        <f t="shared" si="2"/>
        <v>3524.9999999999995</v>
      </c>
      <c r="AL39" s="24">
        <v>7384</v>
      </c>
      <c r="AM39" s="24">
        <v>5121</v>
      </c>
      <c r="AN39" s="24">
        <f t="shared" si="12"/>
        <v>1181.44</v>
      </c>
      <c r="AO39" s="24">
        <f t="shared" si="13"/>
        <v>664.56</v>
      </c>
      <c r="AP39" s="24">
        <f t="shared" si="3"/>
        <v>36.92</v>
      </c>
      <c r="AQ39" s="24">
        <v>14.77</v>
      </c>
      <c r="AR39" s="24"/>
      <c r="AS39" s="24">
        <f t="shared" si="4"/>
        <v>358</v>
      </c>
      <c r="AT39" s="24">
        <f t="shared" si="5"/>
        <v>110.76</v>
      </c>
      <c r="AU39" s="23">
        <f t="shared" si="6"/>
        <v>2366.4500000000003</v>
      </c>
      <c r="AV39" s="23">
        <v>81</v>
      </c>
      <c r="AW39" s="23">
        <f t="shared" si="7"/>
        <v>7105.77</v>
      </c>
      <c r="AX39" s="26"/>
      <c r="AY39" s="59"/>
      <c r="AZ39" s="23">
        <v>255</v>
      </c>
      <c r="BA39" s="27">
        <f t="shared" si="14"/>
        <v>7360.77</v>
      </c>
      <c r="BB39" s="23">
        <f t="shared" si="8"/>
        <v>441.65</v>
      </c>
      <c r="BC39" s="23">
        <f t="shared" si="9"/>
        <v>7802.42</v>
      </c>
      <c r="BD39" s="61">
        <f t="shared" si="15"/>
        <v>76</v>
      </c>
      <c r="BE39" s="29"/>
    </row>
    <row r="40" spans="1:57" s="28" customFormat="1" ht="15" customHeight="1" x14ac:dyDescent="0.25">
      <c r="A40" s="17">
        <f t="shared" si="10"/>
        <v>38</v>
      </c>
      <c r="B40" s="18">
        <v>2503</v>
      </c>
      <c r="C40" s="17" t="s">
        <v>204</v>
      </c>
      <c r="D40" s="17" t="s">
        <v>198</v>
      </c>
      <c r="E40" s="19" t="s">
        <v>199</v>
      </c>
      <c r="F40" s="20">
        <v>45474</v>
      </c>
      <c r="G40" s="20">
        <v>45838</v>
      </c>
      <c r="H40" s="17"/>
      <c r="I40" s="21" t="s">
        <v>0</v>
      </c>
      <c r="J40" s="22">
        <v>950</v>
      </c>
      <c r="K40" s="22">
        <v>1255.81</v>
      </c>
      <c r="L40" s="22">
        <v>804.96</v>
      </c>
      <c r="M40" s="22"/>
      <c r="N40" s="22"/>
      <c r="O40" s="22"/>
      <c r="P40" s="22">
        <v>200</v>
      </c>
      <c r="Q40" s="22"/>
      <c r="R40" s="22">
        <v>630</v>
      </c>
      <c r="S40" s="34"/>
      <c r="T40" s="22"/>
      <c r="U40" s="34"/>
      <c r="V40" s="34"/>
      <c r="W40" s="22"/>
      <c r="X40" s="22">
        <v>647.54999999999995</v>
      </c>
      <c r="Y40" s="22">
        <v>0</v>
      </c>
      <c r="Z40" s="23">
        <f t="shared" si="0"/>
        <v>4488.32</v>
      </c>
      <c r="AA40" s="24">
        <v>7384</v>
      </c>
      <c r="AB40" s="24">
        <v>590.72</v>
      </c>
      <c r="AC40" s="24">
        <v>147.68</v>
      </c>
      <c r="AD40" s="24">
        <v>36.92</v>
      </c>
      <c r="AE40" s="24">
        <v>2690</v>
      </c>
      <c r="AF40" s="24">
        <f t="shared" si="11"/>
        <v>188</v>
      </c>
      <c r="AG40" s="23">
        <f t="shared" si="1"/>
        <v>963.32</v>
      </c>
      <c r="AH40" s="25"/>
      <c r="AI40" s="25"/>
      <c r="AJ40" s="25"/>
      <c r="AK40" s="23">
        <f t="shared" si="2"/>
        <v>3524.9999999999995</v>
      </c>
      <c r="AL40" s="24">
        <v>7384</v>
      </c>
      <c r="AM40" s="24">
        <v>2690</v>
      </c>
      <c r="AN40" s="24">
        <f t="shared" si="12"/>
        <v>1181.44</v>
      </c>
      <c r="AO40" s="24">
        <f t="shared" si="13"/>
        <v>664.56</v>
      </c>
      <c r="AP40" s="24">
        <f t="shared" si="3"/>
        <v>36.92</v>
      </c>
      <c r="AQ40" s="24">
        <v>14.77</v>
      </c>
      <c r="AR40" s="24"/>
      <c r="AS40" s="24">
        <f t="shared" si="4"/>
        <v>188</v>
      </c>
      <c r="AT40" s="24">
        <f t="shared" si="5"/>
        <v>110.76</v>
      </c>
      <c r="AU40" s="23">
        <f t="shared" si="6"/>
        <v>2196.4500000000003</v>
      </c>
      <c r="AV40" s="23">
        <v>77</v>
      </c>
      <c r="AW40" s="23">
        <f t="shared" si="7"/>
        <v>6761.77</v>
      </c>
      <c r="AX40" s="26"/>
      <c r="AY40" s="59"/>
      <c r="AZ40" s="23">
        <v>255</v>
      </c>
      <c r="BA40" s="27">
        <f t="shared" si="14"/>
        <v>7016.77</v>
      </c>
      <c r="BB40" s="23">
        <f t="shared" si="8"/>
        <v>421.01</v>
      </c>
      <c r="BC40" s="23">
        <f t="shared" si="9"/>
        <v>7437.78</v>
      </c>
      <c r="BD40" s="61">
        <f t="shared" si="15"/>
        <v>72</v>
      </c>
      <c r="BE40" s="29"/>
    </row>
    <row r="41" spans="1:57" s="28" customFormat="1" ht="15" customHeight="1" x14ac:dyDescent="0.25">
      <c r="A41" s="17">
        <f t="shared" si="10"/>
        <v>39</v>
      </c>
      <c r="B41" s="18">
        <v>2503</v>
      </c>
      <c r="C41" s="17" t="s">
        <v>205</v>
      </c>
      <c r="D41" s="17" t="s">
        <v>200</v>
      </c>
      <c r="E41" s="19" t="s">
        <v>201</v>
      </c>
      <c r="F41" s="20">
        <v>45474</v>
      </c>
      <c r="G41" s="20">
        <v>45838</v>
      </c>
      <c r="H41" s="17"/>
      <c r="I41" s="21" t="s">
        <v>0</v>
      </c>
      <c r="J41" s="22">
        <v>950</v>
      </c>
      <c r="K41" s="22">
        <v>2564</v>
      </c>
      <c r="L41" s="22">
        <v>2162.4</v>
      </c>
      <c r="M41" s="22"/>
      <c r="N41" s="22"/>
      <c r="O41" s="22"/>
      <c r="P41" s="22">
        <v>200</v>
      </c>
      <c r="Q41" s="22"/>
      <c r="R41" s="22">
        <v>630</v>
      </c>
      <c r="S41" s="34"/>
      <c r="T41" s="22"/>
      <c r="U41" s="34"/>
      <c r="V41" s="34"/>
      <c r="W41" s="22"/>
      <c r="X41" s="22">
        <v>0</v>
      </c>
      <c r="Y41" s="22">
        <v>-200</v>
      </c>
      <c r="Z41" s="23">
        <f t="shared" si="0"/>
        <v>6306.4</v>
      </c>
      <c r="AA41" s="24">
        <v>7384</v>
      </c>
      <c r="AB41" s="24">
        <v>590.72</v>
      </c>
      <c r="AC41" s="24">
        <v>147.68</v>
      </c>
      <c r="AD41" s="24">
        <v>36.92</v>
      </c>
      <c r="AE41" s="24">
        <v>2690</v>
      </c>
      <c r="AF41" s="24">
        <f t="shared" si="11"/>
        <v>188</v>
      </c>
      <c r="AG41" s="23">
        <f t="shared" si="1"/>
        <v>963.32</v>
      </c>
      <c r="AH41" s="25"/>
      <c r="AI41" s="25"/>
      <c r="AJ41" s="25"/>
      <c r="AK41" s="23">
        <f t="shared" si="2"/>
        <v>5343.08</v>
      </c>
      <c r="AL41" s="24">
        <v>7384</v>
      </c>
      <c r="AM41" s="24">
        <v>2690</v>
      </c>
      <c r="AN41" s="24">
        <f t="shared" si="12"/>
        <v>1181.44</v>
      </c>
      <c r="AO41" s="24">
        <f t="shared" si="13"/>
        <v>664.56</v>
      </c>
      <c r="AP41" s="24">
        <f t="shared" si="3"/>
        <v>36.92</v>
      </c>
      <c r="AQ41" s="24">
        <v>14.77</v>
      </c>
      <c r="AR41" s="24"/>
      <c r="AS41" s="24">
        <f t="shared" si="4"/>
        <v>188</v>
      </c>
      <c r="AT41" s="24">
        <f t="shared" si="5"/>
        <v>110.76</v>
      </c>
      <c r="AU41" s="23">
        <f t="shared" si="6"/>
        <v>2196.4500000000003</v>
      </c>
      <c r="AV41" s="23">
        <v>114</v>
      </c>
      <c r="AW41" s="23">
        <f t="shared" si="7"/>
        <v>8616.85</v>
      </c>
      <c r="AX41" s="26"/>
      <c r="AY41" s="59"/>
      <c r="AZ41" s="23">
        <v>255</v>
      </c>
      <c r="BA41" s="27">
        <f t="shared" si="14"/>
        <v>8871.85</v>
      </c>
      <c r="BB41" s="23">
        <f t="shared" si="8"/>
        <v>532.30999999999995</v>
      </c>
      <c r="BC41" s="23">
        <f t="shared" si="9"/>
        <v>9404.16</v>
      </c>
      <c r="BD41" s="61">
        <f t="shared" si="15"/>
        <v>109</v>
      </c>
      <c r="BE41" s="29"/>
    </row>
    <row r="42" spans="1:57" s="28" customFormat="1" ht="15" customHeight="1" x14ac:dyDescent="0.25">
      <c r="A42" s="17">
        <f t="shared" si="10"/>
        <v>40</v>
      </c>
      <c r="B42" s="18">
        <v>2503</v>
      </c>
      <c r="C42" s="17" t="s">
        <v>206</v>
      </c>
      <c r="D42" s="17" t="s">
        <v>202</v>
      </c>
      <c r="E42" s="19" t="s">
        <v>203</v>
      </c>
      <c r="F42" s="20">
        <v>45474</v>
      </c>
      <c r="G42" s="20">
        <v>45838</v>
      </c>
      <c r="H42" s="17"/>
      <c r="I42" s="21" t="s">
        <v>0</v>
      </c>
      <c r="J42" s="22">
        <v>1030</v>
      </c>
      <c r="K42" s="22">
        <v>10232</v>
      </c>
      <c r="L42" s="22">
        <v>2772</v>
      </c>
      <c r="M42" s="22"/>
      <c r="N42" s="22"/>
      <c r="O42" s="22"/>
      <c r="P42" s="22">
        <v>200</v>
      </c>
      <c r="Q42" s="22"/>
      <c r="R42" s="22">
        <v>630</v>
      </c>
      <c r="S42" s="34"/>
      <c r="T42" s="22"/>
      <c r="U42" s="34"/>
      <c r="V42" s="34"/>
      <c r="W42" s="22"/>
      <c r="X42" s="22">
        <v>0</v>
      </c>
      <c r="Y42" s="22">
        <v>0</v>
      </c>
      <c r="Z42" s="23">
        <f t="shared" si="0"/>
        <v>14864</v>
      </c>
      <c r="AA42" s="24">
        <v>8196</v>
      </c>
      <c r="AB42" s="24">
        <v>655.68</v>
      </c>
      <c r="AC42" s="24">
        <v>163.92</v>
      </c>
      <c r="AD42" s="24">
        <v>40.98</v>
      </c>
      <c r="AE42" s="24">
        <v>8196</v>
      </c>
      <c r="AF42" s="24">
        <f t="shared" si="11"/>
        <v>574</v>
      </c>
      <c r="AG42" s="23">
        <f t="shared" si="1"/>
        <v>1434.58</v>
      </c>
      <c r="AH42" s="25"/>
      <c r="AI42" s="25"/>
      <c r="AJ42" s="25"/>
      <c r="AK42" s="23">
        <f t="shared" si="2"/>
        <v>13429.42</v>
      </c>
      <c r="AL42" s="24">
        <v>8196</v>
      </c>
      <c r="AM42" s="24">
        <v>8196</v>
      </c>
      <c r="AN42" s="24">
        <f t="shared" si="12"/>
        <v>1311.36</v>
      </c>
      <c r="AO42" s="24">
        <f t="shared" si="13"/>
        <v>737.64</v>
      </c>
      <c r="AP42" s="24">
        <f t="shared" si="3"/>
        <v>40.98</v>
      </c>
      <c r="AQ42" s="24">
        <v>16.39</v>
      </c>
      <c r="AR42" s="24"/>
      <c r="AS42" s="24">
        <f t="shared" si="4"/>
        <v>574</v>
      </c>
      <c r="AT42" s="24">
        <f t="shared" si="5"/>
        <v>122.94</v>
      </c>
      <c r="AU42" s="23">
        <f t="shared" si="6"/>
        <v>2803.31</v>
      </c>
      <c r="AV42" s="23">
        <v>285</v>
      </c>
      <c r="AW42" s="23">
        <f t="shared" si="7"/>
        <v>17952.310000000001</v>
      </c>
      <c r="AX42" s="26"/>
      <c r="AY42" s="59"/>
      <c r="AZ42" s="23">
        <v>255</v>
      </c>
      <c r="BA42" s="27">
        <f t="shared" si="14"/>
        <v>18207.310000000001</v>
      </c>
      <c r="BB42" s="23">
        <f t="shared" si="8"/>
        <v>1092.44</v>
      </c>
      <c r="BC42" s="23">
        <f t="shared" si="9"/>
        <v>19299.75</v>
      </c>
      <c r="BD42" s="61">
        <f t="shared" si="15"/>
        <v>280</v>
      </c>
      <c r="BE42" s="29"/>
    </row>
    <row r="43" spans="1:57" s="62" customFormat="1" ht="15" customHeight="1" x14ac:dyDescent="0.25">
      <c r="A43" s="17">
        <f>ROW()-2</f>
        <v>41</v>
      </c>
      <c r="B43" s="18">
        <v>2503</v>
      </c>
      <c r="C43" s="17" t="s">
        <v>217</v>
      </c>
      <c r="D43" s="17" t="s">
        <v>218</v>
      </c>
      <c r="E43" s="19" t="s">
        <v>219</v>
      </c>
      <c r="F43" s="20">
        <v>45444</v>
      </c>
      <c r="G43" s="20">
        <v>45808</v>
      </c>
      <c r="H43" s="20">
        <v>45677</v>
      </c>
      <c r="I43" s="21" t="s">
        <v>0</v>
      </c>
      <c r="J43" s="22">
        <v>0</v>
      </c>
      <c r="K43" s="22">
        <v>0</v>
      </c>
      <c r="L43" s="22">
        <v>0</v>
      </c>
      <c r="M43" s="22"/>
      <c r="N43" s="22"/>
      <c r="O43" s="22"/>
      <c r="P43" s="22">
        <v>0</v>
      </c>
      <c r="Q43" s="22"/>
      <c r="R43" s="22">
        <v>0</v>
      </c>
      <c r="S43" s="34"/>
      <c r="T43" s="22"/>
      <c r="U43" s="34"/>
      <c r="V43" s="34">
        <v>5000</v>
      </c>
      <c r="W43" s="22"/>
      <c r="X43" s="22">
        <v>0</v>
      </c>
      <c r="Y43" s="22">
        <v>0</v>
      </c>
      <c r="Z43" s="23">
        <f t="shared" si="0"/>
        <v>5000</v>
      </c>
      <c r="AA43" s="39"/>
      <c r="AB43" s="39"/>
      <c r="AC43" s="39"/>
      <c r="AD43" s="39"/>
      <c r="AE43" s="39"/>
      <c r="AF43" s="39"/>
      <c r="AG43" s="23">
        <f t="shared" si="1"/>
        <v>0</v>
      </c>
      <c r="AH43" s="42"/>
      <c r="AI43" s="42"/>
      <c r="AJ43" s="42"/>
      <c r="AK43" s="23">
        <f t="shared" si="2"/>
        <v>5000</v>
      </c>
      <c r="AL43" s="39"/>
      <c r="AM43" s="39"/>
      <c r="AN43" s="39"/>
      <c r="AO43" s="39"/>
      <c r="AP43" s="39"/>
      <c r="AQ43" s="39"/>
      <c r="AR43" s="39"/>
      <c r="AS43" s="39"/>
      <c r="AT43" s="39"/>
      <c r="AU43" s="23">
        <f t="shared" si="6"/>
        <v>0</v>
      </c>
      <c r="AV43" s="23">
        <v>100</v>
      </c>
      <c r="AW43" s="23">
        <f t="shared" si="7"/>
        <v>5100</v>
      </c>
      <c r="AX43" s="26"/>
      <c r="AY43" s="59"/>
      <c r="AZ43" s="23">
        <v>0</v>
      </c>
      <c r="BA43" s="27">
        <f t="shared" si="14"/>
        <v>5100</v>
      </c>
      <c r="BB43" s="23">
        <f t="shared" si="8"/>
        <v>306</v>
      </c>
      <c r="BC43" s="23">
        <f t="shared" si="9"/>
        <v>5406</v>
      </c>
      <c r="BD43" s="61">
        <f t="shared" si="15"/>
        <v>95</v>
      </c>
      <c r="BE43" s="63"/>
    </row>
    <row r="44" spans="1:57" x14ac:dyDescent="0.25">
      <c r="A44" s="30" t="s">
        <v>90</v>
      </c>
      <c r="X44" s="64"/>
      <c r="Z44" s="31">
        <f>SUBTOTAL(9,Z3:Z43)</f>
        <v>310871.14</v>
      </c>
      <c r="AA44" s="31"/>
      <c r="AG44" s="31">
        <f>SUBTOTAL(9,AG3:AG43)</f>
        <v>51887.709999999992</v>
      </c>
      <c r="AI44" s="31"/>
      <c r="AK44" s="31">
        <f>SUBTOTAL(9,AK3:AK43)</f>
        <v>258983.43</v>
      </c>
      <c r="AQ44" s="31"/>
      <c r="AU44" s="31">
        <f>SUBTOTAL(9,AU3:AU43)</f>
        <v>106462.91999999995</v>
      </c>
      <c r="AV44" s="31">
        <f>SUBTOTAL(9,AV3:AV43)</f>
        <v>5728</v>
      </c>
      <c r="AW44" s="31">
        <f>SUBTOTAL(9,AW3:AW43)</f>
        <v>423062.05999999988</v>
      </c>
      <c r="AX44" s="31">
        <f>SUBTOTAL(9,AX3:AX42)</f>
        <v>0</v>
      </c>
      <c r="AY44" s="31"/>
      <c r="AZ44" s="31">
        <f>SUBTOTAL(9,AZ3:AZ43)</f>
        <v>10200</v>
      </c>
      <c r="BA44" s="35">
        <f>SUBTOTAL(9,BA3:BA43)</f>
        <v>433262.05999999988</v>
      </c>
      <c r="BB44" s="31">
        <f>SUBTOTAL(9,BB3:BB43)</f>
        <v>25995.759999999995</v>
      </c>
      <c r="BC44" s="31">
        <f>SUBTOTAL(9,BC3:BC43)</f>
        <v>459257.81999999995</v>
      </c>
      <c r="BD44" s="31">
        <f>SUBTOTAL(9,BD3:BD43)</f>
        <v>5523</v>
      </c>
    </row>
    <row r="45" spans="1:57" x14ac:dyDescent="0.25">
      <c r="AX45" s="32"/>
    </row>
    <row r="46" spans="1:57" s="46" customFormat="1" ht="25.8" x14ac:dyDescent="0.25">
      <c r="A46" s="47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9"/>
    </row>
    <row r="47" spans="1:57" s="46" customFormat="1" x14ac:dyDescent="0.25">
      <c r="A47" s="52"/>
      <c r="B47" s="53"/>
      <c r="C47" s="52"/>
      <c r="D47" s="52"/>
      <c r="E47" s="52"/>
      <c r="F47" s="52"/>
      <c r="G47" s="52"/>
      <c r="H47" s="52"/>
      <c r="I47" s="52"/>
      <c r="J47" s="54"/>
      <c r="K47" s="55"/>
    </row>
    <row r="48" spans="1:57" s="46" customFormat="1" x14ac:dyDescent="0.25">
      <c r="A48" s="56"/>
      <c r="B48" s="57"/>
      <c r="C48" s="56"/>
      <c r="D48" s="56"/>
      <c r="E48" s="56"/>
      <c r="F48" s="56"/>
      <c r="G48" s="56"/>
      <c r="H48" s="56"/>
      <c r="I48" s="56"/>
      <c r="J48" s="54"/>
      <c r="K48" s="58"/>
    </row>
    <row r="49" spans="1:50" s="38" customFormat="1" ht="15" customHeight="1" x14ac:dyDescent="0.25">
      <c r="A49" s="40"/>
      <c r="B49" s="36"/>
      <c r="C49" s="40"/>
      <c r="D49" s="40"/>
      <c r="E49" s="41"/>
      <c r="F49" s="37"/>
      <c r="G49" s="37"/>
      <c r="H49" s="40"/>
      <c r="J49" s="42"/>
      <c r="K49" s="45"/>
      <c r="M49" s="50"/>
    </row>
    <row r="50" spans="1:50" s="38" customFormat="1" ht="15" customHeight="1" x14ac:dyDescent="0.25">
      <c r="A50" s="40"/>
      <c r="B50" s="36"/>
      <c r="C50" s="40"/>
      <c r="D50" s="40"/>
      <c r="E50" s="41"/>
      <c r="F50" s="37"/>
      <c r="G50" s="37"/>
      <c r="H50" s="40"/>
      <c r="J50" s="42"/>
      <c r="K50" s="45"/>
      <c r="M50" s="50"/>
    </row>
    <row r="51" spans="1:50" s="38" customFormat="1" ht="15" customHeight="1" x14ac:dyDescent="0.25">
      <c r="A51" s="40"/>
      <c r="B51" s="36"/>
      <c r="C51" s="40"/>
      <c r="D51" s="40"/>
      <c r="E51" s="41"/>
      <c r="F51" s="37"/>
      <c r="G51" s="37"/>
      <c r="H51" s="37"/>
      <c r="J51" s="42"/>
      <c r="K51" s="45"/>
      <c r="M51" s="50"/>
    </row>
    <row r="52" spans="1:50" s="38" customFormat="1" ht="15" customHeight="1" x14ac:dyDescent="0.25">
      <c r="A52" s="40"/>
      <c r="B52" s="36"/>
      <c r="C52" s="40"/>
      <c r="D52" s="40"/>
      <c r="E52" s="41"/>
      <c r="F52" s="37"/>
      <c r="G52" s="37"/>
      <c r="H52" s="40"/>
      <c r="J52" s="42"/>
      <c r="K52" s="45"/>
      <c r="M52" s="50"/>
    </row>
    <row r="53" spans="1:50" s="38" customFormat="1" ht="15" customHeight="1" x14ac:dyDescent="0.25">
      <c r="A53" s="40"/>
      <c r="B53" s="36"/>
      <c r="C53" s="40"/>
      <c r="D53" s="40"/>
      <c r="E53" s="41"/>
      <c r="F53" s="37"/>
      <c r="G53" s="37"/>
      <c r="H53" s="40"/>
      <c r="J53" s="42"/>
      <c r="K53" s="45"/>
      <c r="M53" s="50"/>
    </row>
    <row r="54" spans="1:50" s="38" customFormat="1" ht="15" customHeight="1" x14ac:dyDescent="0.25">
      <c r="A54" s="40"/>
      <c r="B54" s="36"/>
      <c r="C54" s="40"/>
      <c r="D54" s="40"/>
      <c r="E54" s="41"/>
      <c r="F54" s="37"/>
      <c r="G54" s="37"/>
      <c r="H54" s="40"/>
      <c r="J54" s="42"/>
      <c r="K54" s="45"/>
      <c r="M54" s="50"/>
    </row>
    <row r="55" spans="1:50" s="38" customFormat="1" ht="15" customHeight="1" x14ac:dyDescent="0.25">
      <c r="A55" s="40"/>
      <c r="B55" s="36"/>
      <c r="C55" s="40"/>
      <c r="D55" s="40"/>
      <c r="E55" s="41"/>
      <c r="F55" s="37"/>
      <c r="G55" s="37"/>
      <c r="H55" s="40"/>
      <c r="J55" s="42"/>
      <c r="K55" s="45"/>
      <c r="M55" s="50"/>
    </row>
    <row r="56" spans="1:50" s="38" customFormat="1" ht="15" customHeight="1" x14ac:dyDescent="0.25">
      <c r="A56" s="40"/>
      <c r="B56" s="36"/>
      <c r="C56" s="40"/>
      <c r="D56" s="40"/>
      <c r="E56" s="41"/>
      <c r="F56" s="37"/>
      <c r="G56" s="37"/>
      <c r="H56" s="40"/>
      <c r="J56" s="42"/>
      <c r="K56" s="45"/>
      <c r="M56" s="50"/>
    </row>
    <row r="57" spans="1:50" s="38" customFormat="1" ht="15" customHeight="1" x14ac:dyDescent="0.25">
      <c r="A57" s="40"/>
      <c r="B57" s="36"/>
      <c r="C57" s="40"/>
      <c r="D57" s="40"/>
      <c r="E57" s="41"/>
      <c r="F57" s="37"/>
      <c r="G57" s="37"/>
      <c r="H57" s="40"/>
      <c r="I57" s="42"/>
      <c r="J57" s="42"/>
      <c r="K57" s="45"/>
      <c r="M57" s="50"/>
    </row>
    <row r="58" spans="1:50" s="46" customFormat="1" ht="25.8" x14ac:dyDescent="0.25">
      <c r="A58" s="47"/>
      <c r="AV58" s="51"/>
      <c r="AX58" s="49"/>
    </row>
    <row r="59" spans="1:50" s="38" customFormat="1" ht="15" customHeight="1" x14ac:dyDescent="0.25">
      <c r="A59" s="40"/>
      <c r="B59" s="36"/>
      <c r="C59" s="40"/>
      <c r="D59" s="40"/>
      <c r="E59" s="41"/>
      <c r="F59" s="37"/>
      <c r="G59" s="37"/>
      <c r="H59" s="40"/>
      <c r="J59" s="42"/>
      <c r="K59" s="45"/>
      <c r="L59" s="45"/>
      <c r="N59" s="50"/>
    </row>
    <row r="60" spans="1:50" s="38" customFormat="1" ht="15" customHeight="1" x14ac:dyDescent="0.25">
      <c r="A60" s="40"/>
      <c r="B60" s="36"/>
      <c r="C60" s="40"/>
      <c r="D60" s="40"/>
      <c r="E60" s="41"/>
      <c r="F60" s="37"/>
      <c r="G60" s="37"/>
      <c r="H60" s="40"/>
      <c r="J60" s="42"/>
      <c r="K60" s="45"/>
      <c r="L60" s="45"/>
      <c r="N60" s="50"/>
    </row>
    <row r="61" spans="1:50" s="38" customFormat="1" ht="15" customHeight="1" x14ac:dyDescent="0.25">
      <c r="A61" s="40"/>
      <c r="B61" s="36"/>
      <c r="C61" s="40"/>
      <c r="D61" s="40"/>
      <c r="E61" s="41"/>
      <c r="F61" s="37"/>
      <c r="G61" s="37"/>
      <c r="H61" s="40"/>
      <c r="J61" s="42"/>
      <c r="K61" s="45"/>
      <c r="L61" s="45"/>
      <c r="N61" s="50"/>
    </row>
    <row r="62" spans="1:50" s="38" customFormat="1" ht="15" customHeight="1" x14ac:dyDescent="0.25">
      <c r="A62" s="40"/>
      <c r="B62" s="36"/>
      <c r="C62" s="40"/>
      <c r="D62" s="40"/>
      <c r="E62" s="41"/>
      <c r="F62" s="37"/>
      <c r="G62" s="37"/>
      <c r="H62" s="40"/>
      <c r="J62" s="42"/>
      <c r="K62" s="45"/>
      <c r="L62" s="45"/>
      <c r="N62" s="50"/>
    </row>
    <row r="63" spans="1:50" s="38" customFormat="1" ht="15" customHeight="1" x14ac:dyDescent="0.25">
      <c r="A63" s="40"/>
      <c r="B63" s="36"/>
      <c r="C63" s="40"/>
      <c r="D63" s="40"/>
      <c r="E63" s="41"/>
      <c r="F63" s="37"/>
      <c r="G63" s="37"/>
      <c r="H63" s="40"/>
      <c r="J63" s="42"/>
      <c r="K63" s="45"/>
      <c r="L63" s="45"/>
      <c r="N63" s="50"/>
    </row>
    <row r="64" spans="1:50" s="38" customFormat="1" ht="15" customHeight="1" x14ac:dyDescent="0.25">
      <c r="A64" s="40"/>
      <c r="B64" s="36"/>
      <c r="C64" s="40"/>
      <c r="D64" s="40"/>
      <c r="E64" s="41"/>
      <c r="F64" s="37"/>
      <c r="G64" s="37"/>
      <c r="H64" s="40"/>
      <c r="J64" s="42"/>
      <c r="K64" s="45"/>
      <c r="L64" s="45"/>
      <c r="N64" s="50"/>
    </row>
    <row r="65" spans="1:14" s="38" customFormat="1" ht="15" customHeight="1" x14ac:dyDescent="0.25">
      <c r="A65" s="40"/>
      <c r="B65" s="36"/>
      <c r="C65" s="40"/>
      <c r="D65" s="40"/>
      <c r="E65" s="41"/>
      <c r="F65" s="37"/>
      <c r="G65" s="37"/>
      <c r="H65" s="40"/>
      <c r="J65" s="42"/>
      <c r="K65" s="45"/>
      <c r="L65" s="45"/>
      <c r="N65" s="50"/>
    </row>
    <row r="66" spans="1:14" s="38" customFormat="1" ht="15" customHeight="1" x14ac:dyDescent="0.25">
      <c r="A66" s="40"/>
      <c r="B66" s="36"/>
      <c r="C66" s="40"/>
      <c r="D66" s="40"/>
      <c r="E66" s="41"/>
      <c r="F66" s="37"/>
      <c r="G66" s="37"/>
      <c r="H66" s="40"/>
      <c r="J66" s="42"/>
      <c r="K66" s="45"/>
      <c r="L66" s="45"/>
      <c r="N66" s="50"/>
    </row>
    <row r="67" spans="1:14" s="38" customFormat="1" ht="15" customHeight="1" x14ac:dyDescent="0.25">
      <c r="A67" s="40"/>
      <c r="B67" s="36"/>
      <c r="C67" s="40"/>
      <c r="D67" s="40"/>
      <c r="E67" s="41"/>
      <c r="F67" s="37"/>
      <c r="G67" s="37"/>
      <c r="H67" s="40"/>
      <c r="J67" s="42"/>
      <c r="K67" s="45"/>
      <c r="L67" s="45"/>
      <c r="N67" s="50"/>
    </row>
    <row r="68" spans="1:14" s="38" customFormat="1" ht="15" customHeight="1" x14ac:dyDescent="0.25">
      <c r="A68" s="40"/>
      <c r="B68" s="36"/>
      <c r="C68" s="40"/>
      <c r="D68" s="40"/>
      <c r="E68" s="41"/>
      <c r="F68" s="37"/>
      <c r="G68" s="37"/>
      <c r="H68" s="37"/>
      <c r="J68" s="42"/>
      <c r="K68" s="45"/>
      <c r="L68" s="45"/>
      <c r="N68" s="50"/>
    </row>
    <row r="69" spans="1:14" s="38" customFormat="1" ht="15" customHeight="1" x14ac:dyDescent="0.25">
      <c r="A69" s="40"/>
      <c r="B69" s="36"/>
      <c r="C69" s="40"/>
      <c r="D69" s="40"/>
      <c r="E69" s="41"/>
      <c r="F69" s="37"/>
      <c r="G69" s="37"/>
      <c r="H69" s="40"/>
      <c r="J69" s="42"/>
      <c r="K69" s="45"/>
      <c r="L69" s="45"/>
      <c r="N69" s="50"/>
    </row>
    <row r="70" spans="1:14" s="38" customFormat="1" ht="15" customHeight="1" x14ac:dyDescent="0.25">
      <c r="A70" s="40"/>
      <c r="B70" s="36"/>
      <c r="C70" s="40"/>
      <c r="D70" s="40"/>
      <c r="E70" s="41"/>
      <c r="F70" s="37"/>
      <c r="G70" s="37"/>
      <c r="H70" s="40"/>
      <c r="J70" s="42"/>
      <c r="K70" s="45"/>
      <c r="L70" s="45"/>
      <c r="N70" s="50"/>
    </row>
    <row r="71" spans="1:14" s="38" customFormat="1" ht="15" customHeight="1" x14ac:dyDescent="0.25">
      <c r="A71" s="40"/>
      <c r="B71" s="36"/>
      <c r="C71" s="40"/>
      <c r="D71" s="40"/>
      <c r="E71" s="41"/>
      <c r="F71" s="37"/>
      <c r="G71" s="37"/>
      <c r="H71" s="40"/>
      <c r="J71" s="42"/>
      <c r="K71" s="45"/>
      <c r="L71" s="45"/>
      <c r="N71" s="50"/>
    </row>
    <row r="72" spans="1:14" s="38" customFormat="1" ht="15" customHeight="1" x14ac:dyDescent="0.25">
      <c r="A72" s="40"/>
      <c r="B72" s="36"/>
      <c r="C72" s="40"/>
      <c r="D72" s="40"/>
      <c r="E72" s="41"/>
      <c r="F72" s="37"/>
      <c r="G72" s="37"/>
      <c r="H72" s="40"/>
      <c r="J72" s="42"/>
      <c r="K72" s="45"/>
      <c r="L72" s="45"/>
      <c r="N72" s="50"/>
    </row>
    <row r="73" spans="1:14" s="38" customFormat="1" ht="15" customHeight="1" x14ac:dyDescent="0.25">
      <c r="A73" s="40"/>
      <c r="B73" s="36"/>
      <c r="C73" s="40"/>
      <c r="D73" s="40"/>
      <c r="E73" s="41"/>
      <c r="F73" s="37"/>
      <c r="G73" s="37"/>
      <c r="H73" s="40"/>
      <c r="J73" s="42"/>
      <c r="K73" s="45"/>
      <c r="L73" s="45"/>
      <c r="N73" s="50"/>
    </row>
    <row r="74" spans="1:14" s="38" customFormat="1" ht="15" customHeight="1" x14ac:dyDescent="0.25">
      <c r="A74" s="40"/>
      <c r="B74" s="36"/>
      <c r="C74" s="40"/>
      <c r="D74" s="40"/>
      <c r="E74" s="41"/>
      <c r="F74" s="37"/>
      <c r="G74" s="37"/>
      <c r="H74" s="40"/>
      <c r="J74" s="42"/>
      <c r="K74" s="45"/>
      <c r="L74" s="45"/>
      <c r="N74" s="50"/>
    </row>
    <row r="75" spans="1:14" s="38" customFormat="1" ht="15" customHeight="1" x14ac:dyDescent="0.25">
      <c r="A75" s="40"/>
      <c r="B75" s="36"/>
      <c r="C75" s="40"/>
      <c r="D75" s="40"/>
      <c r="E75" s="41"/>
      <c r="F75" s="37"/>
      <c r="G75" s="37"/>
      <c r="H75" s="40"/>
      <c r="J75" s="42"/>
      <c r="K75" s="45"/>
      <c r="L75" s="45"/>
      <c r="N75" s="50"/>
    </row>
    <row r="76" spans="1:14" s="38" customFormat="1" ht="15" customHeight="1" x14ac:dyDescent="0.25">
      <c r="A76" s="40"/>
      <c r="B76" s="36"/>
      <c r="C76" s="40"/>
      <c r="D76" s="40"/>
      <c r="E76" s="41"/>
      <c r="F76" s="37"/>
      <c r="G76" s="37"/>
      <c r="H76" s="40"/>
      <c r="J76" s="42"/>
      <c r="K76" s="45"/>
      <c r="L76" s="45"/>
      <c r="N76" s="50"/>
    </row>
    <row r="77" spans="1:14" s="38" customFormat="1" ht="15" customHeight="1" x14ac:dyDescent="0.25">
      <c r="A77" s="40"/>
      <c r="B77" s="36"/>
      <c r="C77" s="40"/>
      <c r="D77" s="40"/>
      <c r="E77" s="41"/>
      <c r="F77" s="37"/>
      <c r="G77" s="37"/>
      <c r="H77" s="40"/>
      <c r="J77" s="42"/>
      <c r="K77" s="45"/>
      <c r="L77" s="45"/>
      <c r="N77" s="50"/>
    </row>
    <row r="78" spans="1:14" s="38" customFormat="1" ht="15" customHeight="1" x14ac:dyDescent="0.25">
      <c r="A78" s="40"/>
      <c r="B78" s="36"/>
      <c r="C78" s="40"/>
      <c r="D78" s="40"/>
      <c r="E78" s="41"/>
      <c r="F78" s="37"/>
      <c r="G78" s="37"/>
      <c r="H78" s="40"/>
      <c r="J78" s="42"/>
      <c r="K78" s="45"/>
      <c r="L78" s="45"/>
      <c r="N78" s="50"/>
    </row>
    <row r="79" spans="1:14" s="38" customFormat="1" ht="15" customHeight="1" x14ac:dyDescent="0.25">
      <c r="A79" s="40"/>
      <c r="B79" s="36"/>
      <c r="C79" s="40"/>
      <c r="D79" s="40"/>
      <c r="E79" s="41"/>
      <c r="F79" s="37"/>
      <c r="G79" s="37"/>
      <c r="H79" s="40"/>
      <c r="J79" s="42"/>
      <c r="K79" s="45"/>
      <c r="L79" s="45"/>
      <c r="N79" s="50"/>
    </row>
    <row r="80" spans="1:14" s="38" customFormat="1" ht="15" customHeight="1" x14ac:dyDescent="0.25">
      <c r="A80" s="40"/>
      <c r="B80" s="36"/>
      <c r="C80" s="40"/>
      <c r="D80" s="40"/>
      <c r="E80" s="41"/>
      <c r="F80" s="37"/>
      <c r="G80" s="37"/>
      <c r="H80" s="40"/>
      <c r="J80" s="42"/>
      <c r="K80" s="45"/>
      <c r="L80" s="45"/>
      <c r="N80" s="50"/>
    </row>
    <row r="81" spans="1:14" s="38" customFormat="1" ht="15" customHeight="1" x14ac:dyDescent="0.25">
      <c r="A81" s="40"/>
      <c r="B81" s="36"/>
      <c r="C81" s="40"/>
      <c r="D81" s="40"/>
      <c r="E81" s="41"/>
      <c r="F81" s="37"/>
      <c r="G81" s="37"/>
      <c r="H81" s="40"/>
      <c r="J81" s="42"/>
      <c r="K81" s="45"/>
      <c r="L81" s="45"/>
      <c r="N81" s="50"/>
    </row>
    <row r="82" spans="1:14" s="38" customFormat="1" ht="15" customHeight="1" x14ac:dyDescent="0.25">
      <c r="A82" s="40"/>
      <c r="B82" s="36"/>
      <c r="C82" s="40"/>
      <c r="D82" s="40"/>
      <c r="E82" s="41"/>
      <c r="F82" s="37"/>
      <c r="G82" s="37"/>
      <c r="H82" s="40"/>
      <c r="J82" s="42"/>
      <c r="K82" s="45"/>
      <c r="L82" s="45"/>
      <c r="N82" s="50"/>
    </row>
    <row r="83" spans="1:14" s="38" customFormat="1" ht="15" customHeight="1" x14ac:dyDescent="0.25">
      <c r="A83" s="40"/>
      <c r="B83" s="36"/>
      <c r="C83" s="40"/>
      <c r="D83" s="40"/>
      <c r="E83" s="41"/>
      <c r="F83" s="37"/>
      <c r="G83" s="37"/>
      <c r="H83" s="40"/>
      <c r="J83" s="42"/>
      <c r="K83" s="45"/>
      <c r="L83" s="45"/>
      <c r="N83" s="50"/>
    </row>
    <row r="84" spans="1:14" s="38" customFormat="1" ht="15" customHeight="1" x14ac:dyDescent="0.25">
      <c r="A84" s="40"/>
      <c r="B84" s="36"/>
      <c r="C84" s="40"/>
      <c r="D84" s="40"/>
      <c r="E84" s="41"/>
      <c r="F84" s="37"/>
      <c r="G84" s="37"/>
      <c r="H84" s="40"/>
      <c r="J84" s="42"/>
      <c r="K84" s="45"/>
      <c r="L84" s="45"/>
      <c r="N84" s="50"/>
    </row>
    <row r="85" spans="1:14" s="38" customFormat="1" ht="15" customHeight="1" x14ac:dyDescent="0.25">
      <c r="A85" s="40"/>
      <c r="B85" s="36"/>
      <c r="C85" s="40"/>
      <c r="D85" s="40"/>
      <c r="E85" s="41"/>
      <c r="F85" s="37"/>
      <c r="G85" s="37"/>
      <c r="H85" s="40"/>
      <c r="J85" s="42"/>
      <c r="K85" s="45"/>
      <c r="L85" s="45"/>
      <c r="N85" s="50"/>
    </row>
    <row r="86" spans="1:14" s="38" customFormat="1" ht="15" customHeight="1" x14ac:dyDescent="0.25">
      <c r="A86" s="40"/>
      <c r="B86" s="36"/>
      <c r="C86" s="40"/>
      <c r="D86" s="40"/>
      <c r="E86" s="41"/>
      <c r="F86" s="37"/>
      <c r="G86" s="37"/>
      <c r="H86" s="40"/>
      <c r="J86" s="42"/>
      <c r="K86" s="45"/>
      <c r="L86" s="45"/>
      <c r="N86" s="50"/>
    </row>
    <row r="87" spans="1:14" s="38" customFormat="1" ht="15" customHeight="1" x14ac:dyDescent="0.25">
      <c r="A87" s="40"/>
      <c r="B87" s="36"/>
      <c r="C87" s="40"/>
      <c r="D87" s="40"/>
      <c r="E87" s="41"/>
      <c r="F87" s="37"/>
      <c r="G87" s="37"/>
      <c r="H87" s="40"/>
      <c r="J87" s="42"/>
      <c r="K87" s="45"/>
      <c r="L87" s="45"/>
      <c r="N87" s="50"/>
    </row>
    <row r="88" spans="1:14" s="38" customFormat="1" ht="15" customHeight="1" x14ac:dyDescent="0.25">
      <c r="A88" s="40"/>
      <c r="B88" s="36"/>
      <c r="C88" s="40"/>
      <c r="D88" s="40"/>
      <c r="E88" s="41"/>
      <c r="F88" s="37"/>
      <c r="G88" s="37"/>
      <c r="H88" s="40"/>
      <c r="J88" s="42"/>
      <c r="K88" s="45"/>
      <c r="L88" s="45"/>
      <c r="N88" s="50"/>
    </row>
    <row r="89" spans="1:14" s="38" customFormat="1" ht="15" customHeight="1" x14ac:dyDescent="0.25">
      <c r="A89" s="40"/>
      <c r="B89" s="36"/>
      <c r="C89" s="40"/>
      <c r="D89" s="40"/>
      <c r="E89" s="41"/>
      <c r="F89" s="37"/>
      <c r="G89" s="37"/>
      <c r="H89" s="40"/>
      <c r="J89" s="42"/>
      <c r="K89" s="45"/>
      <c r="L89" s="45"/>
      <c r="N89" s="50"/>
    </row>
    <row r="90" spans="1:14" s="38" customFormat="1" ht="15" customHeight="1" x14ac:dyDescent="0.25">
      <c r="A90" s="40"/>
      <c r="B90" s="36"/>
      <c r="C90" s="40"/>
      <c r="D90" s="40"/>
      <c r="E90" s="41"/>
      <c r="F90" s="37"/>
      <c r="G90" s="37"/>
      <c r="H90" s="40"/>
      <c r="J90" s="42"/>
      <c r="K90" s="45"/>
      <c r="L90" s="45"/>
      <c r="N90" s="50"/>
    </row>
    <row r="91" spans="1:14" s="38" customFormat="1" ht="15" customHeight="1" x14ac:dyDescent="0.25">
      <c r="A91" s="40"/>
      <c r="B91" s="36"/>
      <c r="C91" s="40"/>
      <c r="D91" s="40"/>
      <c r="E91" s="41"/>
      <c r="F91" s="37"/>
      <c r="G91" s="37"/>
      <c r="H91" s="40"/>
      <c r="J91" s="42"/>
      <c r="K91" s="45"/>
      <c r="L91" s="45"/>
      <c r="N91" s="50"/>
    </row>
    <row r="92" spans="1:14" s="38" customFormat="1" ht="15" customHeight="1" x14ac:dyDescent="0.25">
      <c r="A92" s="40"/>
      <c r="B92" s="36"/>
      <c r="C92" s="40"/>
      <c r="D92" s="40"/>
      <c r="E92" s="41"/>
      <c r="F92" s="37"/>
      <c r="G92" s="37"/>
      <c r="H92" s="40"/>
      <c r="J92" s="42"/>
      <c r="K92" s="45"/>
      <c r="L92" s="45"/>
      <c r="N92" s="50"/>
    </row>
    <row r="93" spans="1:14" s="38" customFormat="1" ht="15" customHeight="1" x14ac:dyDescent="0.25">
      <c r="A93" s="40"/>
      <c r="B93" s="36"/>
      <c r="C93" s="40"/>
      <c r="D93" s="40"/>
      <c r="E93" s="41"/>
      <c r="F93" s="37"/>
      <c r="G93" s="37"/>
      <c r="H93" s="40"/>
      <c r="J93" s="42"/>
      <c r="K93" s="45"/>
      <c r="L93" s="45"/>
      <c r="N93" s="50"/>
    </row>
    <row r="94" spans="1:14" s="38" customFormat="1" ht="15" customHeight="1" x14ac:dyDescent="0.25">
      <c r="A94" s="40"/>
      <c r="B94" s="36"/>
      <c r="C94" s="40"/>
      <c r="D94" s="40"/>
      <c r="E94" s="41"/>
      <c r="F94" s="37"/>
      <c r="G94" s="37"/>
      <c r="H94" s="40"/>
      <c r="J94" s="42"/>
      <c r="K94" s="45"/>
      <c r="L94" s="45"/>
      <c r="N94" s="50"/>
    </row>
    <row r="95" spans="1:14" s="38" customFormat="1" ht="15" customHeight="1" x14ac:dyDescent="0.25">
      <c r="A95" s="40"/>
      <c r="B95" s="36"/>
      <c r="C95" s="40"/>
      <c r="D95" s="40"/>
      <c r="E95" s="41"/>
      <c r="F95" s="37"/>
      <c r="G95" s="37"/>
      <c r="H95" s="40"/>
      <c r="J95" s="42"/>
      <c r="K95" s="45"/>
      <c r="L95" s="45"/>
      <c r="N95" s="50"/>
    </row>
    <row r="96" spans="1:14" s="38" customFormat="1" ht="15" customHeight="1" x14ac:dyDescent="0.25">
      <c r="A96" s="40"/>
      <c r="B96" s="36"/>
      <c r="C96" s="40"/>
      <c r="D96" s="40"/>
      <c r="E96" s="41"/>
      <c r="F96" s="37"/>
      <c r="G96" s="37"/>
      <c r="H96" s="40"/>
      <c r="J96" s="42"/>
      <c r="K96" s="45"/>
      <c r="L96" s="45"/>
      <c r="N96" s="50"/>
    </row>
    <row r="97" spans="1:48" s="38" customFormat="1" ht="15" customHeight="1" x14ac:dyDescent="0.25">
      <c r="A97" s="40"/>
      <c r="B97" s="36"/>
      <c r="C97" s="40"/>
      <c r="D97" s="40"/>
      <c r="E97" s="41"/>
      <c r="F97" s="37"/>
      <c r="G97" s="37"/>
      <c r="H97" s="40"/>
      <c r="J97" s="42"/>
      <c r="K97" s="45"/>
      <c r="L97" s="45"/>
      <c r="N97" s="50"/>
    </row>
    <row r="98" spans="1:48" s="38" customFormat="1" ht="15" customHeight="1" x14ac:dyDescent="0.25">
      <c r="A98" s="40"/>
      <c r="B98" s="36"/>
      <c r="C98" s="40"/>
      <c r="D98" s="40"/>
      <c r="E98" s="41"/>
      <c r="F98" s="37"/>
      <c r="G98" s="37"/>
      <c r="H98" s="40"/>
      <c r="J98" s="42"/>
      <c r="K98" s="45"/>
      <c r="L98" s="45"/>
      <c r="N98" s="50"/>
    </row>
    <row r="99" spans="1:48" s="46" customFormat="1" x14ac:dyDescent="0.25">
      <c r="I99" s="42"/>
      <c r="J99" s="42"/>
      <c r="AV99" s="51"/>
    </row>
  </sheetData>
  <autoFilter ref="A1:BE42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</autoFilter>
  <mergeCells count="1">
    <mergeCell ref="M1:Y1"/>
  </mergeCells>
  <phoneticPr fontId="4" type="noConversion"/>
  <conditionalFormatting sqref="D1">
    <cfRule type="duplicateValues" dxfId="37" priority="53"/>
  </conditionalFormatting>
  <conditionalFormatting sqref="D1">
    <cfRule type="duplicateValues" dxfId="36" priority="54"/>
  </conditionalFormatting>
  <conditionalFormatting sqref="D1">
    <cfRule type="duplicateValues" dxfId="35" priority="55"/>
    <cfRule type="duplicateValues" dxfId="34" priority="56"/>
  </conditionalFormatting>
  <conditionalFormatting sqref="D1">
    <cfRule type="duplicateValues" dxfId="33" priority="57"/>
    <cfRule type="duplicateValues" dxfId="32" priority="58"/>
  </conditionalFormatting>
  <conditionalFormatting sqref="D2">
    <cfRule type="duplicateValues" dxfId="31" priority="50"/>
    <cfRule type="duplicateValues" dxfId="30" priority="51"/>
  </conditionalFormatting>
  <conditionalFormatting sqref="D2">
    <cfRule type="duplicateValues" dxfId="29" priority="52"/>
  </conditionalFormatting>
  <conditionalFormatting sqref="C1">
    <cfRule type="duplicateValues" dxfId="28" priority="44"/>
  </conditionalFormatting>
  <conditionalFormatting sqref="C1">
    <cfRule type="duplicateValues" dxfId="27" priority="45"/>
  </conditionalFormatting>
  <conditionalFormatting sqref="C1">
    <cfRule type="duplicateValues" dxfId="26" priority="46"/>
    <cfRule type="duplicateValues" dxfId="25" priority="47"/>
  </conditionalFormatting>
  <conditionalFormatting sqref="C1">
    <cfRule type="duplicateValues" dxfId="24" priority="48"/>
    <cfRule type="duplicateValues" dxfId="23" priority="49"/>
  </conditionalFormatting>
  <conditionalFormatting sqref="C2">
    <cfRule type="duplicateValues" dxfId="22" priority="41"/>
    <cfRule type="duplicateValues" dxfId="21" priority="42"/>
  </conditionalFormatting>
  <conditionalFormatting sqref="C2">
    <cfRule type="duplicateValues" dxfId="20" priority="43"/>
  </conditionalFormatting>
  <conditionalFormatting sqref="AA3:AA43 AL3:AL43">
    <cfRule type="cellIs" dxfId="19" priority="40" operator="lessThan">
      <formula>7384</formula>
    </cfRule>
  </conditionalFormatting>
  <conditionalFormatting sqref="D99:D1048576 D44:D45 D1:D42">
    <cfRule type="duplicateValues" dxfId="18" priority="39"/>
  </conditionalFormatting>
  <conditionalFormatting sqref="E47">
    <cfRule type="duplicateValues" dxfId="17" priority="19"/>
  </conditionalFormatting>
  <conditionalFormatting sqref="E47">
    <cfRule type="duplicateValues" dxfId="16" priority="20"/>
    <cfRule type="duplicateValues" dxfId="15" priority="21"/>
  </conditionalFormatting>
  <conditionalFormatting sqref="C47">
    <cfRule type="duplicateValues" dxfId="14" priority="13"/>
  </conditionalFormatting>
  <conditionalFormatting sqref="C47">
    <cfRule type="duplicateValues" dxfId="13" priority="14"/>
  </conditionalFormatting>
  <conditionalFormatting sqref="C47">
    <cfRule type="duplicateValues" dxfId="12" priority="15"/>
    <cfRule type="duplicateValues" dxfId="11" priority="16"/>
  </conditionalFormatting>
  <conditionalFormatting sqref="C47">
    <cfRule type="duplicateValues" dxfId="10" priority="17"/>
    <cfRule type="duplicateValues" dxfId="9" priority="18"/>
  </conditionalFormatting>
  <conditionalFormatting sqref="C48">
    <cfRule type="duplicateValues" dxfId="8" priority="10"/>
    <cfRule type="duplicateValues" dxfId="7" priority="11"/>
  </conditionalFormatting>
  <conditionalFormatting sqref="C48">
    <cfRule type="duplicateValues" dxfId="6" priority="12"/>
  </conditionalFormatting>
  <conditionalFormatting sqref="E48">
    <cfRule type="duplicateValues" dxfId="5" priority="22"/>
    <cfRule type="duplicateValues" dxfId="4" priority="23"/>
  </conditionalFormatting>
  <conditionalFormatting sqref="E48">
    <cfRule type="duplicateValues" dxfId="3" priority="24"/>
  </conditionalFormatting>
  <conditionalFormatting sqref="D49:D57">
    <cfRule type="duplicateValues" dxfId="2" priority="6"/>
  </conditionalFormatting>
  <conditionalFormatting sqref="D59:D98">
    <cfRule type="duplicateValues" dxfId="1" priority="4"/>
  </conditionalFormatting>
  <conditionalFormatting sqref="D4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8626-922C-40C6-888E-51ECFC6AFC40}">
  <dimension ref="A1:J20"/>
  <sheetViews>
    <sheetView tabSelected="1" workbookViewId="0">
      <selection activeCell="E22" sqref="E22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117" t="s">
        <v>380</v>
      </c>
      <c r="B1" s="118" t="s">
        <v>381</v>
      </c>
      <c r="C1" s="118" t="s">
        <v>382</v>
      </c>
      <c r="D1" s="118">
        <v>155</v>
      </c>
      <c r="E1" s="118" t="s">
        <v>383</v>
      </c>
      <c r="F1" s="118" t="s">
        <v>384</v>
      </c>
      <c r="G1" s="118" t="s">
        <v>385</v>
      </c>
      <c r="H1" s="118" t="s">
        <v>386</v>
      </c>
      <c r="I1" s="118" t="s">
        <v>387</v>
      </c>
      <c r="J1" s="119" t="s">
        <v>388</v>
      </c>
    </row>
    <row r="2" spans="1:10" x14ac:dyDescent="0.25">
      <c r="A2" s="117" t="s">
        <v>233</v>
      </c>
      <c r="B2" s="118">
        <f>'202503'!BB44</f>
        <v>25995.759999999995</v>
      </c>
      <c r="C2" s="118">
        <f>系统!E57</f>
        <v>29268.159999999993</v>
      </c>
      <c r="D2" s="118">
        <f>40*155</f>
        <v>6200</v>
      </c>
      <c r="E2" s="118"/>
      <c r="F2" s="118"/>
      <c r="G2" s="118"/>
      <c r="H2" s="118"/>
      <c r="I2" s="118">
        <f>SUM(C2:G2)</f>
        <v>35468.159999999989</v>
      </c>
      <c r="J2" s="120">
        <f t="shared" ref="J2:J10" si="0">B2-C2</f>
        <v>-3272.3999999999978</v>
      </c>
    </row>
    <row r="3" spans="1:10" x14ac:dyDescent="0.25">
      <c r="A3" s="117" t="s">
        <v>389</v>
      </c>
      <c r="B3" s="118">
        <f>'202503'!AZ44</f>
        <v>10200</v>
      </c>
      <c r="C3" s="118">
        <v>0</v>
      </c>
      <c r="D3" s="118"/>
      <c r="E3" s="118"/>
      <c r="F3" s="118"/>
      <c r="G3" s="118"/>
      <c r="H3" s="118"/>
      <c r="I3" s="118">
        <f>SUM(C3:G3)</f>
        <v>0</v>
      </c>
      <c r="J3" s="120">
        <f t="shared" si="0"/>
        <v>10200</v>
      </c>
    </row>
    <row r="4" spans="1:10" x14ac:dyDescent="0.25">
      <c r="A4" s="117" t="s">
        <v>390</v>
      </c>
      <c r="B4" s="118">
        <f>'202503'!AG44</f>
        <v>51887.709999999992</v>
      </c>
      <c r="C4" s="118">
        <f>系统!V57</f>
        <v>51887.71</v>
      </c>
      <c r="D4" s="118"/>
      <c r="E4" s="118"/>
      <c r="F4" s="118"/>
      <c r="G4" s="118"/>
      <c r="H4" s="118"/>
      <c r="I4" s="118">
        <f>SUM(C4:G4)</f>
        <v>51887.71</v>
      </c>
      <c r="J4" s="120">
        <f t="shared" si="0"/>
        <v>0</v>
      </c>
    </row>
    <row r="5" spans="1:10" x14ac:dyDescent="0.25">
      <c r="A5" s="117" t="s">
        <v>391</v>
      </c>
      <c r="B5" s="118">
        <f>'202503'!AU44</f>
        <v>106462.91999999995</v>
      </c>
      <c r="C5" s="118">
        <f>系统!O57</f>
        <v>106462.91999999994</v>
      </c>
      <c r="D5" s="118"/>
      <c r="E5" s="121"/>
      <c r="F5" s="118"/>
      <c r="G5" s="118"/>
      <c r="H5" s="118"/>
      <c r="I5" s="118">
        <f>SUM(C5:E5)</f>
        <v>106462.91999999994</v>
      </c>
      <c r="J5" s="120">
        <f t="shared" si="0"/>
        <v>0</v>
      </c>
    </row>
    <row r="6" spans="1:10" x14ac:dyDescent="0.25">
      <c r="A6" s="117" t="s">
        <v>392</v>
      </c>
      <c r="B6" s="118"/>
      <c r="C6" s="118"/>
      <c r="D6" s="118"/>
      <c r="E6" s="118"/>
      <c r="F6" s="118"/>
      <c r="G6" s="118"/>
      <c r="H6" s="118"/>
      <c r="I6" s="118">
        <f t="shared" ref="I6:I10" si="1">SUM(C6:G6)</f>
        <v>0</v>
      </c>
      <c r="J6" s="120">
        <f t="shared" si="0"/>
        <v>0</v>
      </c>
    </row>
    <row r="7" spans="1:10" x14ac:dyDescent="0.25">
      <c r="A7" s="117" t="s">
        <v>393</v>
      </c>
      <c r="B7" s="118">
        <f>'202503'!Z44-'202503'!AG44</f>
        <v>258983.43000000002</v>
      </c>
      <c r="C7" s="118">
        <f>系统!W57</f>
        <v>258783.43000000002</v>
      </c>
      <c r="D7" s="118">
        <f>5*40</f>
        <v>200</v>
      </c>
      <c r="E7" s="118"/>
      <c r="F7" s="118"/>
      <c r="G7" s="118"/>
      <c r="H7" s="118"/>
      <c r="I7" s="118">
        <f t="shared" si="1"/>
        <v>258983.43000000002</v>
      </c>
      <c r="J7" s="120">
        <f t="shared" si="0"/>
        <v>200</v>
      </c>
    </row>
    <row r="8" spans="1:10" x14ac:dyDescent="0.25">
      <c r="A8" s="117" t="s">
        <v>394</v>
      </c>
      <c r="B8" s="118"/>
      <c r="C8" s="118"/>
      <c r="D8" s="118"/>
      <c r="E8" s="122"/>
      <c r="F8" s="122"/>
      <c r="G8" s="123"/>
      <c r="H8" s="123"/>
      <c r="I8" s="118">
        <f t="shared" si="1"/>
        <v>0</v>
      </c>
      <c r="J8" s="120">
        <f t="shared" si="0"/>
        <v>0</v>
      </c>
    </row>
    <row r="9" spans="1:10" x14ac:dyDescent="0.25">
      <c r="A9" s="117" t="s">
        <v>49</v>
      </c>
      <c r="B9" s="118">
        <f>'202503'!AV44</f>
        <v>5728</v>
      </c>
      <c r="C9" s="118"/>
      <c r="D9" s="118">
        <f>B10</f>
        <v>0</v>
      </c>
      <c r="E9" s="118"/>
      <c r="F9" s="118">
        <f>B9</f>
        <v>5728</v>
      </c>
      <c r="G9" s="123"/>
      <c r="H9" s="123"/>
      <c r="I9" s="118">
        <f t="shared" si="1"/>
        <v>5728</v>
      </c>
      <c r="J9" s="120">
        <f t="shared" si="0"/>
        <v>5728</v>
      </c>
    </row>
    <row r="10" spans="1:10" x14ac:dyDescent="0.25">
      <c r="A10" s="117" t="s">
        <v>395</v>
      </c>
      <c r="B10" s="118"/>
      <c r="C10" s="118"/>
      <c r="D10" s="118"/>
      <c r="E10" s="118"/>
      <c r="F10" s="118"/>
      <c r="G10" s="118"/>
      <c r="H10" s="118"/>
      <c r="I10" s="118">
        <f t="shared" si="1"/>
        <v>0</v>
      </c>
      <c r="J10" s="120">
        <f t="shared" si="0"/>
        <v>0</v>
      </c>
    </row>
    <row r="11" spans="1:10" x14ac:dyDescent="0.25">
      <c r="A11" s="124" t="s">
        <v>396</v>
      </c>
      <c r="B11" s="125">
        <f>SUM(B2:B10)</f>
        <v>459257.81999999995</v>
      </c>
      <c r="C11" s="125">
        <f>SUM(C2:C10)</f>
        <v>446402.22</v>
      </c>
      <c r="D11" s="125">
        <f>SUM(D2:D10)</f>
        <v>6400</v>
      </c>
      <c r="E11" s="125">
        <f>E5</f>
        <v>0</v>
      </c>
      <c r="F11" s="125">
        <f>F9</f>
        <v>5728</v>
      </c>
      <c r="G11" s="125">
        <f>G9</f>
        <v>0</v>
      </c>
      <c r="H11" s="125">
        <f>H9</f>
        <v>0</v>
      </c>
      <c r="I11" s="125">
        <f>SUM(C11:G11)</f>
        <v>458530.22</v>
      </c>
    </row>
    <row r="12" spans="1:10" x14ac:dyDescent="0.25">
      <c r="A12" s="117" t="s">
        <v>397</v>
      </c>
      <c r="B12" s="118"/>
      <c r="C12" s="118"/>
      <c r="D12" s="118"/>
      <c r="E12" s="118"/>
      <c r="F12" s="118"/>
      <c r="G12" s="118"/>
      <c r="H12" s="118"/>
      <c r="I12" s="118"/>
    </row>
    <row r="13" spans="1:10" x14ac:dyDescent="0.25">
      <c r="A13" s="117" t="s">
        <v>250</v>
      </c>
      <c r="B13" s="118"/>
      <c r="C13" s="118"/>
      <c r="D13" s="118">
        <f>ROUND((D11+D12)*6%,2)</f>
        <v>384</v>
      </c>
      <c r="E13" s="118"/>
      <c r="F13" s="118">
        <f>ROUND((F11+F12)*6%,2)</f>
        <v>343.68</v>
      </c>
      <c r="G13" s="118">
        <f>ROUND((G11+G12)*6%,2)</f>
        <v>0</v>
      </c>
      <c r="H13" s="118">
        <f>ROUND((H11+H12)*6%,2)</f>
        <v>0</v>
      </c>
      <c r="I13" s="118">
        <f>SUM(C13:G13)</f>
        <v>727.68000000000006</v>
      </c>
    </row>
    <row r="14" spans="1:10" x14ac:dyDescent="0.25">
      <c r="A14" s="126" t="s">
        <v>44</v>
      </c>
      <c r="B14" s="127">
        <f>SUM(B11:B13)</f>
        <v>459257.81999999995</v>
      </c>
      <c r="C14" s="127">
        <f t="shared" ref="C14" si="2">SUM(C11:C13)</f>
        <v>446402.22</v>
      </c>
      <c r="D14" s="127">
        <f>SUM(D11:D13)</f>
        <v>6784</v>
      </c>
      <c r="E14" s="127">
        <f>E11</f>
        <v>0</v>
      </c>
      <c r="F14" s="127">
        <f>SUM(F11:F13)</f>
        <v>6071.68</v>
      </c>
      <c r="G14" s="127">
        <f>SUM(G11:G13)</f>
        <v>0</v>
      </c>
      <c r="H14" s="127">
        <f>SUM(H11:H13)</f>
        <v>0</v>
      </c>
      <c r="I14" s="127">
        <f>SUM(C14:H14)</f>
        <v>459257.89999999997</v>
      </c>
    </row>
    <row r="15" spans="1:10" x14ac:dyDescent="0.25">
      <c r="A15" s="126" t="s">
        <v>398</v>
      </c>
      <c r="B15" s="127"/>
      <c r="C15" s="127"/>
      <c r="D15" s="127"/>
      <c r="E15" s="127"/>
      <c r="F15" s="127"/>
      <c r="G15" s="127"/>
      <c r="H15" s="127"/>
      <c r="I15" s="127">
        <f>B14</f>
        <v>459257.81999999995</v>
      </c>
    </row>
    <row r="16" spans="1:10" x14ac:dyDescent="0.25">
      <c r="A16" s="117" t="s">
        <v>399</v>
      </c>
      <c r="B16" s="118"/>
      <c r="C16" s="118"/>
      <c r="D16" s="118"/>
      <c r="E16" s="118"/>
      <c r="F16" s="118"/>
      <c r="G16" s="118"/>
      <c r="H16" s="118"/>
      <c r="I16" s="118">
        <f>I15-I14</f>
        <v>-8.0000000016298145E-2</v>
      </c>
    </row>
    <row r="17" spans="1:9" x14ac:dyDescent="0.25">
      <c r="A17" s="117" t="s">
        <v>400</v>
      </c>
      <c r="B17" s="118"/>
      <c r="C17" s="118"/>
      <c r="D17" s="118"/>
      <c r="E17" s="118"/>
      <c r="F17" s="118"/>
      <c r="G17" s="118"/>
      <c r="H17" s="118"/>
      <c r="I17" s="118">
        <f>ROUND(I16/1.06,2)</f>
        <v>-0.08</v>
      </c>
    </row>
    <row r="19" spans="1:9" x14ac:dyDescent="0.25">
      <c r="C19" s="120"/>
      <c r="D19" s="120"/>
    </row>
    <row r="20" spans="1:9" x14ac:dyDescent="0.25">
      <c r="B20" s="120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689C-AE68-46F5-9EEE-95E7AA872CF9}">
  <dimension ref="A1:AF105"/>
  <sheetViews>
    <sheetView topLeftCell="A53" workbookViewId="0">
      <selection activeCell="I13" sqref="I13"/>
    </sheetView>
  </sheetViews>
  <sheetFormatPr defaultRowHeight="13.8" x14ac:dyDescent="0.25"/>
  <cols>
    <col min="1" max="4" width="8.88671875" style="69"/>
    <col min="5" max="24" width="8.88671875" style="70"/>
    <col min="25" max="25" width="10.21875" style="70" bestFit="1" customWidth="1"/>
    <col min="26" max="27" width="8.88671875" style="69"/>
    <col min="28" max="28" width="15.77734375" style="69" customWidth="1"/>
    <col min="29" max="29" width="8.88671875" style="69"/>
    <col min="30" max="30" width="8.88671875" style="70"/>
    <col min="31" max="31" width="8.88671875" style="69"/>
    <col min="32" max="32" width="8.88671875" style="70"/>
    <col min="33" max="16384" width="8.88671875" style="69"/>
  </cols>
  <sheetData>
    <row r="1" spans="1:32" x14ac:dyDescent="0.25">
      <c r="A1" s="68" t="s">
        <v>221</v>
      </c>
    </row>
    <row r="2" spans="1:32" x14ac:dyDescent="0.25">
      <c r="A2" s="68" t="s">
        <v>222</v>
      </c>
    </row>
    <row r="3" spans="1:32" x14ac:dyDescent="0.25">
      <c r="B3" s="68" t="s">
        <v>223</v>
      </c>
    </row>
    <row r="6" spans="1:32" ht="20.399999999999999" x14ac:dyDescent="0.25">
      <c r="D6" s="71" t="s">
        <v>224</v>
      </c>
    </row>
    <row r="7" spans="1:32" ht="20.399999999999999" x14ac:dyDescent="0.25">
      <c r="C7" s="71" t="s">
        <v>225</v>
      </c>
    </row>
    <row r="9" spans="1:32" ht="20.399999999999999" x14ac:dyDescent="0.25">
      <c r="E9" s="72" t="s">
        <v>226</v>
      </c>
    </row>
    <row r="10" spans="1:32" ht="20.399999999999999" x14ac:dyDescent="0.25">
      <c r="E10" s="72" t="s">
        <v>227</v>
      </c>
    </row>
    <row r="11" spans="1:32" ht="15.6" x14ac:dyDescent="0.25">
      <c r="E11" s="73" t="s">
        <v>228</v>
      </c>
    </row>
    <row r="13" spans="1:32" s="75" customFormat="1" ht="13.2" x14ac:dyDescent="0.25">
      <c r="A13" s="74" t="s">
        <v>229</v>
      </c>
      <c r="E13" s="76"/>
      <c r="F13" s="76"/>
      <c r="G13" s="76"/>
      <c r="H13" s="76"/>
      <c r="I13" s="76"/>
      <c r="J13" s="77" t="s">
        <v>230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AD13" s="76"/>
      <c r="AF13" s="76"/>
    </row>
    <row r="14" spans="1:32" s="78" customFormat="1" ht="60" customHeight="1" x14ac:dyDescent="0.15">
      <c r="A14" s="78" t="s">
        <v>83</v>
      </c>
      <c r="B14" s="78" t="s">
        <v>81</v>
      </c>
      <c r="C14" s="78" t="s">
        <v>231</v>
      </c>
      <c r="D14" s="78" t="s">
        <v>232</v>
      </c>
      <c r="E14" s="79" t="s">
        <v>233</v>
      </c>
      <c r="F14" s="79" t="s">
        <v>234</v>
      </c>
      <c r="G14" s="79" t="s">
        <v>235</v>
      </c>
      <c r="H14" s="80" t="s">
        <v>236</v>
      </c>
      <c r="I14" s="81"/>
      <c r="J14" s="81"/>
      <c r="K14" s="81"/>
      <c r="L14" s="81"/>
      <c r="M14" s="82"/>
      <c r="N14" s="83" t="s">
        <v>237</v>
      </c>
      <c r="O14" s="79" t="s">
        <v>238</v>
      </c>
      <c r="P14" s="80" t="s">
        <v>239</v>
      </c>
      <c r="Q14" s="81"/>
      <c r="R14" s="81"/>
      <c r="S14" s="81"/>
      <c r="T14" s="82"/>
      <c r="U14" s="83" t="s">
        <v>240</v>
      </c>
      <c r="V14" s="79" t="s">
        <v>241</v>
      </c>
      <c r="W14" s="79" t="s">
        <v>242</v>
      </c>
      <c r="X14" s="79" t="s">
        <v>243</v>
      </c>
      <c r="Y14" s="84" t="s">
        <v>44</v>
      </c>
      <c r="Z14" s="78" t="s">
        <v>244</v>
      </c>
      <c r="AA14" s="78" t="s">
        <v>245</v>
      </c>
      <c r="AB14" s="78" t="s">
        <v>246</v>
      </c>
      <c r="AC14" s="78" t="s">
        <v>247</v>
      </c>
      <c r="AD14" s="79" t="s">
        <v>248</v>
      </c>
      <c r="AE14" s="78" t="s">
        <v>249</v>
      </c>
      <c r="AF14" s="79" t="s">
        <v>250</v>
      </c>
    </row>
    <row r="15" spans="1:32" s="85" customFormat="1" ht="60" customHeight="1" x14ac:dyDescent="0.25">
      <c r="A15" s="85" t="s">
        <v>251</v>
      </c>
      <c r="B15" s="85" t="s">
        <v>41</v>
      </c>
      <c r="C15" s="85" t="s">
        <v>252</v>
      </c>
      <c r="D15" s="85" t="s">
        <v>253</v>
      </c>
      <c r="E15" s="86" t="s">
        <v>254</v>
      </c>
      <c r="F15" s="86" t="s">
        <v>255</v>
      </c>
      <c r="G15" s="86" t="s">
        <v>256</v>
      </c>
      <c r="H15" s="87" t="s">
        <v>257</v>
      </c>
      <c r="I15" s="87" t="s">
        <v>258</v>
      </c>
      <c r="J15" s="87" t="s">
        <v>259</v>
      </c>
      <c r="K15" s="87" t="s">
        <v>260</v>
      </c>
      <c r="L15" s="87" t="s">
        <v>261</v>
      </c>
      <c r="M15" s="87" t="s">
        <v>262</v>
      </c>
      <c r="N15" s="87" t="s">
        <v>263</v>
      </c>
      <c r="O15" s="86" t="s">
        <v>264</v>
      </c>
      <c r="P15" s="87" t="s">
        <v>257</v>
      </c>
      <c r="Q15" s="87" t="s">
        <v>258</v>
      </c>
      <c r="R15" s="87" t="s">
        <v>259</v>
      </c>
      <c r="S15" s="87" t="s">
        <v>260</v>
      </c>
      <c r="T15" s="87" t="s">
        <v>261</v>
      </c>
      <c r="U15" s="87" t="s">
        <v>263</v>
      </c>
      <c r="V15" s="86" t="s">
        <v>265</v>
      </c>
      <c r="W15" s="86" t="s">
        <v>266</v>
      </c>
      <c r="X15" s="86" t="s">
        <v>267</v>
      </c>
      <c r="Y15" s="88" t="s">
        <v>268</v>
      </c>
      <c r="Z15" s="85" t="s">
        <v>269</v>
      </c>
      <c r="AA15" s="85" t="s">
        <v>270</v>
      </c>
      <c r="AB15" s="85" t="s">
        <v>271</v>
      </c>
      <c r="AC15" s="85" t="s">
        <v>272</v>
      </c>
      <c r="AD15" s="86" t="s">
        <v>273</v>
      </c>
      <c r="AE15" s="85" t="s">
        <v>274</v>
      </c>
      <c r="AF15" s="86" t="s">
        <v>2</v>
      </c>
    </row>
    <row r="16" spans="1:32" s="89" customFormat="1" ht="11.4" x14ac:dyDescent="0.25">
      <c r="A16" s="89">
        <v>1</v>
      </c>
      <c r="B16" s="89" t="s">
        <v>117</v>
      </c>
      <c r="C16" s="89" t="s">
        <v>275</v>
      </c>
      <c r="D16" s="89" t="s">
        <v>276</v>
      </c>
      <c r="E16" s="90">
        <v>549</v>
      </c>
      <c r="F16" s="90">
        <v>7384</v>
      </c>
      <c r="G16" s="90">
        <v>5351</v>
      </c>
      <c r="H16" s="90">
        <v>1181.44</v>
      </c>
      <c r="I16" s="90">
        <v>664.56</v>
      </c>
      <c r="J16" s="90">
        <v>36.92</v>
      </c>
      <c r="K16" s="90">
        <v>14.77</v>
      </c>
      <c r="L16" s="90"/>
      <c r="M16" s="90">
        <v>110.76</v>
      </c>
      <c r="N16" s="90">
        <v>375</v>
      </c>
      <c r="O16" s="90">
        <f t="shared" ref="O16:O56" si="0">SUM(H16:N16)</f>
        <v>2383.4499999999998</v>
      </c>
      <c r="P16" s="90">
        <v>590.72</v>
      </c>
      <c r="Q16" s="90">
        <v>147.68</v>
      </c>
      <c r="R16" s="90">
        <v>36.92</v>
      </c>
      <c r="S16" s="90"/>
      <c r="T16" s="90"/>
      <c r="U16" s="90">
        <v>375</v>
      </c>
      <c r="V16" s="90">
        <f t="shared" ref="V16:V56" si="1">SUM(P16:U16)</f>
        <v>1150.3200000000002</v>
      </c>
      <c r="W16" s="90">
        <v>3849.56</v>
      </c>
      <c r="X16" s="90"/>
      <c r="Y16" s="91">
        <f t="shared" ref="Y16:Y55" si="2">SUM(E16,O16,V16:X16)</f>
        <v>7932.33</v>
      </c>
      <c r="AA16" s="89" t="s">
        <v>277</v>
      </c>
      <c r="AB16" s="89" t="s">
        <v>118</v>
      </c>
      <c r="AC16" s="89" t="s">
        <v>278</v>
      </c>
      <c r="AD16" s="92">
        <v>7483.32</v>
      </c>
      <c r="AE16" s="89" t="s">
        <v>279</v>
      </c>
      <c r="AF16" s="92">
        <v>449.01</v>
      </c>
    </row>
    <row r="17" spans="1:32" s="89" customFormat="1" ht="11.4" x14ac:dyDescent="0.25">
      <c r="A17" s="89">
        <v>2</v>
      </c>
      <c r="B17" s="89" t="s">
        <v>157</v>
      </c>
      <c r="C17" s="89" t="s">
        <v>275</v>
      </c>
      <c r="D17" s="89" t="s">
        <v>276</v>
      </c>
      <c r="E17" s="90">
        <v>1230.83</v>
      </c>
      <c r="F17" s="90">
        <v>10751</v>
      </c>
      <c r="G17" s="90">
        <v>10751</v>
      </c>
      <c r="H17" s="90">
        <v>1720.16</v>
      </c>
      <c r="I17" s="90">
        <v>967.6</v>
      </c>
      <c r="J17" s="90">
        <v>53.76</v>
      </c>
      <c r="K17" s="90">
        <v>21.5</v>
      </c>
      <c r="L17" s="90"/>
      <c r="M17" s="90">
        <v>161.27000000000001</v>
      </c>
      <c r="N17" s="90">
        <v>753</v>
      </c>
      <c r="O17" s="90">
        <f t="shared" si="0"/>
        <v>3677.2900000000004</v>
      </c>
      <c r="P17" s="90">
        <v>860.08</v>
      </c>
      <c r="Q17" s="90">
        <v>215.02</v>
      </c>
      <c r="R17" s="90">
        <v>53.76</v>
      </c>
      <c r="S17" s="90"/>
      <c r="T17" s="90"/>
      <c r="U17" s="90">
        <v>753</v>
      </c>
      <c r="V17" s="90">
        <f t="shared" si="1"/>
        <v>1881.8600000000001</v>
      </c>
      <c r="W17" s="90">
        <v>13188.02</v>
      </c>
      <c r="X17" s="90"/>
      <c r="Y17" s="91">
        <f t="shared" si="2"/>
        <v>19978</v>
      </c>
      <c r="AA17" s="89" t="s">
        <v>280</v>
      </c>
      <c r="AB17" s="89" t="s">
        <v>158</v>
      </c>
      <c r="AC17" s="89" t="s">
        <v>278</v>
      </c>
      <c r="AD17" s="92">
        <v>18847.16</v>
      </c>
      <c r="AE17" s="89" t="s">
        <v>279</v>
      </c>
      <c r="AF17" s="92">
        <v>1130.8399999999999</v>
      </c>
    </row>
    <row r="18" spans="1:32" s="89" customFormat="1" ht="11.4" x14ac:dyDescent="0.25">
      <c r="A18" s="89">
        <v>3</v>
      </c>
      <c r="B18" s="89" t="s">
        <v>113</v>
      </c>
      <c r="C18" s="89" t="s">
        <v>275</v>
      </c>
      <c r="D18" s="89" t="s">
        <v>276</v>
      </c>
      <c r="E18" s="90">
        <v>540.03</v>
      </c>
      <c r="F18" s="90">
        <v>7384</v>
      </c>
      <c r="G18" s="90">
        <v>6644</v>
      </c>
      <c r="H18" s="90">
        <v>1181.44</v>
      </c>
      <c r="I18" s="90">
        <v>664.56</v>
      </c>
      <c r="J18" s="90">
        <v>36.92</v>
      </c>
      <c r="K18" s="90">
        <v>14.77</v>
      </c>
      <c r="L18" s="90"/>
      <c r="M18" s="90">
        <v>110.76</v>
      </c>
      <c r="N18" s="90">
        <v>465</v>
      </c>
      <c r="O18" s="90">
        <f t="shared" si="0"/>
        <v>2473.4499999999998</v>
      </c>
      <c r="P18" s="90">
        <v>590.72</v>
      </c>
      <c r="Q18" s="90">
        <v>147.68</v>
      </c>
      <c r="R18" s="90">
        <v>36.92</v>
      </c>
      <c r="S18" s="90"/>
      <c r="T18" s="90"/>
      <c r="U18" s="90">
        <v>465</v>
      </c>
      <c r="V18" s="90">
        <f t="shared" si="1"/>
        <v>1240.3200000000002</v>
      </c>
      <c r="W18" s="90">
        <v>3520</v>
      </c>
      <c r="X18" s="90"/>
      <c r="Y18" s="91">
        <f t="shared" si="2"/>
        <v>7773.7999999999993</v>
      </c>
      <c r="AA18" s="89" t="s">
        <v>281</v>
      </c>
      <c r="AB18" s="89" t="s">
        <v>114</v>
      </c>
      <c r="AC18" s="89" t="s">
        <v>278</v>
      </c>
      <c r="AD18" s="92">
        <v>7333.76</v>
      </c>
      <c r="AE18" s="89" t="s">
        <v>279</v>
      </c>
      <c r="AF18" s="92">
        <v>440.04</v>
      </c>
    </row>
    <row r="19" spans="1:32" s="89" customFormat="1" ht="11.4" x14ac:dyDescent="0.25">
      <c r="A19" s="89">
        <v>4</v>
      </c>
      <c r="B19" s="89" t="s">
        <v>200</v>
      </c>
      <c r="C19" s="89" t="s">
        <v>275</v>
      </c>
      <c r="D19" s="89" t="s">
        <v>282</v>
      </c>
      <c r="E19" s="90">
        <v>615.87</v>
      </c>
      <c r="F19" s="90">
        <v>7384</v>
      </c>
      <c r="G19" s="90">
        <v>2690</v>
      </c>
      <c r="H19" s="90">
        <v>1181.44</v>
      </c>
      <c r="I19" s="90">
        <v>664.56</v>
      </c>
      <c r="J19" s="90">
        <v>36.92</v>
      </c>
      <c r="K19" s="90">
        <v>14.77</v>
      </c>
      <c r="L19" s="90"/>
      <c r="M19" s="90">
        <v>110.76</v>
      </c>
      <c r="N19" s="90">
        <v>188</v>
      </c>
      <c r="O19" s="90">
        <f t="shared" si="0"/>
        <v>2196.4499999999998</v>
      </c>
      <c r="P19" s="90">
        <v>590.72</v>
      </c>
      <c r="Q19" s="90">
        <v>147.68</v>
      </c>
      <c r="R19" s="90">
        <v>36.92</v>
      </c>
      <c r="S19" s="90"/>
      <c r="T19" s="90"/>
      <c r="U19" s="90">
        <v>188</v>
      </c>
      <c r="V19" s="90">
        <f t="shared" si="1"/>
        <v>963.32</v>
      </c>
      <c r="W19" s="90">
        <v>5338.08</v>
      </c>
      <c r="X19" s="90"/>
      <c r="Y19" s="91">
        <f t="shared" si="2"/>
        <v>9113.7199999999993</v>
      </c>
      <c r="AA19" s="89" t="s">
        <v>283</v>
      </c>
      <c r="AB19" s="89" t="s">
        <v>284</v>
      </c>
      <c r="AC19" s="89" t="s">
        <v>278</v>
      </c>
      <c r="AD19" s="92">
        <v>8597.84</v>
      </c>
      <c r="AE19" s="89" t="s">
        <v>279</v>
      </c>
      <c r="AF19" s="92">
        <v>515.88</v>
      </c>
    </row>
    <row r="20" spans="1:32" s="89" customFormat="1" ht="11.4" x14ac:dyDescent="0.25">
      <c r="A20" s="89">
        <v>5</v>
      </c>
      <c r="B20" s="89" t="s">
        <v>109</v>
      </c>
      <c r="C20" s="89" t="s">
        <v>275</v>
      </c>
      <c r="D20" s="89" t="s">
        <v>276</v>
      </c>
      <c r="E20" s="90">
        <v>964.98</v>
      </c>
      <c r="F20" s="90">
        <v>12760</v>
      </c>
      <c r="G20" s="90">
        <v>12760</v>
      </c>
      <c r="H20" s="90">
        <v>2041.6</v>
      </c>
      <c r="I20" s="90">
        <v>1148.4000000000001</v>
      </c>
      <c r="J20" s="90">
        <v>63.8</v>
      </c>
      <c r="K20" s="90">
        <v>25.52</v>
      </c>
      <c r="L20" s="90"/>
      <c r="M20" s="90">
        <v>191.4</v>
      </c>
      <c r="N20" s="90">
        <v>893</v>
      </c>
      <c r="O20" s="90">
        <f t="shared" si="0"/>
        <v>4363.72</v>
      </c>
      <c r="P20" s="90">
        <v>1020.8</v>
      </c>
      <c r="Q20" s="90">
        <v>255.2</v>
      </c>
      <c r="R20" s="90">
        <v>63.8</v>
      </c>
      <c r="S20" s="90"/>
      <c r="T20" s="90"/>
      <c r="U20" s="90">
        <v>893</v>
      </c>
      <c r="V20" s="90">
        <f t="shared" si="1"/>
        <v>2232.8000000000002</v>
      </c>
      <c r="W20" s="90">
        <v>7719.88</v>
      </c>
      <c r="X20" s="90"/>
      <c r="Y20" s="91">
        <f t="shared" si="2"/>
        <v>15281.380000000001</v>
      </c>
      <c r="AA20" s="89" t="s">
        <v>285</v>
      </c>
      <c r="AB20" s="89" t="s">
        <v>110</v>
      </c>
      <c r="AC20" s="89" t="s">
        <v>278</v>
      </c>
      <c r="AD20" s="92">
        <v>14416.4</v>
      </c>
      <c r="AE20" s="89" t="s">
        <v>279</v>
      </c>
      <c r="AF20" s="92">
        <v>864.98</v>
      </c>
    </row>
    <row r="21" spans="1:32" s="89" customFormat="1" ht="11.4" x14ac:dyDescent="0.25">
      <c r="A21" s="89">
        <v>6</v>
      </c>
      <c r="B21" s="89" t="s">
        <v>149</v>
      </c>
      <c r="C21" s="89" t="s">
        <v>275</v>
      </c>
      <c r="D21" s="89" t="s">
        <v>276</v>
      </c>
      <c r="E21" s="90">
        <v>1096.78</v>
      </c>
      <c r="F21" s="90">
        <v>7384</v>
      </c>
      <c r="G21" s="90">
        <v>5109</v>
      </c>
      <c r="H21" s="90">
        <v>1181.44</v>
      </c>
      <c r="I21" s="90">
        <v>664.56</v>
      </c>
      <c r="J21" s="90">
        <v>36.92</v>
      </c>
      <c r="K21" s="90">
        <v>14.77</v>
      </c>
      <c r="L21" s="90"/>
      <c r="M21" s="90">
        <v>110.76</v>
      </c>
      <c r="N21" s="90">
        <v>358</v>
      </c>
      <c r="O21" s="90">
        <f t="shared" si="0"/>
        <v>2366.4499999999998</v>
      </c>
      <c r="P21" s="90">
        <v>590.72</v>
      </c>
      <c r="Q21" s="90">
        <v>147.68</v>
      </c>
      <c r="R21" s="90">
        <v>36.92</v>
      </c>
      <c r="S21" s="90"/>
      <c r="T21" s="90"/>
      <c r="U21" s="90">
        <v>358</v>
      </c>
      <c r="V21" s="90">
        <f t="shared" si="1"/>
        <v>1133.3200000000002</v>
      </c>
      <c r="W21" s="90">
        <v>13013.2</v>
      </c>
      <c r="X21" s="90"/>
      <c r="Y21" s="91">
        <f t="shared" si="2"/>
        <v>17609.75</v>
      </c>
      <c r="AA21" s="89" t="s">
        <v>286</v>
      </c>
      <c r="AB21" s="89" t="s">
        <v>150</v>
      </c>
      <c r="AC21" s="89" t="s">
        <v>278</v>
      </c>
      <c r="AD21" s="92">
        <v>16612.96</v>
      </c>
      <c r="AE21" s="89" t="s">
        <v>279</v>
      </c>
      <c r="AF21" s="92">
        <v>996.79</v>
      </c>
    </row>
    <row r="22" spans="1:32" s="89" customFormat="1" ht="11.4" x14ac:dyDescent="0.25">
      <c r="A22" s="89">
        <v>7</v>
      </c>
      <c r="B22" s="89" t="s">
        <v>143</v>
      </c>
      <c r="C22" s="89" t="s">
        <v>275</v>
      </c>
      <c r="D22" s="89" t="s">
        <v>276</v>
      </c>
      <c r="E22" s="90">
        <v>1226.04</v>
      </c>
      <c r="F22" s="90">
        <v>13877</v>
      </c>
      <c r="G22" s="90">
        <v>13877</v>
      </c>
      <c r="H22" s="90">
        <v>2220.3200000000002</v>
      </c>
      <c r="I22" s="90">
        <v>1248.94</v>
      </c>
      <c r="J22" s="90">
        <v>69.39</v>
      </c>
      <c r="K22" s="90">
        <v>27.75</v>
      </c>
      <c r="L22" s="90"/>
      <c r="M22" s="90">
        <v>208.16</v>
      </c>
      <c r="N22" s="90">
        <v>971</v>
      </c>
      <c r="O22" s="90">
        <f t="shared" si="0"/>
        <v>4745.5599999999995</v>
      </c>
      <c r="P22" s="90">
        <v>1110.1600000000001</v>
      </c>
      <c r="Q22" s="90">
        <v>277.54000000000002</v>
      </c>
      <c r="R22" s="90">
        <v>69.39</v>
      </c>
      <c r="S22" s="90"/>
      <c r="T22" s="90"/>
      <c r="U22" s="90">
        <v>971</v>
      </c>
      <c r="V22" s="90">
        <f t="shared" si="1"/>
        <v>2428.09</v>
      </c>
      <c r="W22" s="90">
        <v>11493.59</v>
      </c>
      <c r="X22" s="90"/>
      <c r="Y22" s="91">
        <f t="shared" si="2"/>
        <v>19893.28</v>
      </c>
      <c r="AA22" s="89" t="s">
        <v>287</v>
      </c>
      <c r="AB22" s="89" t="s">
        <v>144</v>
      </c>
      <c r="AC22" s="89" t="s">
        <v>278</v>
      </c>
      <c r="AD22" s="92">
        <v>18767.240000000002</v>
      </c>
      <c r="AE22" s="89" t="s">
        <v>279</v>
      </c>
      <c r="AF22" s="92">
        <v>1126.04</v>
      </c>
    </row>
    <row r="23" spans="1:32" s="89" customFormat="1" ht="11.4" x14ac:dyDescent="0.25">
      <c r="A23" s="89">
        <v>8</v>
      </c>
      <c r="B23" s="89" t="s">
        <v>137</v>
      </c>
      <c r="C23" s="89" t="s">
        <v>275</v>
      </c>
      <c r="D23" s="89" t="s">
        <v>276</v>
      </c>
      <c r="E23" s="90">
        <v>525.27</v>
      </c>
      <c r="F23" s="90">
        <v>7384</v>
      </c>
      <c r="G23" s="90">
        <v>4880</v>
      </c>
      <c r="H23" s="90">
        <v>1181.44</v>
      </c>
      <c r="I23" s="90">
        <v>664.56</v>
      </c>
      <c r="J23" s="90">
        <v>36.92</v>
      </c>
      <c r="K23" s="90">
        <v>14.77</v>
      </c>
      <c r="L23" s="90"/>
      <c r="M23" s="90">
        <v>110.76</v>
      </c>
      <c r="N23" s="90">
        <v>342</v>
      </c>
      <c r="O23" s="90">
        <f t="shared" si="0"/>
        <v>2350.4499999999998</v>
      </c>
      <c r="P23" s="90">
        <v>590.72</v>
      </c>
      <c r="Q23" s="90">
        <v>147.68</v>
      </c>
      <c r="R23" s="90">
        <v>36.92</v>
      </c>
      <c r="S23" s="90"/>
      <c r="T23" s="90"/>
      <c r="U23" s="90">
        <v>342</v>
      </c>
      <c r="V23" s="90">
        <f t="shared" si="1"/>
        <v>1117.3200000000002</v>
      </c>
      <c r="W23" s="90">
        <v>3520</v>
      </c>
      <c r="X23" s="90"/>
      <c r="Y23" s="91">
        <f t="shared" si="2"/>
        <v>7513.04</v>
      </c>
      <c r="AA23" s="89" t="s">
        <v>288</v>
      </c>
      <c r="AB23" s="89" t="s">
        <v>138</v>
      </c>
      <c r="AC23" s="89" t="s">
        <v>278</v>
      </c>
      <c r="AD23" s="92">
        <v>7087.76</v>
      </c>
      <c r="AE23" s="89" t="s">
        <v>279</v>
      </c>
      <c r="AF23" s="92">
        <v>425.28</v>
      </c>
    </row>
    <row r="24" spans="1:32" s="89" customFormat="1" ht="11.4" x14ac:dyDescent="0.25">
      <c r="A24" s="89">
        <v>9</v>
      </c>
      <c r="B24" s="89" t="s">
        <v>129</v>
      </c>
      <c r="C24" s="89" t="s">
        <v>275</v>
      </c>
      <c r="D24" s="89" t="s">
        <v>276</v>
      </c>
      <c r="E24" s="90">
        <v>440.55</v>
      </c>
      <c r="F24" s="90">
        <v>7384</v>
      </c>
      <c r="G24" s="90">
        <v>4570</v>
      </c>
      <c r="H24" s="90">
        <v>1181.44</v>
      </c>
      <c r="I24" s="90">
        <v>664.56</v>
      </c>
      <c r="J24" s="90">
        <v>36.92</v>
      </c>
      <c r="K24" s="90">
        <v>14.77</v>
      </c>
      <c r="L24" s="90"/>
      <c r="M24" s="90">
        <v>110.76</v>
      </c>
      <c r="N24" s="90">
        <v>320</v>
      </c>
      <c r="O24" s="90">
        <f t="shared" si="0"/>
        <v>2328.4499999999998</v>
      </c>
      <c r="P24" s="90">
        <v>590.72</v>
      </c>
      <c r="Q24" s="90">
        <v>147.68</v>
      </c>
      <c r="R24" s="90">
        <v>36.92</v>
      </c>
      <c r="S24" s="90"/>
      <c r="T24" s="90"/>
      <c r="U24" s="90">
        <v>320</v>
      </c>
      <c r="V24" s="90">
        <f t="shared" si="1"/>
        <v>1095.3200000000002</v>
      </c>
      <c r="W24" s="90">
        <v>2152</v>
      </c>
      <c r="X24" s="90"/>
      <c r="Y24" s="91">
        <f t="shared" si="2"/>
        <v>6016.32</v>
      </c>
      <c r="AA24" s="89" t="s">
        <v>289</v>
      </c>
      <c r="AB24" s="89" t="s">
        <v>130</v>
      </c>
      <c r="AC24" s="89" t="s">
        <v>278</v>
      </c>
      <c r="AD24" s="92">
        <v>5675.76</v>
      </c>
      <c r="AE24" s="89" t="s">
        <v>279</v>
      </c>
      <c r="AF24" s="92">
        <v>340.56</v>
      </c>
    </row>
    <row r="25" spans="1:32" s="89" customFormat="1" ht="11.4" x14ac:dyDescent="0.25">
      <c r="A25" s="89">
        <v>10</v>
      </c>
      <c r="B25" s="89" t="s">
        <v>218</v>
      </c>
      <c r="C25" s="89" t="s">
        <v>275</v>
      </c>
      <c r="D25" s="89" t="s">
        <v>276</v>
      </c>
      <c r="E25" s="90">
        <v>300</v>
      </c>
      <c r="F25" s="90"/>
      <c r="G25" s="90"/>
      <c r="H25" s="90"/>
      <c r="I25" s="90"/>
      <c r="J25" s="90"/>
      <c r="K25" s="90"/>
      <c r="L25" s="90"/>
      <c r="M25" s="90"/>
      <c r="N25" s="90"/>
      <c r="O25" s="90">
        <f t="shared" si="0"/>
        <v>0</v>
      </c>
      <c r="P25" s="90"/>
      <c r="Q25" s="90"/>
      <c r="R25" s="90"/>
      <c r="S25" s="90"/>
      <c r="T25" s="90"/>
      <c r="U25" s="90"/>
      <c r="V25" s="90">
        <f t="shared" si="1"/>
        <v>0</v>
      </c>
      <c r="W25" s="90">
        <v>5000</v>
      </c>
      <c r="X25" s="90"/>
      <c r="Y25" s="91">
        <f t="shared" si="2"/>
        <v>5300</v>
      </c>
      <c r="AA25" s="89" t="s">
        <v>290</v>
      </c>
      <c r="AB25" s="89" t="s">
        <v>219</v>
      </c>
      <c r="AC25" s="89" t="s">
        <v>278</v>
      </c>
      <c r="AD25" s="92">
        <v>5000</v>
      </c>
      <c r="AE25" s="89" t="s">
        <v>279</v>
      </c>
      <c r="AF25" s="92">
        <v>300</v>
      </c>
    </row>
    <row r="26" spans="1:32" s="89" customFormat="1" ht="11.4" x14ac:dyDescent="0.25">
      <c r="A26" s="89">
        <v>11</v>
      </c>
      <c r="B26" s="89" t="s">
        <v>139</v>
      </c>
      <c r="C26" s="89" t="s">
        <v>275</v>
      </c>
      <c r="D26" s="89" t="s">
        <v>276</v>
      </c>
      <c r="E26" s="90">
        <v>521.79</v>
      </c>
      <c r="F26" s="90">
        <v>7384</v>
      </c>
      <c r="G26" s="90">
        <v>4467</v>
      </c>
      <c r="H26" s="90">
        <v>1181.44</v>
      </c>
      <c r="I26" s="90">
        <v>664.56</v>
      </c>
      <c r="J26" s="90">
        <v>36.92</v>
      </c>
      <c r="K26" s="90">
        <v>14.77</v>
      </c>
      <c r="L26" s="90"/>
      <c r="M26" s="90">
        <v>110.76</v>
      </c>
      <c r="N26" s="90">
        <v>313</v>
      </c>
      <c r="O26" s="90">
        <f t="shared" si="0"/>
        <v>2321.4499999999998</v>
      </c>
      <c r="P26" s="90">
        <v>590.72</v>
      </c>
      <c r="Q26" s="90">
        <v>147.68</v>
      </c>
      <c r="R26" s="90">
        <v>36.92</v>
      </c>
      <c r="S26" s="90"/>
      <c r="T26" s="90"/>
      <c r="U26" s="90">
        <v>313</v>
      </c>
      <c r="V26" s="90">
        <f t="shared" si="1"/>
        <v>1088.3200000000002</v>
      </c>
      <c r="W26" s="90">
        <v>3520</v>
      </c>
      <c r="X26" s="90"/>
      <c r="Y26" s="91">
        <f t="shared" si="2"/>
        <v>7451.5599999999995</v>
      </c>
      <c r="AA26" s="89" t="s">
        <v>291</v>
      </c>
      <c r="AB26" s="89" t="s">
        <v>140</v>
      </c>
      <c r="AC26" s="89" t="s">
        <v>278</v>
      </c>
      <c r="AD26" s="92">
        <v>7029.76</v>
      </c>
      <c r="AE26" s="89" t="s">
        <v>279</v>
      </c>
      <c r="AF26" s="92">
        <v>421.8</v>
      </c>
    </row>
    <row r="27" spans="1:32" s="89" customFormat="1" ht="11.4" x14ac:dyDescent="0.25">
      <c r="A27" s="89">
        <v>12</v>
      </c>
      <c r="B27" s="89" t="s">
        <v>147</v>
      </c>
      <c r="C27" s="89" t="s">
        <v>275</v>
      </c>
      <c r="D27" s="89" t="s">
        <v>276</v>
      </c>
      <c r="E27" s="90">
        <v>987.56999999999994</v>
      </c>
      <c r="F27" s="90">
        <v>8677</v>
      </c>
      <c r="G27" s="90">
        <v>8677</v>
      </c>
      <c r="H27" s="90">
        <v>1388.32</v>
      </c>
      <c r="I27" s="90">
        <v>780.94</v>
      </c>
      <c r="J27" s="90">
        <v>43.39</v>
      </c>
      <c r="K27" s="90">
        <v>17.350000000000001</v>
      </c>
      <c r="L27" s="90"/>
      <c r="M27" s="90">
        <v>130.16</v>
      </c>
      <c r="N27" s="90">
        <v>607</v>
      </c>
      <c r="O27" s="90">
        <f t="shared" si="0"/>
        <v>2967.16</v>
      </c>
      <c r="P27" s="90">
        <v>694.16</v>
      </c>
      <c r="Q27" s="90">
        <v>173.54</v>
      </c>
      <c r="R27" s="90">
        <v>43.39</v>
      </c>
      <c r="S27" s="90"/>
      <c r="T27" s="90"/>
      <c r="U27" s="90">
        <v>607</v>
      </c>
      <c r="V27" s="90">
        <f t="shared" si="1"/>
        <v>1518.09</v>
      </c>
      <c r="W27" s="90">
        <v>10207.469999999999</v>
      </c>
      <c r="X27" s="90"/>
      <c r="Y27" s="91">
        <f t="shared" si="2"/>
        <v>15680.289999999999</v>
      </c>
      <c r="AA27" s="89" t="s">
        <v>292</v>
      </c>
      <c r="AB27" s="89" t="s">
        <v>148</v>
      </c>
      <c r="AC27" s="89" t="s">
        <v>278</v>
      </c>
      <c r="AD27" s="92">
        <v>14792.73</v>
      </c>
      <c r="AE27" s="89" t="s">
        <v>279</v>
      </c>
      <c r="AF27" s="92">
        <v>887.56</v>
      </c>
    </row>
    <row r="28" spans="1:32" s="89" customFormat="1" ht="11.4" x14ac:dyDescent="0.25">
      <c r="A28" s="89">
        <v>13</v>
      </c>
      <c r="B28" s="89" t="s">
        <v>125</v>
      </c>
      <c r="C28" s="89" t="s">
        <v>275</v>
      </c>
      <c r="D28" s="89" t="s">
        <v>276</v>
      </c>
      <c r="E28" s="90">
        <v>635.41999999999996</v>
      </c>
      <c r="F28" s="90">
        <v>7384</v>
      </c>
      <c r="G28" s="90">
        <v>7189</v>
      </c>
      <c r="H28" s="90">
        <v>1181.44</v>
      </c>
      <c r="I28" s="90">
        <v>664.56</v>
      </c>
      <c r="J28" s="90">
        <v>36.92</v>
      </c>
      <c r="K28" s="90">
        <v>14.77</v>
      </c>
      <c r="L28" s="90"/>
      <c r="M28" s="90">
        <v>110.76</v>
      </c>
      <c r="N28" s="90">
        <v>503</v>
      </c>
      <c r="O28" s="90">
        <f t="shared" si="0"/>
        <v>2511.4499999999998</v>
      </c>
      <c r="P28" s="90">
        <v>590.72</v>
      </c>
      <c r="Q28" s="90">
        <v>147.68</v>
      </c>
      <c r="R28" s="90">
        <v>36.92</v>
      </c>
      <c r="S28" s="90"/>
      <c r="T28" s="90"/>
      <c r="U28" s="90">
        <v>503</v>
      </c>
      <c r="V28" s="90">
        <f t="shared" si="1"/>
        <v>1278.3200000000002</v>
      </c>
      <c r="W28" s="90">
        <v>5033.88</v>
      </c>
      <c r="X28" s="90"/>
      <c r="Y28" s="91">
        <f t="shared" si="2"/>
        <v>9459.07</v>
      </c>
      <c r="AA28" s="89" t="s">
        <v>293</v>
      </c>
      <c r="AB28" s="89" t="s">
        <v>126</v>
      </c>
      <c r="AC28" s="89" t="s">
        <v>278</v>
      </c>
      <c r="AD28" s="92">
        <v>8923.64</v>
      </c>
      <c r="AE28" s="89" t="s">
        <v>279</v>
      </c>
      <c r="AF28" s="92">
        <v>535.42999999999995</v>
      </c>
    </row>
    <row r="29" spans="1:32" s="89" customFormat="1" ht="11.4" x14ac:dyDescent="0.25">
      <c r="A29" s="89">
        <v>14</v>
      </c>
      <c r="B29" s="89" t="s">
        <v>145</v>
      </c>
      <c r="C29" s="89" t="s">
        <v>275</v>
      </c>
      <c r="D29" s="89" t="s">
        <v>276</v>
      </c>
      <c r="E29" s="90">
        <v>1012.49</v>
      </c>
      <c r="F29" s="90">
        <v>8878</v>
      </c>
      <c r="G29" s="90">
        <v>8878</v>
      </c>
      <c r="H29" s="90">
        <v>1420.48</v>
      </c>
      <c r="I29" s="90">
        <v>799.02</v>
      </c>
      <c r="J29" s="90">
        <v>44.39</v>
      </c>
      <c r="K29" s="90">
        <v>17.760000000000002</v>
      </c>
      <c r="L29" s="90"/>
      <c r="M29" s="90">
        <v>133.16999999999999</v>
      </c>
      <c r="N29" s="90">
        <v>621</v>
      </c>
      <c r="O29" s="90">
        <f t="shared" si="0"/>
        <v>3035.82</v>
      </c>
      <c r="P29" s="90">
        <v>710.24</v>
      </c>
      <c r="Q29" s="90">
        <v>177.56</v>
      </c>
      <c r="R29" s="90">
        <v>44.39</v>
      </c>
      <c r="S29" s="90"/>
      <c r="T29" s="90"/>
      <c r="U29" s="90">
        <v>621</v>
      </c>
      <c r="V29" s="90">
        <f t="shared" si="1"/>
        <v>1553.19</v>
      </c>
      <c r="W29" s="90">
        <v>10519.17</v>
      </c>
      <c r="X29" s="90"/>
      <c r="Y29" s="91">
        <f t="shared" si="2"/>
        <v>16120.67</v>
      </c>
      <c r="AA29" s="89" t="s">
        <v>294</v>
      </c>
      <c r="AB29" s="89" t="s">
        <v>146</v>
      </c>
      <c r="AC29" s="89" t="s">
        <v>278</v>
      </c>
      <c r="AD29" s="92">
        <v>15208.19</v>
      </c>
      <c r="AE29" s="89" t="s">
        <v>279</v>
      </c>
      <c r="AF29" s="92">
        <v>912.48</v>
      </c>
    </row>
    <row r="30" spans="1:32" s="89" customFormat="1" ht="11.4" x14ac:dyDescent="0.25">
      <c r="A30" s="89">
        <v>15</v>
      </c>
      <c r="B30" s="89" t="s">
        <v>295</v>
      </c>
      <c r="C30" s="89" t="s">
        <v>275</v>
      </c>
      <c r="D30" s="89" t="s">
        <v>296</v>
      </c>
      <c r="E30" s="90">
        <v>923.19</v>
      </c>
      <c r="F30" s="90">
        <v>7384</v>
      </c>
      <c r="G30" s="90">
        <v>5493</v>
      </c>
      <c r="H30" s="90">
        <v>1181.44</v>
      </c>
      <c r="I30" s="90">
        <v>664.56</v>
      </c>
      <c r="J30" s="90">
        <v>36.92</v>
      </c>
      <c r="K30" s="90">
        <v>14.77</v>
      </c>
      <c r="L30" s="90"/>
      <c r="M30" s="90">
        <v>110.76</v>
      </c>
      <c r="N30" s="90">
        <v>385</v>
      </c>
      <c r="O30" s="90">
        <f t="shared" si="0"/>
        <v>2393.4499999999998</v>
      </c>
      <c r="P30" s="90">
        <v>590.72</v>
      </c>
      <c r="Q30" s="90">
        <v>147.68</v>
      </c>
      <c r="R30" s="90">
        <v>36.92</v>
      </c>
      <c r="S30" s="90"/>
      <c r="T30" s="90"/>
      <c r="U30" s="90">
        <v>385</v>
      </c>
      <c r="V30" s="90">
        <f t="shared" si="1"/>
        <v>1160.3200000000002</v>
      </c>
      <c r="W30" s="90">
        <v>10065.92</v>
      </c>
      <c r="X30" s="90"/>
      <c r="Y30" s="91">
        <f t="shared" si="2"/>
        <v>14542.880000000001</v>
      </c>
      <c r="AA30" s="89" t="s">
        <v>297</v>
      </c>
      <c r="AB30" s="89" t="s">
        <v>298</v>
      </c>
      <c r="AC30" s="89" t="s">
        <v>278</v>
      </c>
      <c r="AD30" s="92">
        <v>13719.68</v>
      </c>
      <c r="AE30" s="89" t="s">
        <v>279</v>
      </c>
      <c r="AF30" s="92">
        <v>823.2</v>
      </c>
    </row>
    <row r="31" spans="1:32" s="89" customFormat="1" ht="11.4" x14ac:dyDescent="0.25">
      <c r="A31" s="89">
        <v>16</v>
      </c>
      <c r="B31" s="89" t="s">
        <v>135</v>
      </c>
      <c r="C31" s="89" t="s">
        <v>275</v>
      </c>
      <c r="D31" s="89" t="s">
        <v>276</v>
      </c>
      <c r="E31" s="90">
        <v>543.27</v>
      </c>
      <c r="F31" s="90">
        <v>7384</v>
      </c>
      <c r="G31" s="90">
        <v>7034</v>
      </c>
      <c r="H31" s="90">
        <v>1181.44</v>
      </c>
      <c r="I31" s="90">
        <v>664.56</v>
      </c>
      <c r="J31" s="90">
        <v>36.92</v>
      </c>
      <c r="K31" s="90">
        <v>14.77</v>
      </c>
      <c r="L31" s="90"/>
      <c r="M31" s="90">
        <v>110.76</v>
      </c>
      <c r="N31" s="90">
        <v>492</v>
      </c>
      <c r="O31" s="90">
        <f t="shared" si="0"/>
        <v>2500.4499999999998</v>
      </c>
      <c r="P31" s="90">
        <v>590.72</v>
      </c>
      <c r="Q31" s="90">
        <v>147.68</v>
      </c>
      <c r="R31" s="90">
        <v>36.92</v>
      </c>
      <c r="S31" s="90"/>
      <c r="T31" s="90"/>
      <c r="U31" s="90">
        <v>492</v>
      </c>
      <c r="V31" s="90">
        <f t="shared" si="1"/>
        <v>1267.3200000000002</v>
      </c>
      <c r="W31" s="90">
        <v>3520</v>
      </c>
      <c r="X31" s="90"/>
      <c r="Y31" s="91">
        <f t="shared" si="2"/>
        <v>7831.04</v>
      </c>
      <c r="AA31" s="89" t="s">
        <v>299</v>
      </c>
      <c r="AB31" s="89" t="s">
        <v>136</v>
      </c>
      <c r="AC31" s="89" t="s">
        <v>278</v>
      </c>
      <c r="AD31" s="92">
        <v>7387.76</v>
      </c>
      <c r="AE31" s="89" t="s">
        <v>279</v>
      </c>
      <c r="AF31" s="92">
        <v>443.28</v>
      </c>
    </row>
    <row r="32" spans="1:32" s="89" customFormat="1" ht="11.4" x14ac:dyDescent="0.25">
      <c r="A32" s="89">
        <v>17</v>
      </c>
      <c r="B32" s="89" t="s">
        <v>100</v>
      </c>
      <c r="C32" s="89" t="s">
        <v>275</v>
      </c>
      <c r="D32" s="89" t="s">
        <v>300</v>
      </c>
      <c r="E32" s="90">
        <v>506.79</v>
      </c>
      <c r="F32" s="90">
        <v>7384</v>
      </c>
      <c r="G32" s="90">
        <v>2690</v>
      </c>
      <c r="H32" s="90">
        <v>1181.44</v>
      </c>
      <c r="I32" s="90">
        <v>664.56</v>
      </c>
      <c r="J32" s="90">
        <v>36.92</v>
      </c>
      <c r="K32" s="90">
        <v>14.77</v>
      </c>
      <c r="L32" s="90"/>
      <c r="M32" s="90">
        <v>110.76</v>
      </c>
      <c r="N32" s="90">
        <v>188</v>
      </c>
      <c r="O32" s="90">
        <f t="shared" si="0"/>
        <v>2196.4499999999998</v>
      </c>
      <c r="P32" s="90">
        <v>590.72</v>
      </c>
      <c r="Q32" s="90">
        <v>147.68</v>
      </c>
      <c r="R32" s="90">
        <v>36.92</v>
      </c>
      <c r="S32" s="90"/>
      <c r="T32" s="90"/>
      <c r="U32" s="90">
        <v>188</v>
      </c>
      <c r="V32" s="90">
        <f t="shared" si="1"/>
        <v>963.32</v>
      </c>
      <c r="W32" s="90">
        <v>3520</v>
      </c>
      <c r="X32" s="90"/>
      <c r="Y32" s="91">
        <f t="shared" si="2"/>
        <v>7186.5599999999995</v>
      </c>
      <c r="AA32" s="89" t="s">
        <v>301</v>
      </c>
      <c r="AB32" s="89" t="s">
        <v>98</v>
      </c>
      <c r="AC32" s="89" t="s">
        <v>278</v>
      </c>
      <c r="AD32" s="92">
        <v>6779.76</v>
      </c>
      <c r="AE32" s="89" t="s">
        <v>279</v>
      </c>
      <c r="AF32" s="92">
        <v>406.8</v>
      </c>
    </row>
    <row r="33" spans="1:32" s="89" customFormat="1" ht="11.4" x14ac:dyDescent="0.25">
      <c r="A33" s="89">
        <v>18</v>
      </c>
      <c r="B33" s="89" t="s">
        <v>115</v>
      </c>
      <c r="C33" s="89" t="s">
        <v>275</v>
      </c>
      <c r="D33" s="89" t="s">
        <v>276</v>
      </c>
      <c r="E33" s="90">
        <v>624.72</v>
      </c>
      <c r="F33" s="90">
        <v>7384</v>
      </c>
      <c r="G33" s="90">
        <v>5300</v>
      </c>
      <c r="H33" s="90">
        <v>1181.44</v>
      </c>
      <c r="I33" s="90">
        <v>664.56</v>
      </c>
      <c r="J33" s="90">
        <v>36.92</v>
      </c>
      <c r="K33" s="90">
        <v>14.77</v>
      </c>
      <c r="L33" s="90"/>
      <c r="M33" s="90">
        <v>110.76</v>
      </c>
      <c r="N33" s="90">
        <v>371</v>
      </c>
      <c r="O33" s="90">
        <f t="shared" si="0"/>
        <v>2379.4499999999998</v>
      </c>
      <c r="P33" s="90">
        <v>590.72</v>
      </c>
      <c r="Q33" s="90">
        <v>147.68</v>
      </c>
      <c r="R33" s="90">
        <v>36.92</v>
      </c>
      <c r="S33" s="90"/>
      <c r="T33" s="90"/>
      <c r="U33" s="90">
        <v>371</v>
      </c>
      <c r="V33" s="90">
        <f t="shared" si="1"/>
        <v>1146.3200000000002</v>
      </c>
      <c r="W33" s="90">
        <v>5119.4799999999996</v>
      </c>
      <c r="X33" s="90"/>
      <c r="Y33" s="91">
        <f t="shared" si="2"/>
        <v>9269.9699999999993</v>
      </c>
      <c r="AA33" s="89" t="s">
        <v>302</v>
      </c>
      <c r="AB33" s="89" t="s">
        <v>116</v>
      </c>
      <c r="AC33" s="89" t="s">
        <v>278</v>
      </c>
      <c r="AD33" s="92">
        <v>8745.24</v>
      </c>
      <c r="AE33" s="89" t="s">
        <v>279</v>
      </c>
      <c r="AF33" s="92">
        <v>524.73</v>
      </c>
    </row>
    <row r="34" spans="1:32" s="89" customFormat="1" ht="11.4" x14ac:dyDescent="0.25">
      <c r="A34" s="89">
        <v>19</v>
      </c>
      <c r="B34" s="89" t="s">
        <v>121</v>
      </c>
      <c r="C34" s="89" t="s">
        <v>275</v>
      </c>
      <c r="D34" s="89" t="s">
        <v>276</v>
      </c>
      <c r="E34" s="90">
        <v>551.6</v>
      </c>
      <c r="F34" s="90">
        <v>7556</v>
      </c>
      <c r="G34" s="90">
        <v>7556</v>
      </c>
      <c r="H34" s="90">
        <v>1208.96</v>
      </c>
      <c r="I34" s="90">
        <v>680.04</v>
      </c>
      <c r="J34" s="90">
        <v>37.78</v>
      </c>
      <c r="K34" s="90">
        <v>15.11</v>
      </c>
      <c r="L34" s="90"/>
      <c r="M34" s="90">
        <v>113.34</v>
      </c>
      <c r="N34" s="90">
        <v>529</v>
      </c>
      <c r="O34" s="90">
        <f t="shared" si="0"/>
        <v>2584.23</v>
      </c>
      <c r="P34" s="90">
        <v>604.48</v>
      </c>
      <c r="Q34" s="90">
        <v>151.12</v>
      </c>
      <c r="R34" s="90">
        <v>37.78</v>
      </c>
      <c r="S34" s="90"/>
      <c r="T34" s="90"/>
      <c r="U34" s="90">
        <v>529</v>
      </c>
      <c r="V34" s="90">
        <f t="shared" si="1"/>
        <v>1322.38</v>
      </c>
      <c r="W34" s="90">
        <v>3520</v>
      </c>
      <c r="X34" s="90"/>
      <c r="Y34" s="91">
        <f t="shared" si="2"/>
        <v>7978.21</v>
      </c>
      <c r="AA34" s="89" t="s">
        <v>303</v>
      </c>
      <c r="AB34" s="89" t="s">
        <v>122</v>
      </c>
      <c r="AC34" s="89" t="s">
        <v>278</v>
      </c>
      <c r="AD34" s="92">
        <v>7526.6</v>
      </c>
      <c r="AE34" s="89" t="s">
        <v>279</v>
      </c>
      <c r="AF34" s="92">
        <v>451.61</v>
      </c>
    </row>
    <row r="35" spans="1:32" s="89" customFormat="1" ht="11.4" x14ac:dyDescent="0.25">
      <c r="A35" s="89">
        <v>20</v>
      </c>
      <c r="B35" s="89" t="s">
        <v>163</v>
      </c>
      <c r="C35" s="89" t="s">
        <v>275</v>
      </c>
      <c r="D35" s="89" t="s">
        <v>276</v>
      </c>
      <c r="E35" s="90">
        <v>550.11</v>
      </c>
      <c r="F35" s="90">
        <v>7384</v>
      </c>
      <c r="G35" s="90">
        <v>2690</v>
      </c>
      <c r="H35" s="90">
        <v>1181.44</v>
      </c>
      <c r="I35" s="90">
        <v>664.56</v>
      </c>
      <c r="J35" s="90">
        <v>36.92</v>
      </c>
      <c r="K35" s="90">
        <v>14.77</v>
      </c>
      <c r="L35" s="90"/>
      <c r="M35" s="90">
        <v>110.76</v>
      </c>
      <c r="N35" s="90">
        <v>188</v>
      </c>
      <c r="O35" s="90">
        <f t="shared" si="0"/>
        <v>2196.4499999999998</v>
      </c>
      <c r="P35" s="90">
        <v>590.72</v>
      </c>
      <c r="Q35" s="90">
        <v>147.68</v>
      </c>
      <c r="R35" s="90">
        <v>36.92</v>
      </c>
      <c r="S35" s="90"/>
      <c r="T35" s="90"/>
      <c r="U35" s="90">
        <v>188</v>
      </c>
      <c r="V35" s="90">
        <f t="shared" si="1"/>
        <v>963.32</v>
      </c>
      <c r="W35" s="90">
        <v>4242.08</v>
      </c>
      <c r="X35" s="90"/>
      <c r="Y35" s="91">
        <f t="shared" si="2"/>
        <v>7951.96</v>
      </c>
      <c r="AA35" s="89" t="s">
        <v>304</v>
      </c>
      <c r="AB35" s="89" t="s">
        <v>164</v>
      </c>
      <c r="AC35" s="89" t="s">
        <v>278</v>
      </c>
      <c r="AD35" s="92">
        <v>7501.84</v>
      </c>
      <c r="AE35" s="89" t="s">
        <v>279</v>
      </c>
      <c r="AF35" s="92">
        <v>450.12</v>
      </c>
    </row>
    <row r="36" spans="1:32" s="89" customFormat="1" ht="11.4" x14ac:dyDescent="0.25">
      <c r="A36" s="89">
        <v>21</v>
      </c>
      <c r="B36" s="89" t="s">
        <v>141</v>
      </c>
      <c r="C36" s="89" t="s">
        <v>275</v>
      </c>
      <c r="D36" s="89" t="s">
        <v>276</v>
      </c>
      <c r="E36" s="90">
        <v>521.91</v>
      </c>
      <c r="F36" s="90">
        <v>7384</v>
      </c>
      <c r="G36" s="90">
        <v>4492</v>
      </c>
      <c r="H36" s="90">
        <v>1181.44</v>
      </c>
      <c r="I36" s="90">
        <v>664.56</v>
      </c>
      <c r="J36" s="90">
        <v>36.92</v>
      </c>
      <c r="K36" s="90">
        <v>14.77</v>
      </c>
      <c r="L36" s="90"/>
      <c r="M36" s="90">
        <v>110.76</v>
      </c>
      <c r="N36" s="90">
        <v>314</v>
      </c>
      <c r="O36" s="90">
        <f t="shared" si="0"/>
        <v>2322.4499999999998</v>
      </c>
      <c r="P36" s="90">
        <v>590.72</v>
      </c>
      <c r="Q36" s="90">
        <v>147.68</v>
      </c>
      <c r="R36" s="90">
        <v>36.92</v>
      </c>
      <c r="S36" s="90"/>
      <c r="T36" s="90"/>
      <c r="U36" s="90">
        <v>314</v>
      </c>
      <c r="V36" s="90">
        <f t="shared" si="1"/>
        <v>1089.3200000000002</v>
      </c>
      <c r="W36" s="90">
        <v>3520</v>
      </c>
      <c r="X36" s="90"/>
      <c r="Y36" s="91">
        <f t="shared" si="2"/>
        <v>7453.68</v>
      </c>
      <c r="AA36" s="89" t="s">
        <v>305</v>
      </c>
      <c r="AB36" s="89" t="s">
        <v>142</v>
      </c>
      <c r="AC36" s="89" t="s">
        <v>278</v>
      </c>
      <c r="AD36" s="92">
        <v>7031.76</v>
      </c>
      <c r="AE36" s="89" t="s">
        <v>279</v>
      </c>
      <c r="AF36" s="92">
        <v>421.92</v>
      </c>
    </row>
    <row r="37" spans="1:32" s="89" customFormat="1" ht="11.4" x14ac:dyDescent="0.25">
      <c r="A37" s="89">
        <v>22</v>
      </c>
      <c r="B37" s="89" t="s">
        <v>133</v>
      </c>
      <c r="C37" s="89" t="s">
        <v>275</v>
      </c>
      <c r="D37" s="89" t="s">
        <v>276</v>
      </c>
      <c r="E37" s="90">
        <v>866.93000000000006</v>
      </c>
      <c r="F37" s="90">
        <v>7384</v>
      </c>
      <c r="G37" s="90">
        <v>6353</v>
      </c>
      <c r="H37" s="90">
        <v>1181.44</v>
      </c>
      <c r="I37" s="90">
        <v>664.56</v>
      </c>
      <c r="J37" s="90">
        <v>36.92</v>
      </c>
      <c r="K37" s="90">
        <v>14.77</v>
      </c>
      <c r="L37" s="90"/>
      <c r="M37" s="90">
        <v>110.76</v>
      </c>
      <c r="N37" s="90">
        <v>445</v>
      </c>
      <c r="O37" s="90">
        <f t="shared" si="0"/>
        <v>2453.4499999999998</v>
      </c>
      <c r="P37" s="90">
        <v>590.72</v>
      </c>
      <c r="Q37" s="90">
        <v>147.68</v>
      </c>
      <c r="R37" s="90">
        <v>36.92</v>
      </c>
      <c r="S37" s="90"/>
      <c r="T37" s="90"/>
      <c r="U37" s="90">
        <v>445</v>
      </c>
      <c r="V37" s="90">
        <f t="shared" si="1"/>
        <v>1220.3200000000002</v>
      </c>
      <c r="W37" s="90">
        <v>9008.36</v>
      </c>
      <c r="X37" s="90"/>
      <c r="Y37" s="91">
        <f t="shared" si="2"/>
        <v>13549.060000000001</v>
      </c>
      <c r="AA37" s="89" t="s">
        <v>306</v>
      </c>
      <c r="AB37" s="89" t="s">
        <v>134</v>
      </c>
      <c r="AC37" s="89" t="s">
        <v>278</v>
      </c>
      <c r="AD37" s="92">
        <v>12782.12</v>
      </c>
      <c r="AE37" s="89" t="s">
        <v>279</v>
      </c>
      <c r="AF37" s="92">
        <v>766.94</v>
      </c>
    </row>
    <row r="38" spans="1:32" s="89" customFormat="1" ht="11.4" x14ac:dyDescent="0.25">
      <c r="A38" s="89">
        <v>23</v>
      </c>
      <c r="B38" s="89" t="s">
        <v>198</v>
      </c>
      <c r="C38" s="89" t="s">
        <v>275</v>
      </c>
      <c r="D38" s="89" t="s">
        <v>282</v>
      </c>
      <c r="E38" s="90">
        <v>506.79</v>
      </c>
      <c r="F38" s="90">
        <v>7384</v>
      </c>
      <c r="G38" s="90">
        <v>2690</v>
      </c>
      <c r="H38" s="90">
        <v>1181.44</v>
      </c>
      <c r="I38" s="90">
        <v>664.56</v>
      </c>
      <c r="J38" s="90">
        <v>36.92</v>
      </c>
      <c r="K38" s="90">
        <v>14.77</v>
      </c>
      <c r="L38" s="90"/>
      <c r="M38" s="90">
        <v>110.76</v>
      </c>
      <c r="N38" s="90">
        <v>188</v>
      </c>
      <c r="O38" s="90">
        <f t="shared" si="0"/>
        <v>2196.4499999999998</v>
      </c>
      <c r="P38" s="90">
        <v>590.72</v>
      </c>
      <c r="Q38" s="90">
        <v>147.68</v>
      </c>
      <c r="R38" s="90">
        <v>36.92</v>
      </c>
      <c r="S38" s="90"/>
      <c r="T38" s="90"/>
      <c r="U38" s="90">
        <v>188</v>
      </c>
      <c r="V38" s="90">
        <f t="shared" si="1"/>
        <v>963.32</v>
      </c>
      <c r="W38" s="90">
        <v>3520</v>
      </c>
      <c r="X38" s="90"/>
      <c r="Y38" s="91">
        <f t="shared" si="2"/>
        <v>7186.5599999999995</v>
      </c>
      <c r="AA38" s="89" t="s">
        <v>307</v>
      </c>
      <c r="AB38" s="89" t="s">
        <v>199</v>
      </c>
      <c r="AC38" s="89" t="s">
        <v>278</v>
      </c>
      <c r="AD38" s="92">
        <v>6779.76</v>
      </c>
      <c r="AE38" s="89" t="s">
        <v>279</v>
      </c>
      <c r="AF38" s="92">
        <v>406.8</v>
      </c>
    </row>
    <row r="39" spans="1:32" s="89" customFormat="1" ht="11.4" x14ac:dyDescent="0.25">
      <c r="A39" s="89">
        <v>24</v>
      </c>
      <c r="B39" s="89" t="s">
        <v>105</v>
      </c>
      <c r="C39" s="89" t="s">
        <v>275</v>
      </c>
      <c r="D39" s="89" t="s">
        <v>276</v>
      </c>
      <c r="E39" s="90">
        <v>878.33</v>
      </c>
      <c r="F39" s="90">
        <v>7384</v>
      </c>
      <c r="G39" s="90">
        <v>6878</v>
      </c>
      <c r="H39" s="90">
        <v>1181.44</v>
      </c>
      <c r="I39" s="90">
        <v>664.56</v>
      </c>
      <c r="J39" s="90">
        <v>36.92</v>
      </c>
      <c r="K39" s="90">
        <v>14.77</v>
      </c>
      <c r="L39" s="90"/>
      <c r="M39" s="90">
        <v>110.76</v>
      </c>
      <c r="N39" s="90">
        <v>481</v>
      </c>
      <c r="O39" s="90">
        <f t="shared" si="0"/>
        <v>2489.4499999999998</v>
      </c>
      <c r="P39" s="90">
        <v>590.72</v>
      </c>
      <c r="Q39" s="90">
        <v>147.68</v>
      </c>
      <c r="R39" s="90">
        <v>36.92</v>
      </c>
      <c r="S39" s="90"/>
      <c r="T39" s="90"/>
      <c r="U39" s="90">
        <v>481</v>
      </c>
      <c r="V39" s="90">
        <f t="shared" si="1"/>
        <v>1256.3200000000002</v>
      </c>
      <c r="W39" s="90">
        <v>9126.2800000000007</v>
      </c>
      <c r="X39" s="90"/>
      <c r="Y39" s="91">
        <f t="shared" si="2"/>
        <v>13750.380000000001</v>
      </c>
      <c r="AA39" s="89" t="s">
        <v>308</v>
      </c>
      <c r="AB39" s="89" t="s">
        <v>106</v>
      </c>
      <c r="AC39" s="89" t="s">
        <v>278</v>
      </c>
      <c r="AD39" s="92">
        <v>12972.04</v>
      </c>
      <c r="AE39" s="89" t="s">
        <v>279</v>
      </c>
      <c r="AF39" s="92">
        <v>778.34</v>
      </c>
    </row>
    <row r="40" spans="1:32" s="89" customFormat="1" ht="11.4" x14ac:dyDescent="0.25">
      <c r="A40" s="89">
        <v>25</v>
      </c>
      <c r="B40" s="89" t="s">
        <v>155</v>
      </c>
      <c r="C40" s="89" t="s">
        <v>275</v>
      </c>
      <c r="D40" s="89" t="s">
        <v>276</v>
      </c>
      <c r="E40" s="90">
        <v>941.8</v>
      </c>
      <c r="F40" s="90">
        <v>7384</v>
      </c>
      <c r="G40" s="90">
        <v>5402</v>
      </c>
      <c r="H40" s="90">
        <v>1181.44</v>
      </c>
      <c r="I40" s="90">
        <v>664.56</v>
      </c>
      <c r="J40" s="90">
        <v>36.92</v>
      </c>
      <c r="K40" s="90">
        <v>14.77</v>
      </c>
      <c r="L40" s="90"/>
      <c r="M40" s="90">
        <v>110.76</v>
      </c>
      <c r="N40" s="90">
        <v>378</v>
      </c>
      <c r="O40" s="90">
        <f t="shared" si="0"/>
        <v>2386.4499999999998</v>
      </c>
      <c r="P40" s="90">
        <v>590.72</v>
      </c>
      <c r="Q40" s="90">
        <v>147.68</v>
      </c>
      <c r="R40" s="90">
        <v>36.92</v>
      </c>
      <c r="S40" s="90"/>
      <c r="T40" s="90"/>
      <c r="U40" s="90">
        <v>378</v>
      </c>
      <c r="V40" s="90">
        <f t="shared" si="1"/>
        <v>1153.3200000000002</v>
      </c>
      <c r="W40" s="90">
        <v>10390.16</v>
      </c>
      <c r="X40" s="90"/>
      <c r="Y40" s="91">
        <f t="shared" si="2"/>
        <v>14871.73</v>
      </c>
      <c r="AA40" s="89" t="s">
        <v>309</v>
      </c>
      <c r="AB40" s="89" t="s">
        <v>156</v>
      </c>
      <c r="AC40" s="89" t="s">
        <v>278</v>
      </c>
      <c r="AD40" s="92">
        <v>14029.92</v>
      </c>
      <c r="AE40" s="89" t="s">
        <v>279</v>
      </c>
      <c r="AF40" s="92">
        <v>841.81</v>
      </c>
    </row>
    <row r="41" spans="1:32" s="89" customFormat="1" ht="11.4" x14ac:dyDescent="0.25">
      <c r="A41" s="89">
        <v>26</v>
      </c>
      <c r="B41" s="89" t="s">
        <v>99</v>
      </c>
      <c r="C41" s="89" t="s">
        <v>275</v>
      </c>
      <c r="D41" s="89" t="s">
        <v>300</v>
      </c>
      <c r="E41" s="90">
        <v>514.59</v>
      </c>
      <c r="F41" s="90">
        <v>7384</v>
      </c>
      <c r="G41" s="90">
        <v>2690</v>
      </c>
      <c r="H41" s="90">
        <v>1181.44</v>
      </c>
      <c r="I41" s="90">
        <v>664.56</v>
      </c>
      <c r="J41" s="90">
        <v>36.92</v>
      </c>
      <c r="K41" s="90">
        <v>14.77</v>
      </c>
      <c r="L41" s="90"/>
      <c r="M41" s="90">
        <v>110.76</v>
      </c>
      <c r="N41" s="90">
        <v>188</v>
      </c>
      <c r="O41" s="90">
        <f t="shared" si="0"/>
        <v>2196.4499999999998</v>
      </c>
      <c r="P41" s="90">
        <v>590.72</v>
      </c>
      <c r="Q41" s="90">
        <v>147.68</v>
      </c>
      <c r="R41" s="90">
        <v>36.92</v>
      </c>
      <c r="S41" s="90"/>
      <c r="T41" s="90"/>
      <c r="U41" s="90">
        <v>188</v>
      </c>
      <c r="V41" s="90">
        <f t="shared" si="1"/>
        <v>963.32</v>
      </c>
      <c r="W41" s="90">
        <v>3650.04</v>
      </c>
      <c r="X41" s="90"/>
      <c r="Y41" s="91">
        <f t="shared" si="2"/>
        <v>7324.4</v>
      </c>
      <c r="AA41" s="89" t="s">
        <v>310</v>
      </c>
      <c r="AB41" s="89" t="s">
        <v>93</v>
      </c>
      <c r="AC41" s="89" t="s">
        <v>278</v>
      </c>
      <c r="AD41" s="92">
        <v>6909.8</v>
      </c>
      <c r="AE41" s="89" t="s">
        <v>279</v>
      </c>
      <c r="AF41" s="92">
        <v>414.6</v>
      </c>
    </row>
    <row r="42" spans="1:32" s="89" customFormat="1" ht="11.4" x14ac:dyDescent="0.25">
      <c r="A42" s="89">
        <v>27</v>
      </c>
      <c r="B42" s="89" t="s">
        <v>96</v>
      </c>
      <c r="C42" s="89" t="s">
        <v>275</v>
      </c>
      <c r="D42" s="89" t="s">
        <v>300</v>
      </c>
      <c r="E42" s="90">
        <v>733.41</v>
      </c>
      <c r="F42" s="90">
        <v>7384</v>
      </c>
      <c r="G42" s="90">
        <v>2690</v>
      </c>
      <c r="H42" s="90">
        <v>1181.44</v>
      </c>
      <c r="I42" s="90">
        <v>664.56</v>
      </c>
      <c r="J42" s="90">
        <v>36.92</v>
      </c>
      <c r="K42" s="90">
        <v>14.77</v>
      </c>
      <c r="L42" s="90"/>
      <c r="M42" s="90">
        <v>110.76</v>
      </c>
      <c r="N42" s="90">
        <v>188</v>
      </c>
      <c r="O42" s="90">
        <f t="shared" si="0"/>
        <v>2196.4499999999998</v>
      </c>
      <c r="P42" s="90">
        <v>590.72</v>
      </c>
      <c r="Q42" s="90">
        <v>147.68</v>
      </c>
      <c r="R42" s="90">
        <v>36.92</v>
      </c>
      <c r="S42" s="90"/>
      <c r="T42" s="90"/>
      <c r="U42" s="90">
        <v>188</v>
      </c>
      <c r="V42" s="90">
        <f t="shared" si="1"/>
        <v>963.32</v>
      </c>
      <c r="W42" s="90">
        <v>7297</v>
      </c>
      <c r="X42" s="90"/>
      <c r="Y42" s="91">
        <f t="shared" si="2"/>
        <v>11190.18</v>
      </c>
      <c r="AA42" s="89" t="s">
        <v>311</v>
      </c>
      <c r="AB42" s="89" t="s">
        <v>97</v>
      </c>
      <c r="AC42" s="89" t="s">
        <v>278</v>
      </c>
      <c r="AD42" s="92">
        <v>10556.76</v>
      </c>
      <c r="AE42" s="89" t="s">
        <v>279</v>
      </c>
      <c r="AF42" s="92">
        <v>633.41999999999996</v>
      </c>
    </row>
    <row r="43" spans="1:32" s="89" customFormat="1" ht="11.4" x14ac:dyDescent="0.25">
      <c r="A43" s="89">
        <v>28</v>
      </c>
      <c r="B43" s="89" t="s">
        <v>111</v>
      </c>
      <c r="C43" s="89" t="s">
        <v>275</v>
      </c>
      <c r="D43" s="89" t="s">
        <v>276</v>
      </c>
      <c r="E43" s="90">
        <v>530.07999999999993</v>
      </c>
      <c r="F43" s="90">
        <v>7384</v>
      </c>
      <c r="G43" s="90">
        <v>4668</v>
      </c>
      <c r="H43" s="90">
        <v>1181.44</v>
      </c>
      <c r="I43" s="90">
        <v>664.56</v>
      </c>
      <c r="J43" s="90">
        <v>36.92</v>
      </c>
      <c r="K43" s="90">
        <v>14.77</v>
      </c>
      <c r="L43" s="90"/>
      <c r="M43" s="90">
        <v>110.76</v>
      </c>
      <c r="N43" s="90">
        <v>327</v>
      </c>
      <c r="O43" s="90">
        <f t="shared" si="0"/>
        <v>2335.4499999999998</v>
      </c>
      <c r="P43" s="90">
        <v>590.72</v>
      </c>
      <c r="Q43" s="90">
        <v>147.68</v>
      </c>
      <c r="R43" s="90">
        <v>36.92</v>
      </c>
      <c r="S43" s="90"/>
      <c r="T43" s="90"/>
      <c r="U43" s="90">
        <v>327</v>
      </c>
      <c r="V43" s="90">
        <f t="shared" si="1"/>
        <v>1102.3200000000002</v>
      </c>
      <c r="W43" s="90">
        <v>3630.12</v>
      </c>
      <c r="X43" s="90"/>
      <c r="Y43" s="91">
        <f t="shared" si="2"/>
        <v>7597.9699999999993</v>
      </c>
      <c r="AA43" s="89" t="s">
        <v>312</v>
      </c>
      <c r="AB43" s="89" t="s">
        <v>112</v>
      </c>
      <c r="AC43" s="89" t="s">
        <v>278</v>
      </c>
      <c r="AD43" s="92">
        <v>7167.88</v>
      </c>
      <c r="AE43" s="89" t="s">
        <v>279</v>
      </c>
      <c r="AF43" s="92">
        <v>430.09</v>
      </c>
    </row>
    <row r="44" spans="1:32" s="89" customFormat="1" ht="11.4" x14ac:dyDescent="0.25">
      <c r="A44" s="89">
        <v>29</v>
      </c>
      <c r="B44" s="89" t="s">
        <v>123</v>
      </c>
      <c r="C44" s="89" t="s">
        <v>275</v>
      </c>
      <c r="D44" s="89" t="s">
        <v>276</v>
      </c>
      <c r="E44" s="90">
        <v>583.02</v>
      </c>
      <c r="F44" s="90">
        <v>7384</v>
      </c>
      <c r="G44" s="90">
        <v>5176</v>
      </c>
      <c r="H44" s="90">
        <v>1181.44</v>
      </c>
      <c r="I44" s="90">
        <v>664.56</v>
      </c>
      <c r="J44" s="90">
        <v>36.92</v>
      </c>
      <c r="K44" s="90">
        <v>14.77</v>
      </c>
      <c r="L44" s="90"/>
      <c r="M44" s="90">
        <v>110.76</v>
      </c>
      <c r="N44" s="90">
        <v>362</v>
      </c>
      <c r="O44" s="90">
        <f t="shared" si="0"/>
        <v>2370.4499999999998</v>
      </c>
      <c r="P44" s="90">
        <v>590.72</v>
      </c>
      <c r="Q44" s="90">
        <v>147.68</v>
      </c>
      <c r="R44" s="90">
        <v>36.92</v>
      </c>
      <c r="S44" s="90"/>
      <c r="T44" s="90"/>
      <c r="U44" s="90">
        <v>362</v>
      </c>
      <c r="V44" s="90">
        <f t="shared" si="1"/>
        <v>1137.3200000000002</v>
      </c>
      <c r="W44" s="90">
        <v>4442.43</v>
      </c>
      <c r="X44" s="90"/>
      <c r="Y44" s="91">
        <f t="shared" si="2"/>
        <v>8533.2200000000012</v>
      </c>
      <c r="AA44" s="89" t="s">
        <v>313</v>
      </c>
      <c r="AB44" s="89" t="s">
        <v>124</v>
      </c>
      <c r="AC44" s="89" t="s">
        <v>278</v>
      </c>
      <c r="AD44" s="92">
        <v>8050.19</v>
      </c>
      <c r="AE44" s="89" t="s">
        <v>279</v>
      </c>
      <c r="AF44" s="92">
        <v>483.03</v>
      </c>
    </row>
    <row r="45" spans="1:32" s="89" customFormat="1" ht="11.4" x14ac:dyDescent="0.25">
      <c r="A45" s="89">
        <v>30</v>
      </c>
      <c r="B45" s="89" t="s">
        <v>165</v>
      </c>
      <c r="C45" s="89" t="s">
        <v>275</v>
      </c>
      <c r="D45" s="89" t="s">
        <v>276</v>
      </c>
      <c r="E45" s="90">
        <v>527.18999999999994</v>
      </c>
      <c r="F45" s="90">
        <v>7384</v>
      </c>
      <c r="G45" s="90">
        <v>5121</v>
      </c>
      <c r="H45" s="90">
        <v>1181.44</v>
      </c>
      <c r="I45" s="90">
        <v>664.56</v>
      </c>
      <c r="J45" s="90">
        <v>36.92</v>
      </c>
      <c r="K45" s="90">
        <v>14.77</v>
      </c>
      <c r="L45" s="90"/>
      <c r="M45" s="90">
        <v>110.76</v>
      </c>
      <c r="N45" s="90">
        <v>358</v>
      </c>
      <c r="O45" s="90">
        <f t="shared" si="0"/>
        <v>2366.4499999999998</v>
      </c>
      <c r="P45" s="90">
        <v>590.72</v>
      </c>
      <c r="Q45" s="90">
        <v>147.68</v>
      </c>
      <c r="R45" s="90">
        <v>36.92</v>
      </c>
      <c r="S45" s="90"/>
      <c r="T45" s="90"/>
      <c r="U45" s="90">
        <v>358</v>
      </c>
      <c r="V45" s="90">
        <f t="shared" si="1"/>
        <v>1133.3200000000002</v>
      </c>
      <c r="W45" s="90">
        <v>3520</v>
      </c>
      <c r="X45" s="90"/>
      <c r="Y45" s="91">
        <f t="shared" si="2"/>
        <v>7546.96</v>
      </c>
      <c r="AA45" s="89" t="s">
        <v>314</v>
      </c>
      <c r="AB45" s="89" t="s">
        <v>166</v>
      </c>
      <c r="AC45" s="89" t="s">
        <v>278</v>
      </c>
      <c r="AD45" s="92">
        <v>7119.76</v>
      </c>
      <c r="AE45" s="89" t="s">
        <v>279</v>
      </c>
      <c r="AF45" s="92">
        <v>427.2</v>
      </c>
    </row>
    <row r="46" spans="1:32" s="89" customFormat="1" ht="11.4" x14ac:dyDescent="0.25">
      <c r="A46" s="89">
        <v>31</v>
      </c>
      <c r="B46" s="89" t="s">
        <v>153</v>
      </c>
      <c r="C46" s="89" t="s">
        <v>275</v>
      </c>
      <c r="D46" s="89" t="s">
        <v>276</v>
      </c>
      <c r="E46" s="90">
        <v>591.5</v>
      </c>
      <c r="F46" s="90">
        <v>7606</v>
      </c>
      <c r="G46" s="90">
        <v>7606</v>
      </c>
      <c r="H46" s="90">
        <v>1216.96</v>
      </c>
      <c r="I46" s="90">
        <v>684.54</v>
      </c>
      <c r="J46" s="90">
        <v>38.03</v>
      </c>
      <c r="K46" s="90">
        <v>15.21</v>
      </c>
      <c r="L46" s="90"/>
      <c r="M46" s="90">
        <v>114.09</v>
      </c>
      <c r="N46" s="90">
        <v>532</v>
      </c>
      <c r="O46" s="90">
        <f t="shared" si="0"/>
        <v>2600.83</v>
      </c>
      <c r="P46" s="90">
        <v>608.48</v>
      </c>
      <c r="Q46" s="90">
        <v>152.12</v>
      </c>
      <c r="R46" s="90">
        <v>38.03</v>
      </c>
      <c r="S46" s="90"/>
      <c r="T46" s="90"/>
      <c r="U46" s="90">
        <v>532</v>
      </c>
      <c r="V46" s="90">
        <f t="shared" si="1"/>
        <v>1330.63</v>
      </c>
      <c r="W46" s="90">
        <v>4160.17</v>
      </c>
      <c r="X46" s="90"/>
      <c r="Y46" s="91">
        <f t="shared" si="2"/>
        <v>8683.130000000001</v>
      </c>
      <c r="AA46" s="89" t="s">
        <v>315</v>
      </c>
      <c r="AB46" s="89" t="s">
        <v>154</v>
      </c>
      <c r="AC46" s="89" t="s">
        <v>278</v>
      </c>
      <c r="AD46" s="92">
        <v>8191.63</v>
      </c>
      <c r="AE46" s="89" t="s">
        <v>279</v>
      </c>
      <c r="AF46" s="92">
        <v>491.5</v>
      </c>
    </row>
    <row r="47" spans="1:32" s="89" customFormat="1" ht="11.4" x14ac:dyDescent="0.25">
      <c r="A47" s="89">
        <v>32</v>
      </c>
      <c r="B47" s="89" t="s">
        <v>161</v>
      </c>
      <c r="C47" s="89" t="s">
        <v>275</v>
      </c>
      <c r="D47" s="89" t="s">
        <v>276</v>
      </c>
      <c r="E47" s="90">
        <v>725.92</v>
      </c>
      <c r="F47" s="90">
        <v>12662</v>
      </c>
      <c r="G47" s="90">
        <v>12662</v>
      </c>
      <c r="H47" s="90">
        <v>2025.92</v>
      </c>
      <c r="I47" s="90">
        <v>1139.58</v>
      </c>
      <c r="J47" s="90">
        <v>63.31</v>
      </c>
      <c r="K47" s="90">
        <v>25.32</v>
      </c>
      <c r="L47" s="90"/>
      <c r="M47" s="90">
        <v>189.93</v>
      </c>
      <c r="N47" s="90">
        <v>886</v>
      </c>
      <c r="O47" s="90">
        <f t="shared" si="0"/>
        <v>4330.0599999999995</v>
      </c>
      <c r="P47" s="90">
        <v>1012.96</v>
      </c>
      <c r="Q47" s="90">
        <v>253.24</v>
      </c>
      <c r="R47" s="90">
        <v>63.31</v>
      </c>
      <c r="S47" s="90"/>
      <c r="T47" s="90"/>
      <c r="U47" s="90">
        <v>886</v>
      </c>
      <c r="V47" s="90">
        <f t="shared" si="1"/>
        <v>2215.5100000000002</v>
      </c>
      <c r="W47" s="90">
        <v>3786.53</v>
      </c>
      <c r="X47" s="90"/>
      <c r="Y47" s="91">
        <f t="shared" si="2"/>
        <v>11058.02</v>
      </c>
      <c r="AA47" s="89" t="s">
        <v>316</v>
      </c>
      <c r="AB47" s="89" t="s">
        <v>162</v>
      </c>
      <c r="AC47" s="89" t="s">
        <v>278</v>
      </c>
      <c r="AD47" s="92">
        <v>10432.09</v>
      </c>
      <c r="AE47" s="89" t="s">
        <v>279</v>
      </c>
      <c r="AF47" s="92">
        <v>625.92999999999995</v>
      </c>
    </row>
    <row r="48" spans="1:32" s="89" customFormat="1" ht="11.4" x14ac:dyDescent="0.25">
      <c r="A48" s="89">
        <v>33</v>
      </c>
      <c r="B48" s="89" t="s">
        <v>127</v>
      </c>
      <c r="C48" s="89" t="s">
        <v>275</v>
      </c>
      <c r="D48" s="89" t="s">
        <v>276</v>
      </c>
      <c r="E48" s="90">
        <v>745.53</v>
      </c>
      <c r="F48" s="90">
        <v>7384</v>
      </c>
      <c r="G48" s="90">
        <v>5148</v>
      </c>
      <c r="H48" s="90">
        <v>1181.44</v>
      </c>
      <c r="I48" s="90">
        <v>664.56</v>
      </c>
      <c r="J48" s="90">
        <v>36.92</v>
      </c>
      <c r="K48" s="90">
        <v>14.77</v>
      </c>
      <c r="L48" s="90"/>
      <c r="M48" s="90">
        <v>110.76</v>
      </c>
      <c r="N48" s="90">
        <v>360</v>
      </c>
      <c r="O48" s="90">
        <f t="shared" si="0"/>
        <v>2368.4499999999998</v>
      </c>
      <c r="P48" s="90">
        <v>590.72</v>
      </c>
      <c r="Q48" s="90">
        <v>147.68</v>
      </c>
      <c r="R48" s="90">
        <v>36.92</v>
      </c>
      <c r="S48" s="90"/>
      <c r="T48" s="90"/>
      <c r="U48" s="90">
        <v>360</v>
      </c>
      <c r="V48" s="90">
        <f t="shared" si="1"/>
        <v>1135.3200000000002</v>
      </c>
      <c r="W48" s="90">
        <v>7154.96</v>
      </c>
      <c r="X48" s="90"/>
      <c r="Y48" s="91">
        <f t="shared" si="2"/>
        <v>11404.259999999998</v>
      </c>
      <c r="AA48" s="89" t="s">
        <v>317</v>
      </c>
      <c r="AB48" s="89" t="s">
        <v>128</v>
      </c>
      <c r="AC48" s="89" t="s">
        <v>278</v>
      </c>
      <c r="AD48" s="92">
        <v>10758.72</v>
      </c>
      <c r="AE48" s="89" t="s">
        <v>279</v>
      </c>
      <c r="AF48" s="92">
        <v>645.54</v>
      </c>
    </row>
    <row r="49" spans="1:32" s="89" customFormat="1" ht="11.4" x14ac:dyDescent="0.25">
      <c r="A49" s="89">
        <v>34</v>
      </c>
      <c r="B49" s="89" t="s">
        <v>202</v>
      </c>
      <c r="C49" s="89" t="s">
        <v>275</v>
      </c>
      <c r="D49" s="89" t="s">
        <v>282</v>
      </c>
      <c r="E49" s="90">
        <v>1165.74</v>
      </c>
      <c r="F49" s="90">
        <v>8196</v>
      </c>
      <c r="G49" s="90">
        <v>8196</v>
      </c>
      <c r="H49" s="90">
        <v>1311.36</v>
      </c>
      <c r="I49" s="90">
        <v>737.64</v>
      </c>
      <c r="J49" s="90">
        <v>40.98</v>
      </c>
      <c r="K49" s="90">
        <v>16.39</v>
      </c>
      <c r="L49" s="90"/>
      <c r="M49" s="90">
        <v>122.94</v>
      </c>
      <c r="N49" s="90">
        <v>574</v>
      </c>
      <c r="O49" s="90">
        <f t="shared" si="0"/>
        <v>2803.31</v>
      </c>
      <c r="P49" s="90">
        <v>655.68</v>
      </c>
      <c r="Q49" s="90">
        <v>163.92</v>
      </c>
      <c r="R49" s="90">
        <v>40.98</v>
      </c>
      <c r="S49" s="90"/>
      <c r="T49" s="90"/>
      <c r="U49" s="90">
        <v>574</v>
      </c>
      <c r="V49" s="90">
        <f t="shared" si="1"/>
        <v>1434.58</v>
      </c>
      <c r="W49" s="90">
        <v>13424.42</v>
      </c>
      <c r="X49" s="90"/>
      <c r="Y49" s="91">
        <f t="shared" si="2"/>
        <v>18828.05</v>
      </c>
      <c r="AA49" s="89" t="s">
        <v>318</v>
      </c>
      <c r="AB49" s="89" t="s">
        <v>203</v>
      </c>
      <c r="AC49" s="89" t="s">
        <v>278</v>
      </c>
      <c r="AD49" s="92">
        <v>17762.3</v>
      </c>
      <c r="AE49" s="89" t="s">
        <v>279</v>
      </c>
      <c r="AF49" s="92">
        <v>1065.75</v>
      </c>
    </row>
    <row r="50" spans="1:32" s="89" customFormat="1" ht="11.4" x14ac:dyDescent="0.25">
      <c r="A50" s="89">
        <v>35</v>
      </c>
      <c r="B50" s="89" t="s">
        <v>151</v>
      </c>
      <c r="C50" s="89" t="s">
        <v>275</v>
      </c>
      <c r="D50" s="89" t="s">
        <v>276</v>
      </c>
      <c r="E50" s="90">
        <v>529.82999999999993</v>
      </c>
      <c r="F50" s="90">
        <v>7384</v>
      </c>
      <c r="G50" s="90">
        <v>5432</v>
      </c>
      <c r="H50" s="90">
        <v>1181.44</v>
      </c>
      <c r="I50" s="90">
        <v>664.56</v>
      </c>
      <c r="J50" s="90">
        <v>36.92</v>
      </c>
      <c r="K50" s="90">
        <v>14.77</v>
      </c>
      <c r="L50" s="90"/>
      <c r="M50" s="90">
        <v>110.76</v>
      </c>
      <c r="N50" s="90">
        <v>380</v>
      </c>
      <c r="O50" s="90">
        <f t="shared" si="0"/>
        <v>2388.4499999999998</v>
      </c>
      <c r="P50" s="90">
        <v>590.72</v>
      </c>
      <c r="Q50" s="90">
        <v>147.68</v>
      </c>
      <c r="R50" s="90">
        <v>36.92</v>
      </c>
      <c r="S50" s="90"/>
      <c r="T50" s="90"/>
      <c r="U50" s="90">
        <v>380</v>
      </c>
      <c r="V50" s="90">
        <f t="shared" si="1"/>
        <v>1155.3200000000002</v>
      </c>
      <c r="W50" s="90">
        <v>3520</v>
      </c>
      <c r="X50" s="90"/>
      <c r="Y50" s="91">
        <f t="shared" si="2"/>
        <v>7593.6</v>
      </c>
      <c r="AA50" s="89" t="s">
        <v>319</v>
      </c>
      <c r="AB50" s="89" t="s">
        <v>152</v>
      </c>
      <c r="AC50" s="89" t="s">
        <v>278</v>
      </c>
      <c r="AD50" s="92">
        <v>7163.76</v>
      </c>
      <c r="AE50" s="89" t="s">
        <v>279</v>
      </c>
      <c r="AF50" s="92">
        <v>429.84</v>
      </c>
    </row>
    <row r="51" spans="1:32" s="89" customFormat="1" ht="11.4" x14ac:dyDescent="0.25">
      <c r="A51" s="89">
        <v>36</v>
      </c>
      <c r="B51" s="89" t="s">
        <v>131</v>
      </c>
      <c r="C51" s="89" t="s">
        <v>275</v>
      </c>
      <c r="D51" s="89" t="s">
        <v>276</v>
      </c>
      <c r="E51" s="90">
        <v>571.04</v>
      </c>
      <c r="F51" s="90">
        <v>8182</v>
      </c>
      <c r="G51" s="90">
        <v>8182</v>
      </c>
      <c r="H51" s="90">
        <v>1309.1199999999999</v>
      </c>
      <c r="I51" s="90">
        <v>736.38</v>
      </c>
      <c r="J51" s="90">
        <v>40.909999999999997</v>
      </c>
      <c r="K51" s="90">
        <v>16.36</v>
      </c>
      <c r="L51" s="90"/>
      <c r="M51" s="90">
        <v>122.73</v>
      </c>
      <c r="N51" s="90">
        <v>573</v>
      </c>
      <c r="O51" s="90">
        <f t="shared" si="0"/>
        <v>2798.5</v>
      </c>
      <c r="P51" s="90">
        <v>654.55999999999995</v>
      </c>
      <c r="Q51" s="90">
        <v>163.63999999999999</v>
      </c>
      <c r="R51" s="90">
        <v>40.909999999999997</v>
      </c>
      <c r="S51" s="90"/>
      <c r="T51" s="90"/>
      <c r="U51" s="90">
        <v>573</v>
      </c>
      <c r="V51" s="90">
        <f t="shared" si="1"/>
        <v>1432.11</v>
      </c>
      <c r="W51" s="90">
        <v>3520</v>
      </c>
      <c r="X51" s="90"/>
      <c r="Y51" s="91">
        <f t="shared" si="2"/>
        <v>8321.65</v>
      </c>
      <c r="AA51" s="89" t="s">
        <v>320</v>
      </c>
      <c r="AB51" s="89" t="s">
        <v>132</v>
      </c>
      <c r="AC51" s="89" t="s">
        <v>278</v>
      </c>
      <c r="AD51" s="92">
        <v>7850.63</v>
      </c>
      <c r="AE51" s="89" t="s">
        <v>279</v>
      </c>
      <c r="AF51" s="92">
        <v>471.02</v>
      </c>
    </row>
    <row r="52" spans="1:32" s="89" customFormat="1" ht="11.4" x14ac:dyDescent="0.25">
      <c r="A52" s="89">
        <v>37</v>
      </c>
      <c r="B52" s="89" t="s">
        <v>119</v>
      </c>
      <c r="C52" s="89" t="s">
        <v>275</v>
      </c>
      <c r="D52" s="89" t="s">
        <v>276</v>
      </c>
      <c r="E52" s="90">
        <v>906.85</v>
      </c>
      <c r="F52" s="90">
        <v>12769</v>
      </c>
      <c r="G52" s="90">
        <v>12769</v>
      </c>
      <c r="H52" s="90">
        <v>2043.04</v>
      </c>
      <c r="I52" s="90">
        <v>1149.22</v>
      </c>
      <c r="J52" s="90">
        <v>63.85</v>
      </c>
      <c r="K52" s="90">
        <v>25.54</v>
      </c>
      <c r="L52" s="90"/>
      <c r="M52" s="90">
        <v>191.54</v>
      </c>
      <c r="N52" s="90">
        <v>894</v>
      </c>
      <c r="O52" s="90">
        <f t="shared" si="0"/>
        <v>4367.1900000000005</v>
      </c>
      <c r="P52" s="90">
        <v>1021.52</v>
      </c>
      <c r="Q52" s="90">
        <v>255.38</v>
      </c>
      <c r="R52" s="90">
        <v>63.85</v>
      </c>
      <c r="S52" s="90"/>
      <c r="T52" s="90"/>
      <c r="U52" s="90">
        <v>894</v>
      </c>
      <c r="V52" s="90">
        <f t="shared" si="1"/>
        <v>2234.75</v>
      </c>
      <c r="W52" s="90">
        <v>6745.45</v>
      </c>
      <c r="X52" s="90"/>
      <c r="Y52" s="91">
        <f t="shared" si="2"/>
        <v>14254.240000000002</v>
      </c>
      <c r="AA52" s="89" t="s">
        <v>321</v>
      </c>
      <c r="AB52" s="89" t="s">
        <v>120</v>
      </c>
      <c r="AC52" s="89" t="s">
        <v>278</v>
      </c>
      <c r="AD52" s="92">
        <v>13447.41</v>
      </c>
      <c r="AE52" s="89" t="s">
        <v>279</v>
      </c>
      <c r="AF52" s="92">
        <v>806.83</v>
      </c>
    </row>
    <row r="53" spans="1:32" s="89" customFormat="1" ht="11.4" x14ac:dyDescent="0.25">
      <c r="A53" s="89">
        <v>38</v>
      </c>
      <c r="B53" s="89" t="s">
        <v>107</v>
      </c>
      <c r="C53" s="89" t="s">
        <v>275</v>
      </c>
      <c r="D53" s="89" t="s">
        <v>276</v>
      </c>
      <c r="E53" s="90">
        <v>753.14</v>
      </c>
      <c r="F53" s="90">
        <v>8131</v>
      </c>
      <c r="G53" s="90">
        <v>8131</v>
      </c>
      <c r="H53" s="90">
        <v>1300.96</v>
      </c>
      <c r="I53" s="90">
        <v>731.8</v>
      </c>
      <c r="J53" s="90">
        <v>40.659999999999997</v>
      </c>
      <c r="K53" s="90">
        <v>16.260000000000002</v>
      </c>
      <c r="L53" s="90"/>
      <c r="M53" s="90">
        <v>121.97</v>
      </c>
      <c r="N53" s="90">
        <v>569</v>
      </c>
      <c r="O53" s="90">
        <f t="shared" si="0"/>
        <v>2780.65</v>
      </c>
      <c r="P53" s="90">
        <v>650.48</v>
      </c>
      <c r="Q53" s="90">
        <v>162.62</v>
      </c>
      <c r="R53" s="90">
        <v>40.659999999999997</v>
      </c>
      <c r="S53" s="90"/>
      <c r="T53" s="90"/>
      <c r="U53" s="90">
        <v>569</v>
      </c>
      <c r="V53" s="90">
        <f t="shared" si="1"/>
        <v>1422.76</v>
      </c>
      <c r="W53" s="90">
        <v>6582.41</v>
      </c>
      <c r="X53" s="90"/>
      <c r="Y53" s="91">
        <f t="shared" si="2"/>
        <v>11538.96</v>
      </c>
      <c r="AA53" s="89" t="s">
        <v>322</v>
      </c>
      <c r="AB53" s="89" t="s">
        <v>108</v>
      </c>
      <c r="AC53" s="89" t="s">
        <v>278</v>
      </c>
      <c r="AD53" s="92">
        <v>10885.8</v>
      </c>
      <c r="AE53" s="89" t="s">
        <v>279</v>
      </c>
      <c r="AF53" s="92">
        <v>653.16</v>
      </c>
    </row>
    <row r="54" spans="1:32" s="89" customFormat="1" ht="11.4" x14ac:dyDescent="0.25">
      <c r="A54" s="89">
        <v>39</v>
      </c>
      <c r="B54" s="89" t="s">
        <v>92</v>
      </c>
      <c r="C54" s="89" t="s">
        <v>275</v>
      </c>
      <c r="D54" s="89" t="s">
        <v>300</v>
      </c>
      <c r="E54" s="90">
        <v>880.78</v>
      </c>
      <c r="F54" s="90">
        <v>7384</v>
      </c>
      <c r="G54" s="90">
        <v>2690</v>
      </c>
      <c r="H54" s="90">
        <v>1181.44</v>
      </c>
      <c r="I54" s="90">
        <v>664.56</v>
      </c>
      <c r="J54" s="90">
        <v>36.92</v>
      </c>
      <c r="K54" s="90">
        <v>14.77</v>
      </c>
      <c r="L54" s="90"/>
      <c r="M54" s="90">
        <v>110.76</v>
      </c>
      <c r="N54" s="90">
        <v>188</v>
      </c>
      <c r="O54" s="90">
        <f t="shared" si="0"/>
        <v>2196.4499999999998</v>
      </c>
      <c r="P54" s="90">
        <v>590.72</v>
      </c>
      <c r="Q54" s="90">
        <v>147.68</v>
      </c>
      <c r="R54" s="90">
        <v>36.92</v>
      </c>
      <c r="S54" s="90"/>
      <c r="T54" s="90"/>
      <c r="U54" s="90">
        <v>188</v>
      </c>
      <c r="V54" s="90">
        <f t="shared" si="1"/>
        <v>963.32</v>
      </c>
      <c r="W54" s="90">
        <v>9753.09</v>
      </c>
      <c r="X54" s="90"/>
      <c r="Y54" s="91">
        <f t="shared" si="2"/>
        <v>13793.64</v>
      </c>
      <c r="AA54" s="89" t="s">
        <v>323</v>
      </c>
      <c r="AB54" s="89" t="s">
        <v>324</v>
      </c>
      <c r="AC54" s="89" t="s">
        <v>278</v>
      </c>
      <c r="AD54" s="92">
        <v>13012.85</v>
      </c>
      <c r="AE54" s="89" t="s">
        <v>279</v>
      </c>
      <c r="AF54" s="92">
        <v>780.79</v>
      </c>
    </row>
    <row r="55" spans="1:32" s="89" customFormat="1" ht="11.4" x14ac:dyDescent="0.25">
      <c r="A55" s="89">
        <v>40</v>
      </c>
      <c r="B55" s="89" t="s">
        <v>94</v>
      </c>
      <c r="C55" s="89" t="s">
        <v>275</v>
      </c>
      <c r="D55" s="89" t="s">
        <v>300</v>
      </c>
      <c r="E55" s="90">
        <v>569.01</v>
      </c>
      <c r="F55" s="90">
        <v>7384</v>
      </c>
      <c r="G55" s="90">
        <v>2690</v>
      </c>
      <c r="H55" s="90">
        <v>1181.44</v>
      </c>
      <c r="I55" s="90">
        <v>664.56</v>
      </c>
      <c r="J55" s="90">
        <v>36.92</v>
      </c>
      <c r="K55" s="90">
        <v>14.77</v>
      </c>
      <c r="L55" s="90"/>
      <c r="M55" s="90">
        <v>110.76</v>
      </c>
      <c r="N55" s="90">
        <v>188</v>
      </c>
      <c r="O55" s="90">
        <f t="shared" si="0"/>
        <v>2196.4499999999998</v>
      </c>
      <c r="P55" s="90">
        <v>590.72</v>
      </c>
      <c r="Q55" s="90">
        <v>147.68</v>
      </c>
      <c r="R55" s="90">
        <v>36.92</v>
      </c>
      <c r="S55" s="90"/>
      <c r="T55" s="90"/>
      <c r="U55" s="90">
        <v>188</v>
      </c>
      <c r="V55" s="90">
        <f t="shared" si="1"/>
        <v>963.32</v>
      </c>
      <c r="W55" s="90">
        <v>4557.08</v>
      </c>
      <c r="X55" s="90"/>
      <c r="Y55" s="91">
        <f t="shared" si="2"/>
        <v>8285.86</v>
      </c>
      <c r="AA55" s="89" t="s">
        <v>325</v>
      </c>
      <c r="AB55" s="89" t="s">
        <v>95</v>
      </c>
      <c r="AC55" s="89" t="s">
        <v>278</v>
      </c>
      <c r="AD55" s="92">
        <v>7816.84</v>
      </c>
      <c r="AE55" s="89" t="s">
        <v>279</v>
      </c>
      <c r="AF55" s="92">
        <v>469.02</v>
      </c>
    </row>
    <row r="56" spans="1:32" s="89" customFormat="1" ht="11.4" x14ac:dyDescent="0.25">
      <c r="A56" s="89">
        <v>41</v>
      </c>
      <c r="B56" s="89" t="s">
        <v>159</v>
      </c>
      <c r="C56" s="89" t="s">
        <v>275</v>
      </c>
      <c r="D56" s="89" t="s">
        <v>276</v>
      </c>
      <c r="E56" s="90">
        <v>878.47</v>
      </c>
      <c r="F56" s="90">
        <v>7384</v>
      </c>
      <c r="G56" s="90">
        <v>4849</v>
      </c>
      <c r="H56" s="90">
        <v>1181.44</v>
      </c>
      <c r="I56" s="90">
        <v>664.56</v>
      </c>
      <c r="J56" s="90">
        <v>36.92</v>
      </c>
      <c r="K56" s="90">
        <v>14.77</v>
      </c>
      <c r="L56" s="90"/>
      <c r="M56" s="90">
        <v>110.76</v>
      </c>
      <c r="N56" s="90">
        <v>339</v>
      </c>
      <c r="O56" s="90">
        <f t="shared" si="0"/>
        <v>2347.4499999999998</v>
      </c>
      <c r="P56" s="90">
        <v>590.72</v>
      </c>
      <c r="Q56" s="90">
        <v>147.68</v>
      </c>
      <c r="R56" s="90">
        <v>36.92</v>
      </c>
      <c r="S56" s="90"/>
      <c r="T56" s="90"/>
      <c r="U56" s="90">
        <v>339</v>
      </c>
      <c r="V56" s="90">
        <f t="shared" si="1"/>
        <v>1114.3200000000002</v>
      </c>
      <c r="W56" s="90">
        <v>9412.6</v>
      </c>
      <c r="X56" s="90"/>
      <c r="Y56" s="91">
        <f>SUM(E56,O56,V56:X56)</f>
        <v>13752.84</v>
      </c>
      <c r="AA56" s="89" t="s">
        <v>326</v>
      </c>
      <c r="AB56" s="89" t="s">
        <v>160</v>
      </c>
      <c r="AC56" s="89" t="s">
        <v>278</v>
      </c>
      <c r="AD56" s="92">
        <v>12974.36</v>
      </c>
      <c r="AE56" s="89" t="s">
        <v>279</v>
      </c>
      <c r="AF56" s="92">
        <v>778.48</v>
      </c>
    </row>
    <row r="57" spans="1:32" s="89" customFormat="1" ht="11.4" x14ac:dyDescent="0.25">
      <c r="A57" s="89" t="s">
        <v>327</v>
      </c>
      <c r="E57" s="90">
        <f>SUM(E16:E56)</f>
        <v>29268.159999999993</v>
      </c>
      <c r="F57" s="90"/>
      <c r="G57" s="90"/>
      <c r="H57" s="90">
        <f t="shared" ref="H57:Y57" si="3">SUM(H16:H56)</f>
        <v>52287.520000000004</v>
      </c>
      <c r="I57" s="90">
        <f t="shared" si="3"/>
        <v>29411.78000000001</v>
      </c>
      <c r="J57" s="90">
        <f t="shared" si="3"/>
        <v>1634.0100000000002</v>
      </c>
      <c r="K57" s="90">
        <f t="shared" si="3"/>
        <v>653.62999999999965</v>
      </c>
      <c r="L57" s="90">
        <f t="shared" si="3"/>
        <v>0</v>
      </c>
      <c r="M57" s="90">
        <f t="shared" si="3"/>
        <v>4901.9800000000032</v>
      </c>
      <c r="N57" s="90">
        <f t="shared" si="3"/>
        <v>17574</v>
      </c>
      <c r="O57" s="90">
        <f t="shared" si="3"/>
        <v>106462.91999999994</v>
      </c>
      <c r="P57" s="90">
        <f t="shared" si="3"/>
        <v>26143.760000000002</v>
      </c>
      <c r="Q57" s="90">
        <f t="shared" si="3"/>
        <v>6535.9400000000005</v>
      </c>
      <c r="R57" s="90">
        <f t="shared" si="3"/>
        <v>1634.0100000000002</v>
      </c>
      <c r="S57" s="90">
        <f t="shared" si="3"/>
        <v>0</v>
      </c>
      <c r="T57" s="90">
        <f t="shared" si="3"/>
        <v>0</v>
      </c>
      <c r="U57" s="90">
        <f t="shared" si="3"/>
        <v>17574</v>
      </c>
      <c r="V57" s="90">
        <f t="shared" si="3"/>
        <v>51887.71</v>
      </c>
      <c r="W57" s="90">
        <f t="shared" si="3"/>
        <v>258783.43000000002</v>
      </c>
      <c r="X57" s="90">
        <f t="shared" si="3"/>
        <v>0</v>
      </c>
      <c r="Y57" s="91">
        <f t="shared" si="3"/>
        <v>446402.22000000009</v>
      </c>
      <c r="AD57" s="92">
        <f>SUM(AD16:AD56)</f>
        <v>421133.78</v>
      </c>
      <c r="AF57" s="92">
        <f>SUM(AF16:AF56)</f>
        <v>25268.440000000006</v>
      </c>
    </row>
    <row r="58" spans="1:32" s="89" customFormat="1" ht="11.4" x14ac:dyDescent="0.25">
      <c r="A58" s="93" t="s">
        <v>328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4">
        <v>446402.22</v>
      </c>
      <c r="AD58" s="92"/>
      <c r="AF58" s="92"/>
    </row>
    <row r="59" spans="1:32" x14ac:dyDescent="0.25"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 spans="1:32" s="97" customFormat="1" ht="11.4" x14ac:dyDescent="0.25">
      <c r="A60" s="96" t="s">
        <v>329</v>
      </c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AD60" s="98"/>
      <c r="AF60" s="98"/>
    </row>
    <row r="61" spans="1:32" s="100" customFormat="1" ht="30" customHeight="1" x14ac:dyDescent="0.15">
      <c r="A61" s="78" t="s">
        <v>83</v>
      </c>
      <c r="B61" s="78" t="s">
        <v>231</v>
      </c>
      <c r="C61" s="78" t="s">
        <v>330</v>
      </c>
      <c r="D61" s="78" t="s">
        <v>331</v>
      </c>
      <c r="E61" s="79" t="s">
        <v>244</v>
      </c>
      <c r="F61" s="79" t="s">
        <v>248</v>
      </c>
      <c r="G61" s="79" t="s">
        <v>249</v>
      </c>
      <c r="H61" s="79" t="s">
        <v>250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AD61" s="99"/>
      <c r="AF61" s="99"/>
    </row>
    <row r="62" spans="1:32" s="102" customFormat="1" ht="30" customHeight="1" x14ac:dyDescent="0.25">
      <c r="A62" s="85" t="s">
        <v>251</v>
      </c>
      <c r="B62" s="85" t="s">
        <v>252</v>
      </c>
      <c r="C62" s="85" t="s">
        <v>332</v>
      </c>
      <c r="D62" s="85" t="s">
        <v>333</v>
      </c>
      <c r="E62" s="86" t="s">
        <v>269</v>
      </c>
      <c r="F62" s="86" t="s">
        <v>273</v>
      </c>
      <c r="G62" s="86" t="s">
        <v>274</v>
      </c>
      <c r="H62" s="86" t="s">
        <v>2</v>
      </c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AD62" s="101"/>
      <c r="AF62" s="101"/>
    </row>
    <row r="63" spans="1:32" s="97" customFormat="1" ht="11.4" x14ac:dyDescent="0.25">
      <c r="A63" s="89">
        <v>1</v>
      </c>
      <c r="B63" s="89" t="s">
        <v>275</v>
      </c>
      <c r="C63" s="89" t="s">
        <v>334</v>
      </c>
      <c r="D63" s="90">
        <v>0</v>
      </c>
      <c r="E63" s="92"/>
      <c r="F63" s="90">
        <v>0.39</v>
      </c>
      <c r="G63" s="92">
        <v>0.06</v>
      </c>
      <c r="H63" s="90">
        <v>-0.39</v>
      </c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AD63" s="98"/>
      <c r="AF63" s="98"/>
    </row>
    <row r="64" spans="1:32" s="97" customFormat="1" ht="11.4" x14ac:dyDescent="0.25">
      <c r="A64" s="89" t="s">
        <v>327</v>
      </c>
      <c r="B64" s="89"/>
      <c r="C64" s="89"/>
      <c r="D64" s="90">
        <f>SUM(D63:D63)</f>
        <v>0</v>
      </c>
      <c r="E64" s="92"/>
      <c r="F64" s="90">
        <f>SUM(F63:F63)</f>
        <v>0.39</v>
      </c>
      <c r="G64" s="92"/>
      <c r="H64" s="90">
        <f>SUM(H63:H63)</f>
        <v>-0.39</v>
      </c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AD64" s="98"/>
      <c r="AF64" s="98"/>
    </row>
    <row r="65" spans="1:32" s="97" customFormat="1" ht="11.4" x14ac:dyDescent="0.25">
      <c r="A65" s="93" t="s">
        <v>335</v>
      </c>
      <c r="B65" s="89"/>
      <c r="C65" s="89"/>
      <c r="D65" s="103">
        <v>0</v>
      </c>
      <c r="E65" s="92"/>
      <c r="F65" s="103">
        <v>0.39</v>
      </c>
      <c r="G65" s="92"/>
      <c r="H65" s="103">
        <v>-0.39</v>
      </c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AD65" s="98"/>
      <c r="AF65" s="98"/>
    </row>
    <row r="67" spans="1:32" x14ac:dyDescent="0.25">
      <c r="A67" s="69" t="s">
        <v>336</v>
      </c>
    </row>
    <row r="68" spans="1:32" ht="25.05" customHeight="1" x14ac:dyDescent="0.25">
      <c r="A68" s="104" t="s">
        <v>337</v>
      </c>
      <c r="B68" s="104" t="s">
        <v>338</v>
      </c>
      <c r="C68" s="104" t="s">
        <v>249</v>
      </c>
      <c r="D68" s="104" t="s">
        <v>339</v>
      </c>
    </row>
    <row r="69" spans="1:32" ht="25.05" customHeight="1" x14ac:dyDescent="0.25">
      <c r="A69" s="105"/>
      <c r="B69" s="105"/>
      <c r="C69" s="105"/>
      <c r="D69" s="105"/>
    </row>
    <row r="70" spans="1:32" x14ac:dyDescent="0.25">
      <c r="A70" s="89">
        <v>1</v>
      </c>
      <c r="B70" s="92">
        <v>421134.17</v>
      </c>
      <c r="C70" s="89" t="s">
        <v>279</v>
      </c>
      <c r="D70" s="92">
        <v>25268.05</v>
      </c>
    </row>
    <row r="71" spans="1:32" x14ac:dyDescent="0.25">
      <c r="A71" s="89" t="s">
        <v>340</v>
      </c>
      <c r="B71" s="92">
        <v>421134.17</v>
      </c>
      <c r="C71" s="89"/>
      <c r="D71" s="92">
        <v>25268.05</v>
      </c>
    </row>
    <row r="72" spans="1:32" x14ac:dyDescent="0.25">
      <c r="A72" s="106" t="s">
        <v>341</v>
      </c>
      <c r="B72" s="107"/>
      <c r="C72" s="107"/>
      <c r="D72" s="108">
        <v>25268.05</v>
      </c>
    </row>
    <row r="73" spans="1:32" x14ac:dyDescent="0.25">
      <c r="A73" s="109" t="s">
        <v>342</v>
      </c>
    </row>
    <row r="74" spans="1:32" x14ac:dyDescent="0.25">
      <c r="A74" s="110">
        <v>446402.22</v>
      </c>
    </row>
    <row r="75" spans="1:32" x14ac:dyDescent="0.25">
      <c r="A75" s="109" t="s">
        <v>343</v>
      </c>
    </row>
    <row r="77" spans="1:32" s="112" customFormat="1" ht="17.399999999999999" x14ac:dyDescent="0.25">
      <c r="A77" s="111" t="s">
        <v>344</v>
      </c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D77" s="113"/>
      <c r="AF77" s="113"/>
    </row>
    <row r="79" spans="1:32" x14ac:dyDescent="0.25">
      <c r="A79" s="114" t="s">
        <v>345</v>
      </c>
      <c r="J79" s="70" t="s">
        <v>346</v>
      </c>
    </row>
    <row r="81" spans="1:10" x14ac:dyDescent="0.25">
      <c r="A81" s="68" t="s">
        <v>347</v>
      </c>
      <c r="G81" s="115" t="s">
        <v>347</v>
      </c>
    </row>
    <row r="82" spans="1:10" x14ac:dyDescent="0.25">
      <c r="A82" s="68" t="s">
        <v>348</v>
      </c>
      <c r="G82" s="115" t="s">
        <v>349</v>
      </c>
    </row>
    <row r="83" spans="1:10" x14ac:dyDescent="0.25">
      <c r="A83" s="68" t="s">
        <v>350</v>
      </c>
      <c r="G83" s="115" t="s">
        <v>351</v>
      </c>
    </row>
    <row r="84" spans="1:10" x14ac:dyDescent="0.25">
      <c r="A84" s="68" t="s">
        <v>352</v>
      </c>
      <c r="G84" s="115" t="s">
        <v>353</v>
      </c>
    </row>
    <row r="85" spans="1:10" x14ac:dyDescent="0.25">
      <c r="A85" s="68" t="s">
        <v>354</v>
      </c>
      <c r="G85" s="115" t="s">
        <v>355</v>
      </c>
    </row>
    <row r="87" spans="1:10" x14ac:dyDescent="0.25">
      <c r="A87" s="68" t="s">
        <v>347</v>
      </c>
    </row>
    <row r="88" spans="1:10" x14ac:dyDescent="0.25">
      <c r="A88" s="68" t="s">
        <v>356</v>
      </c>
    </row>
    <row r="89" spans="1:10" x14ac:dyDescent="0.25">
      <c r="A89" s="68" t="s">
        <v>357</v>
      </c>
    </row>
    <row r="90" spans="1:10" x14ac:dyDescent="0.25">
      <c r="A90" s="68" t="s">
        <v>358</v>
      </c>
    </row>
    <row r="91" spans="1:10" x14ac:dyDescent="0.25">
      <c r="A91" s="68" t="s">
        <v>359</v>
      </c>
    </row>
    <row r="93" spans="1:10" x14ac:dyDescent="0.25">
      <c r="A93" s="114" t="s">
        <v>360</v>
      </c>
      <c r="D93" s="114" t="s">
        <v>361</v>
      </c>
      <c r="G93" s="115" t="s">
        <v>224</v>
      </c>
    </row>
    <row r="94" spans="1:10" x14ac:dyDescent="0.25">
      <c r="A94" s="114" t="s">
        <v>362</v>
      </c>
      <c r="G94" s="116" t="s">
        <v>363</v>
      </c>
    </row>
    <row r="95" spans="1:10" x14ac:dyDescent="0.25">
      <c r="A95" s="114" t="s">
        <v>364</v>
      </c>
      <c r="D95" s="114" t="s">
        <v>365</v>
      </c>
      <c r="G95" s="116" t="s">
        <v>366</v>
      </c>
    </row>
    <row r="96" spans="1:10" x14ac:dyDescent="0.25">
      <c r="A96" s="114" t="s">
        <v>367</v>
      </c>
      <c r="D96" s="114" t="s">
        <v>368</v>
      </c>
      <c r="G96" s="116" t="s">
        <v>369</v>
      </c>
      <c r="J96" s="116" t="s">
        <v>370</v>
      </c>
    </row>
    <row r="98" spans="1:2" x14ac:dyDescent="0.25">
      <c r="A98" s="114" t="s">
        <v>371</v>
      </c>
      <c r="B98" s="114" t="s">
        <v>372</v>
      </c>
    </row>
    <row r="99" spans="1:2" x14ac:dyDescent="0.25">
      <c r="B99" s="114" t="s">
        <v>373</v>
      </c>
    </row>
    <row r="100" spans="1:2" x14ac:dyDescent="0.25">
      <c r="B100" s="114" t="s">
        <v>374</v>
      </c>
    </row>
    <row r="101" spans="1:2" x14ac:dyDescent="0.25">
      <c r="B101" s="114" t="s">
        <v>375</v>
      </c>
    </row>
    <row r="102" spans="1:2" x14ac:dyDescent="0.25">
      <c r="B102" s="114" t="s">
        <v>376</v>
      </c>
    </row>
    <row r="104" spans="1:2" x14ac:dyDescent="0.25">
      <c r="A104" s="114" t="s">
        <v>377</v>
      </c>
      <c r="B104" s="114" t="s">
        <v>378</v>
      </c>
    </row>
    <row r="105" spans="1:2" x14ac:dyDescent="0.25">
      <c r="B105" s="114" t="s">
        <v>379</v>
      </c>
    </row>
  </sheetData>
  <mergeCells count="7">
    <mergeCell ref="A72:C72"/>
    <mergeCell ref="H14:M14"/>
    <mergeCell ref="P14:T14"/>
    <mergeCell ref="A68:A69"/>
    <mergeCell ref="B68:B69"/>
    <mergeCell ref="C68:C69"/>
    <mergeCell ref="D68:D6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202503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2025-03-13T08:10:39Z</dcterms:modified>
</cp:coreProperties>
</file>