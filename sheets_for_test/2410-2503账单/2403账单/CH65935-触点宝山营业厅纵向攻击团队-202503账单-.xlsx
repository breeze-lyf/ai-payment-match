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/>
  <mc:AlternateContent xmlns:mc="http://schemas.openxmlformats.org/markup-compatibility/2006">
    <mc:Choice Requires="x15">
      <x15ac:absPath xmlns:x15ac="http://schemas.microsoft.com/office/spreadsheetml/2010/11/ac" url="C:\Users\zidan.luo\Desktop\电信工作\202503电信\202503账单\"/>
    </mc:Choice>
  </mc:AlternateContent>
  <xr:revisionPtr revIDLastSave="0" documentId="13_ncr:1_{919D7AB1-3E46-44D0-9B1C-03F57EF22A99}" xr6:coauthVersionLast="36" xr6:coauthVersionMax="36" xr10:uidLastSave="{00000000-0000-0000-0000-000000000000}"/>
  <bookViews>
    <workbookView xWindow="0" yWindow="0" windowWidth="23040" windowHeight="8700" xr2:uid="{00000000-000D-0000-FFFF-FFFF00000000}"/>
  </bookViews>
  <sheets>
    <sheet name="202503" sheetId="1" r:id="rId1"/>
    <sheet name="对账单" sheetId="3" r:id="rId2"/>
    <sheet name="系统" sheetId="2" r:id="rId3"/>
  </sheets>
  <externalReferences>
    <externalReference r:id="rId4"/>
    <externalReference r:id="rId5"/>
  </externalReferences>
  <definedNames>
    <definedName name="_xlnm._FilterDatabase" localSheetId="0" hidden="1">'202503'!$A$1:$BH$40</definedName>
  </definedNames>
  <calcPr calcId="191029"/>
</workbook>
</file>

<file path=xl/calcChain.xml><?xml version="1.0" encoding="utf-8"?>
<calcChain xmlns="http://schemas.openxmlformats.org/spreadsheetml/2006/main">
  <c r="E14" i="3" l="1"/>
  <c r="E13" i="3"/>
  <c r="E5" i="3"/>
  <c r="G9" i="3" l="1"/>
  <c r="F9" i="3"/>
  <c r="D7" i="3"/>
  <c r="D2" i="3"/>
  <c r="AV44" i="1"/>
  <c r="AV43" i="1"/>
  <c r="AG44" i="1"/>
  <c r="AG43" i="1"/>
  <c r="Z44" i="1"/>
  <c r="Z43" i="1"/>
  <c r="BA45" i="1"/>
  <c r="BD45" i="1"/>
  <c r="BD44" i="1"/>
  <c r="BD43" i="1"/>
  <c r="BA44" i="1"/>
  <c r="BA43" i="1"/>
  <c r="B2" i="3"/>
  <c r="BC44" i="1"/>
  <c r="BC43" i="1"/>
  <c r="B10" i="3"/>
  <c r="J10" i="3" s="1"/>
  <c r="C7" i="3"/>
  <c r="C5" i="3"/>
  <c r="J5" i="3" s="1"/>
  <c r="C4" i="3"/>
  <c r="C2" i="3"/>
  <c r="B8" i="3"/>
  <c r="B5" i="3"/>
  <c r="H11" i="3"/>
  <c r="G11" i="3"/>
  <c r="E11" i="3"/>
  <c r="I10" i="3"/>
  <c r="J8" i="3"/>
  <c r="I8" i="3"/>
  <c r="I7" i="3"/>
  <c r="J6" i="3"/>
  <c r="I6" i="3"/>
  <c r="I5" i="3"/>
  <c r="I4" i="3"/>
  <c r="I3" i="3"/>
  <c r="I2" i="3"/>
  <c r="C11" i="3"/>
  <c r="F11" i="3" l="1"/>
  <c r="I9" i="3"/>
  <c r="H14" i="3"/>
  <c r="C14" i="3"/>
  <c r="D11" i="3"/>
  <c r="I11" i="3" s="1"/>
  <c r="G13" i="3"/>
  <c r="G14" i="3" s="1"/>
  <c r="H13" i="3"/>
  <c r="D13" i="3" l="1"/>
  <c r="F13" i="3"/>
  <c r="F14" i="3" s="1"/>
  <c r="I13" i="3" l="1"/>
  <c r="D14" i="3"/>
  <c r="I14" i="3" s="1"/>
  <c r="H61" i="2" l="1"/>
  <c r="F61" i="2"/>
  <c r="D61" i="2"/>
  <c r="AE54" i="2"/>
  <c r="AC54" i="2"/>
  <c r="X54" i="2"/>
  <c r="W54" i="2"/>
  <c r="U54" i="2"/>
  <c r="T54" i="2"/>
  <c r="S54" i="2"/>
  <c r="R54" i="2"/>
  <c r="Q54" i="2"/>
  <c r="P54" i="2"/>
  <c r="N54" i="2"/>
  <c r="M54" i="2"/>
  <c r="L54" i="2"/>
  <c r="K54" i="2"/>
  <c r="J54" i="2"/>
  <c r="I54" i="2"/>
  <c r="H54" i="2"/>
  <c r="E54" i="2"/>
  <c r="Y53" i="2"/>
  <c r="V53" i="2"/>
  <c r="O53" i="2"/>
  <c r="Y52" i="2"/>
  <c r="V52" i="2"/>
  <c r="O52" i="2"/>
  <c r="V51" i="2"/>
  <c r="O51" i="2"/>
  <c r="Y51" i="2" s="1"/>
  <c r="V50" i="2"/>
  <c r="O50" i="2"/>
  <c r="Y50" i="2" s="1"/>
  <c r="Y49" i="2"/>
  <c r="V49" i="2"/>
  <c r="O49" i="2"/>
  <c r="Y48" i="2"/>
  <c r="V48" i="2"/>
  <c r="O48" i="2"/>
  <c r="V47" i="2"/>
  <c r="O47" i="2"/>
  <c r="Y47" i="2" s="1"/>
  <c r="V46" i="2"/>
  <c r="O46" i="2"/>
  <c r="Y46" i="2" s="1"/>
  <c r="Y45" i="2"/>
  <c r="V45" i="2"/>
  <c r="O45" i="2"/>
  <c r="Y44" i="2"/>
  <c r="V44" i="2"/>
  <c r="O44" i="2"/>
  <c r="V43" i="2"/>
  <c r="O43" i="2"/>
  <c r="Y43" i="2" s="1"/>
  <c r="V42" i="2"/>
  <c r="O42" i="2"/>
  <c r="Y42" i="2" s="1"/>
  <c r="Y41" i="2"/>
  <c r="V41" i="2"/>
  <c r="O41" i="2"/>
  <c r="Y40" i="2"/>
  <c r="V40" i="2"/>
  <c r="O40" i="2"/>
  <c r="V39" i="2"/>
  <c r="O39" i="2"/>
  <c r="Y39" i="2" s="1"/>
  <c r="V38" i="2"/>
  <c r="O38" i="2"/>
  <c r="Y38" i="2" s="1"/>
  <c r="Y37" i="2"/>
  <c r="V37" i="2"/>
  <c r="O37" i="2"/>
  <c r="Y36" i="2"/>
  <c r="V36" i="2"/>
  <c r="O36" i="2"/>
  <c r="V35" i="2"/>
  <c r="O35" i="2"/>
  <c r="Y35" i="2" s="1"/>
  <c r="V34" i="2"/>
  <c r="O34" i="2"/>
  <c r="Y34" i="2" s="1"/>
  <c r="Y33" i="2"/>
  <c r="V33" i="2"/>
  <c r="O33" i="2"/>
  <c r="Y32" i="2"/>
  <c r="V32" i="2"/>
  <c r="O32" i="2"/>
  <c r="V31" i="2"/>
  <c r="O31" i="2"/>
  <c r="Y31" i="2" s="1"/>
  <c r="V30" i="2"/>
  <c r="O30" i="2"/>
  <c r="Y30" i="2" s="1"/>
  <c r="Y29" i="2"/>
  <c r="V29" i="2"/>
  <c r="O29" i="2"/>
  <c r="Y28" i="2"/>
  <c r="V28" i="2"/>
  <c r="O28" i="2"/>
  <c r="V27" i="2"/>
  <c r="O27" i="2"/>
  <c r="Y27" i="2" s="1"/>
  <c r="V26" i="2"/>
  <c r="O26" i="2"/>
  <c r="Y26" i="2" s="1"/>
  <c r="Y25" i="2"/>
  <c r="V25" i="2"/>
  <c r="O25" i="2"/>
  <c r="Y24" i="2"/>
  <c r="V24" i="2"/>
  <c r="O24" i="2"/>
  <c r="V23" i="2"/>
  <c r="O23" i="2"/>
  <c r="Y23" i="2" s="1"/>
  <c r="V22" i="2"/>
  <c r="O22" i="2"/>
  <c r="Y22" i="2" s="1"/>
  <c r="Y21" i="2"/>
  <c r="V21" i="2"/>
  <c r="O21" i="2"/>
  <c r="Y20" i="2"/>
  <c r="V20" i="2"/>
  <c r="O20" i="2"/>
  <c r="V19" i="2"/>
  <c r="O19" i="2"/>
  <c r="Y19" i="2" s="1"/>
  <c r="V18" i="2"/>
  <c r="O18" i="2"/>
  <c r="Y18" i="2" s="1"/>
  <c r="Y17" i="2"/>
  <c r="V17" i="2"/>
  <c r="O17" i="2"/>
  <c r="Y16" i="2"/>
  <c r="Y54" i="2" s="1"/>
  <c r="V16" i="2"/>
  <c r="V54" i="2" s="1"/>
  <c r="O16" i="2"/>
  <c r="O54" i="2" l="1"/>
  <c r="AY50" i="1"/>
  <c r="AG49" i="1"/>
  <c r="Z49" i="1"/>
  <c r="A49" i="1"/>
  <c r="AG48" i="1"/>
  <c r="Z48" i="1"/>
  <c r="A48" i="1"/>
  <c r="BE43" i="1"/>
  <c r="AK49" i="1" l="1"/>
  <c r="AK48" i="1"/>
  <c r="AX44" i="1"/>
  <c r="AU44" i="1"/>
  <c r="AU43" i="1"/>
  <c r="AY35" i="1"/>
  <c r="AY44" i="1" s="1"/>
  <c r="AY36" i="1"/>
  <c r="BE19" i="1"/>
  <c r="AU19" i="1"/>
  <c r="AG19" i="1"/>
  <c r="Z19" i="1"/>
  <c r="AK19" i="1" s="1"/>
  <c r="A19" i="1"/>
  <c r="BE18" i="1"/>
  <c r="AU18" i="1"/>
  <c r="AG18" i="1"/>
  <c r="Z18" i="1"/>
  <c r="A18" i="1"/>
  <c r="BE17" i="1"/>
  <c r="AU17" i="1"/>
  <c r="AG17" i="1"/>
  <c r="Z17" i="1"/>
  <c r="A17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20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3" i="1"/>
  <c r="AW17" i="1" l="1"/>
  <c r="BB17" i="1" s="1"/>
  <c r="BC17" i="1" s="1"/>
  <c r="BD17" i="1" s="1"/>
  <c r="AW18" i="1"/>
  <c r="BB18" i="1" s="1"/>
  <c r="AK17" i="1"/>
  <c r="AK18" i="1"/>
  <c r="AW19" i="1"/>
  <c r="BB19" i="1" s="1"/>
  <c r="BC18" i="1" l="1"/>
  <c r="BD18" i="1" s="1"/>
  <c r="BC19" i="1"/>
  <c r="BD19" i="1" s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4" i="1" l="1"/>
  <c r="AY43" i="1"/>
  <c r="AX43" i="1"/>
  <c r="AT40" i="1"/>
  <c r="AS40" i="1"/>
  <c r="AP40" i="1"/>
  <c r="AO40" i="1"/>
  <c r="AN40" i="1"/>
  <c r="AG40" i="1"/>
  <c r="Z40" i="1" s="1"/>
  <c r="AK40" i="1" s="1"/>
  <c r="A40" i="1"/>
  <c r="AT39" i="1"/>
  <c r="AS39" i="1"/>
  <c r="AP39" i="1"/>
  <c r="AN39" i="1"/>
  <c r="AG39" i="1"/>
  <c r="A39" i="1"/>
  <c r="AT38" i="1"/>
  <c r="AS38" i="1"/>
  <c r="AP38" i="1"/>
  <c r="AO38" i="1"/>
  <c r="AN38" i="1"/>
  <c r="AG38" i="1"/>
  <c r="A38" i="1"/>
  <c r="AT37" i="1"/>
  <c r="AS37" i="1"/>
  <c r="AP37" i="1"/>
  <c r="AN37" i="1"/>
  <c r="AG37" i="1"/>
  <c r="Z37" i="1" s="1"/>
  <c r="AK37" i="1" s="1"/>
  <c r="A37" i="1"/>
  <c r="AT36" i="1"/>
  <c r="AS36" i="1"/>
  <c r="AP36" i="1"/>
  <c r="AO36" i="1"/>
  <c r="AN36" i="1"/>
  <c r="AG36" i="1"/>
  <c r="A36" i="1"/>
  <c r="AT35" i="1"/>
  <c r="AS35" i="1"/>
  <c r="AP35" i="1"/>
  <c r="AO35" i="1"/>
  <c r="AN35" i="1"/>
  <c r="AG35" i="1"/>
  <c r="A35" i="1"/>
  <c r="AT34" i="1"/>
  <c r="AS34" i="1"/>
  <c r="AP34" i="1"/>
  <c r="AO34" i="1"/>
  <c r="AN34" i="1"/>
  <c r="AG34" i="1"/>
  <c r="Z34" i="1" s="1"/>
  <c r="AK34" i="1" s="1"/>
  <c r="A34" i="1"/>
  <c r="AT33" i="1"/>
  <c r="AS33" i="1"/>
  <c r="AP33" i="1"/>
  <c r="AO33" i="1"/>
  <c r="AN33" i="1"/>
  <c r="AG33" i="1"/>
  <c r="Z33" i="1" s="1"/>
  <c r="AK33" i="1" s="1"/>
  <c r="A33" i="1"/>
  <c r="AT32" i="1"/>
  <c r="AS32" i="1"/>
  <c r="AP32" i="1"/>
  <c r="AO32" i="1"/>
  <c r="AN32" i="1"/>
  <c r="AG32" i="1"/>
  <c r="A32" i="1"/>
  <c r="AT31" i="1"/>
  <c r="AS31" i="1"/>
  <c r="AP31" i="1"/>
  <c r="AO31" i="1"/>
  <c r="AN31" i="1"/>
  <c r="AG31" i="1"/>
  <c r="A31" i="1"/>
  <c r="AT30" i="1"/>
  <c r="AS30" i="1"/>
  <c r="AP30" i="1"/>
  <c r="AN30" i="1"/>
  <c r="AG30" i="1"/>
  <c r="Z30" i="1" s="1"/>
  <c r="AK30" i="1" s="1"/>
  <c r="A30" i="1"/>
  <c r="AT29" i="1"/>
  <c r="AS29" i="1"/>
  <c r="AP29" i="1"/>
  <c r="AO29" i="1"/>
  <c r="AN29" i="1"/>
  <c r="AG29" i="1"/>
  <c r="A29" i="1"/>
  <c r="AT28" i="1"/>
  <c r="AS28" i="1"/>
  <c r="AP28" i="1"/>
  <c r="AO28" i="1"/>
  <c r="AN28" i="1"/>
  <c r="AG28" i="1"/>
  <c r="A28" i="1"/>
  <c r="AT27" i="1"/>
  <c r="AS27" i="1"/>
  <c r="AP27" i="1"/>
  <c r="AO27" i="1"/>
  <c r="AN27" i="1"/>
  <c r="AG27" i="1"/>
  <c r="A27" i="1"/>
  <c r="AT26" i="1"/>
  <c r="AS26" i="1"/>
  <c r="AP26" i="1"/>
  <c r="AN26" i="1"/>
  <c r="AG26" i="1"/>
  <c r="Z26" i="1" s="1"/>
  <c r="AK26" i="1" s="1"/>
  <c r="A26" i="1"/>
  <c r="AT25" i="1"/>
  <c r="AS25" i="1"/>
  <c r="AP25" i="1"/>
  <c r="AN25" i="1"/>
  <c r="AG25" i="1"/>
  <c r="Z25" i="1" s="1"/>
  <c r="AK25" i="1" s="1"/>
  <c r="A25" i="1"/>
  <c r="AT24" i="1"/>
  <c r="AS24" i="1"/>
  <c r="AP24" i="1"/>
  <c r="AO24" i="1"/>
  <c r="AN24" i="1"/>
  <c r="AG24" i="1"/>
  <c r="A24" i="1"/>
  <c r="AT23" i="1"/>
  <c r="AS23" i="1"/>
  <c r="AP23" i="1"/>
  <c r="AN23" i="1"/>
  <c r="AG23" i="1"/>
  <c r="A23" i="1"/>
  <c r="AT22" i="1"/>
  <c r="AS22" i="1"/>
  <c r="AP22" i="1"/>
  <c r="AN22" i="1"/>
  <c r="AG22" i="1"/>
  <c r="A22" i="1"/>
  <c r="AT21" i="1"/>
  <c r="AS21" i="1"/>
  <c r="AP21" i="1"/>
  <c r="AO21" i="1"/>
  <c r="AN21" i="1"/>
  <c r="AG21" i="1"/>
  <c r="Z21" i="1" s="1"/>
  <c r="AK21" i="1" s="1"/>
  <c r="A21" i="1"/>
  <c r="AT20" i="1"/>
  <c r="AS20" i="1"/>
  <c r="AP20" i="1"/>
  <c r="AN20" i="1"/>
  <c r="AG20" i="1"/>
  <c r="A20" i="1"/>
  <c r="BE16" i="1"/>
  <c r="AT16" i="1"/>
  <c r="AS16" i="1"/>
  <c r="AP16" i="1"/>
  <c r="AO16" i="1"/>
  <c r="AN16" i="1"/>
  <c r="AG16" i="1"/>
  <c r="Z16" i="1" s="1"/>
  <c r="AK16" i="1" s="1"/>
  <c r="A16" i="1"/>
  <c r="BE15" i="1"/>
  <c r="AT15" i="1"/>
  <c r="AS15" i="1"/>
  <c r="AP15" i="1"/>
  <c r="AN15" i="1"/>
  <c r="AG15" i="1"/>
  <c r="Z15" i="1" s="1"/>
  <c r="AK15" i="1" s="1"/>
  <c r="A15" i="1"/>
  <c r="BE14" i="1"/>
  <c r="AT14" i="1"/>
  <c r="AS14" i="1"/>
  <c r="AP14" i="1"/>
  <c r="AO14" i="1"/>
  <c r="AN14" i="1"/>
  <c r="AG14" i="1"/>
  <c r="Z14" i="1" s="1"/>
  <c r="AK14" i="1" s="1"/>
  <c r="A14" i="1"/>
  <c r="BE13" i="1"/>
  <c r="AT13" i="1"/>
  <c r="AS13" i="1"/>
  <c r="AP13" i="1"/>
  <c r="AN13" i="1"/>
  <c r="AG13" i="1"/>
  <c r="Z13" i="1" s="1"/>
  <c r="AK13" i="1" s="1"/>
  <c r="A13" i="1"/>
  <c r="BE12" i="1"/>
  <c r="AT12" i="1"/>
  <c r="AS12" i="1"/>
  <c r="AP12" i="1"/>
  <c r="AO12" i="1"/>
  <c r="AN12" i="1"/>
  <c r="AG12" i="1"/>
  <c r="Z12" i="1" s="1"/>
  <c r="AK12" i="1" s="1"/>
  <c r="A12" i="1"/>
  <c r="BE11" i="1"/>
  <c r="AT11" i="1"/>
  <c r="AS11" i="1"/>
  <c r="AP11" i="1"/>
  <c r="AO11" i="1"/>
  <c r="AN11" i="1"/>
  <c r="AG11" i="1"/>
  <c r="Z11" i="1" s="1"/>
  <c r="A11" i="1"/>
  <c r="BE10" i="1"/>
  <c r="AT10" i="1"/>
  <c r="AS10" i="1"/>
  <c r="AP10" i="1"/>
  <c r="AO10" i="1"/>
  <c r="AN10" i="1"/>
  <c r="AG10" i="1"/>
  <c r="Z10" i="1" s="1"/>
  <c r="AK10" i="1" s="1"/>
  <c r="A10" i="1"/>
  <c r="BE9" i="1"/>
  <c r="AT9" i="1"/>
  <c r="AS9" i="1"/>
  <c r="AP9" i="1"/>
  <c r="AO9" i="1"/>
  <c r="AN9" i="1"/>
  <c r="AG9" i="1"/>
  <c r="Z9" i="1" s="1"/>
  <c r="AK9" i="1" s="1"/>
  <c r="A9" i="1"/>
  <c r="BE8" i="1"/>
  <c r="AT8" i="1"/>
  <c r="AS8" i="1"/>
  <c r="AP8" i="1"/>
  <c r="AN8" i="1"/>
  <c r="AG8" i="1"/>
  <c r="Z8" i="1" s="1"/>
  <c r="AK8" i="1" s="1"/>
  <c r="A8" i="1"/>
  <c r="BE7" i="1"/>
  <c r="AT7" i="1"/>
  <c r="AS7" i="1"/>
  <c r="AP7" i="1"/>
  <c r="AO7" i="1"/>
  <c r="AN7" i="1"/>
  <c r="AG7" i="1"/>
  <c r="Z7" i="1" s="1"/>
  <c r="AK7" i="1" s="1"/>
  <c r="A7" i="1"/>
  <c r="BE6" i="1"/>
  <c r="AT6" i="1"/>
  <c r="AS6" i="1"/>
  <c r="AP6" i="1"/>
  <c r="AN6" i="1"/>
  <c r="AG6" i="1"/>
  <c r="Z6" i="1" s="1"/>
  <c r="AK6" i="1" s="1"/>
  <c r="A6" i="1"/>
  <c r="BE5" i="1"/>
  <c r="AT5" i="1"/>
  <c r="AS5" i="1"/>
  <c r="AP5" i="1"/>
  <c r="AN5" i="1"/>
  <c r="AG5" i="1"/>
  <c r="Z5" i="1" s="1"/>
  <c r="AK5" i="1" s="1"/>
  <c r="A5" i="1"/>
  <c r="BE4" i="1"/>
  <c r="AT4" i="1"/>
  <c r="AS4" i="1"/>
  <c r="AP4" i="1"/>
  <c r="AN4" i="1"/>
  <c r="AG4" i="1"/>
  <c r="Z4" i="1" s="1"/>
  <c r="AK4" i="1" s="1"/>
  <c r="A4" i="1"/>
  <c r="BE3" i="1"/>
  <c r="AT3" i="1"/>
  <c r="AS3" i="1"/>
  <c r="AP3" i="1"/>
  <c r="AO3" i="1"/>
  <c r="AN3" i="1"/>
  <c r="AG3" i="1"/>
  <c r="Z3" i="1" s="1"/>
  <c r="A3" i="1"/>
  <c r="AK11" i="1" l="1"/>
  <c r="AU4" i="1"/>
  <c r="BE45" i="1"/>
  <c r="AU34" i="1"/>
  <c r="AW34" i="1" s="1"/>
  <c r="AU35" i="1"/>
  <c r="AU9" i="1"/>
  <c r="AW9" i="1" s="1"/>
  <c r="BB9" i="1" s="1"/>
  <c r="AU30" i="1"/>
  <c r="AW30" i="1" s="1"/>
  <c r="AU6" i="1"/>
  <c r="AW6" i="1" s="1"/>
  <c r="AU13" i="1"/>
  <c r="AW13" i="1" s="1"/>
  <c r="AU26" i="1"/>
  <c r="AW26" i="1" s="1"/>
  <c r="B3" i="3"/>
  <c r="J3" i="3" s="1"/>
  <c r="AU23" i="1"/>
  <c r="AU38" i="1"/>
  <c r="Z24" i="1"/>
  <c r="AK24" i="1" s="1"/>
  <c r="Z32" i="1"/>
  <c r="AK32" i="1" s="1"/>
  <c r="Z36" i="1"/>
  <c r="AK36" i="1" s="1"/>
  <c r="Z28" i="1"/>
  <c r="AK28" i="1" s="1"/>
  <c r="AW4" i="1"/>
  <c r="AU5" i="1"/>
  <c r="AW5" i="1" s="1"/>
  <c r="AU29" i="1"/>
  <c r="AY45" i="1"/>
  <c r="AV45" i="1"/>
  <c r="B9" i="3" s="1"/>
  <c r="J9" i="3" s="1"/>
  <c r="AU3" i="1"/>
  <c r="AW3" i="1" s="1"/>
  <c r="BB3" i="1" s="1"/>
  <c r="AU11" i="1"/>
  <c r="AU14" i="1"/>
  <c r="AU20" i="1"/>
  <c r="AU22" i="1"/>
  <c r="AU25" i="1"/>
  <c r="AW25" i="1" s="1"/>
  <c r="BB25" i="1" s="1"/>
  <c r="AU27" i="1"/>
  <c r="AU32" i="1"/>
  <c r="AU33" i="1"/>
  <c r="AU37" i="1"/>
  <c r="AW37" i="1" s="1"/>
  <c r="AU12" i="1"/>
  <c r="AW12" i="1" s="1"/>
  <c r="BB12" i="1" s="1"/>
  <c r="AU15" i="1"/>
  <c r="AW15" i="1" s="1"/>
  <c r="AU16" i="1"/>
  <c r="AW16" i="1" s="1"/>
  <c r="BB16" i="1" s="1"/>
  <c r="AU21" i="1"/>
  <c r="AW21" i="1" s="1"/>
  <c r="AU24" i="1"/>
  <c r="AU28" i="1"/>
  <c r="AU31" i="1"/>
  <c r="AU36" i="1"/>
  <c r="AU39" i="1"/>
  <c r="AU40" i="1"/>
  <c r="AW40" i="1" s="1"/>
  <c r="Z20" i="1"/>
  <c r="AW11" i="1"/>
  <c r="BB11" i="1" s="1"/>
  <c r="AW14" i="1"/>
  <c r="Z29" i="1"/>
  <c r="AK29" i="1" s="1"/>
  <c r="Z38" i="1"/>
  <c r="AK38" i="1" s="1"/>
  <c r="Z22" i="1"/>
  <c r="AK22" i="1" s="1"/>
  <c r="Z31" i="1"/>
  <c r="AK31" i="1" s="1"/>
  <c r="Z23" i="1"/>
  <c r="AK23" i="1" s="1"/>
  <c r="AW33" i="1"/>
  <c r="Z39" i="1"/>
  <c r="AK39" i="1" s="1"/>
  <c r="Z35" i="1"/>
  <c r="AK35" i="1" s="1"/>
  <c r="Z27" i="1"/>
  <c r="AK27" i="1" s="1"/>
  <c r="AK3" i="1"/>
  <c r="AU7" i="1"/>
  <c r="AW7" i="1" s="1"/>
  <c r="BB7" i="1" s="1"/>
  <c r="AU10" i="1"/>
  <c r="AW10" i="1" s="1"/>
  <c r="BB10" i="1" s="1"/>
  <c r="AU8" i="1"/>
  <c r="AW8" i="1" s="1"/>
  <c r="BB8" i="1" s="1"/>
  <c r="BB33" i="1" l="1"/>
  <c r="BC33" i="1" s="1"/>
  <c r="BD33" i="1" s="1"/>
  <c r="BB30" i="1"/>
  <c r="BC30" i="1" s="1"/>
  <c r="BD30" i="1" s="1"/>
  <c r="BB15" i="1"/>
  <c r="BC15" i="1" s="1"/>
  <c r="BD15" i="1" s="1"/>
  <c r="BB4" i="1"/>
  <c r="BC4" i="1" s="1"/>
  <c r="BD4" i="1" s="1"/>
  <c r="BB14" i="1"/>
  <c r="BC14" i="1" s="1"/>
  <c r="BD14" i="1" s="1"/>
  <c r="BB13" i="1"/>
  <c r="BC13" i="1" s="1"/>
  <c r="BD13" i="1" s="1"/>
  <c r="BB5" i="1"/>
  <c r="BC5" i="1" s="1"/>
  <c r="BD5" i="1" s="1"/>
  <c r="BB40" i="1"/>
  <c r="BC40" i="1" s="1"/>
  <c r="BD40" i="1" s="1"/>
  <c r="BB26" i="1"/>
  <c r="BC26" i="1" s="1"/>
  <c r="BD26" i="1" s="1"/>
  <c r="BB21" i="1"/>
  <c r="BC21" i="1" s="1"/>
  <c r="BD21" i="1" s="1"/>
  <c r="BB37" i="1"/>
  <c r="BC37" i="1" s="1"/>
  <c r="BD37" i="1" s="1"/>
  <c r="BB6" i="1"/>
  <c r="BC6" i="1" s="1"/>
  <c r="BD6" i="1" s="1"/>
  <c r="BB34" i="1"/>
  <c r="BC34" i="1" s="1"/>
  <c r="BD34" i="1" s="1"/>
  <c r="AK43" i="1"/>
  <c r="AW43" i="1"/>
  <c r="AK20" i="1"/>
  <c r="AK44" i="1" s="1"/>
  <c r="Z45" i="1"/>
  <c r="AG45" i="1"/>
  <c r="B4" i="3" s="1"/>
  <c r="J4" i="3" s="1"/>
  <c r="AW36" i="1"/>
  <c r="AW29" i="1"/>
  <c r="AX45" i="1"/>
  <c r="BC9" i="1"/>
  <c r="BD9" i="1" s="1"/>
  <c r="AW38" i="1"/>
  <c r="AW24" i="1"/>
  <c r="AW31" i="1"/>
  <c r="AW22" i="1"/>
  <c r="AW32" i="1"/>
  <c r="AW28" i="1"/>
  <c r="AW39" i="1"/>
  <c r="AW23" i="1"/>
  <c r="AW27" i="1"/>
  <c r="AW35" i="1"/>
  <c r="BB35" i="1" s="1"/>
  <c r="AW20" i="1"/>
  <c r="BB20" i="1" s="1"/>
  <c r="BC25" i="1"/>
  <c r="BD25" i="1" s="1"/>
  <c r="BC12" i="1"/>
  <c r="BD12" i="1" s="1"/>
  <c r="AU45" i="1"/>
  <c r="BC16" i="1"/>
  <c r="BD16" i="1" s="1"/>
  <c r="BC8" i="1"/>
  <c r="BD8" i="1" s="1"/>
  <c r="BC10" i="1"/>
  <c r="BD10" i="1" s="1"/>
  <c r="BC7" i="1"/>
  <c r="BD7" i="1" s="1"/>
  <c r="B7" i="3" l="1"/>
  <c r="J7" i="3" s="1"/>
  <c r="AK45" i="1"/>
  <c r="BB32" i="1"/>
  <c r="BC32" i="1" s="1"/>
  <c r="BD32" i="1" s="1"/>
  <c r="BB38" i="1"/>
  <c r="BC38" i="1" s="1"/>
  <c r="BD38" i="1" s="1"/>
  <c r="BB36" i="1"/>
  <c r="BC36" i="1" s="1"/>
  <c r="BD36" i="1" s="1"/>
  <c r="BB22" i="1"/>
  <c r="BC22" i="1" s="1"/>
  <c r="BD22" i="1" s="1"/>
  <c r="BB27" i="1"/>
  <c r="BC27" i="1" s="1"/>
  <c r="BD27" i="1" s="1"/>
  <c r="BB23" i="1"/>
  <c r="BC23" i="1" s="1"/>
  <c r="BD23" i="1" s="1"/>
  <c r="BB39" i="1"/>
  <c r="BC39" i="1" s="1"/>
  <c r="BD39" i="1" s="1"/>
  <c r="BB31" i="1"/>
  <c r="BC31" i="1" s="1"/>
  <c r="BD31" i="1" s="1"/>
  <c r="BB28" i="1"/>
  <c r="BC28" i="1" s="1"/>
  <c r="BD28" i="1" s="1"/>
  <c r="BB24" i="1"/>
  <c r="BC24" i="1" s="1"/>
  <c r="BD24" i="1" s="1"/>
  <c r="BB29" i="1"/>
  <c r="BC29" i="1" s="1"/>
  <c r="BD29" i="1" s="1"/>
  <c r="AW44" i="1"/>
  <c r="AW45" i="1" s="1"/>
  <c r="BC11" i="1"/>
  <c r="BD11" i="1" s="1"/>
  <c r="BB43" i="1"/>
  <c r="BC35" i="1"/>
  <c r="BD35" i="1" s="1"/>
  <c r="BC20" i="1"/>
  <c r="BC3" i="1"/>
  <c r="BB44" i="1" l="1"/>
  <c r="BB45" i="1" s="1"/>
  <c r="BC45" i="1"/>
  <c r="BD20" i="1"/>
  <c r="BD3" i="1"/>
  <c r="J2" i="3" l="1"/>
  <c r="B11" i="3"/>
  <c r="B14" i="3" s="1"/>
  <c r="I15" i="3" s="1"/>
  <c r="I16" i="3" s="1"/>
  <c r="I1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yewei.du</author>
  </authors>
  <commentList>
    <comment ref="B2" authorId="0" shapeId="0" xr:uid="{9C23F984-40C8-47F4-BB64-3EF898C29BFC}">
      <text>
        <r>
          <rPr>
            <b/>
            <sz val="9"/>
            <rFont val="宋体"/>
            <family val="3"/>
            <charset val="134"/>
          </rPr>
          <t>含附加税、增值税、福利费</t>
        </r>
      </text>
    </comment>
    <comment ref="E5" authorId="1" shapeId="0" xr:uid="{7FB8EBD0-5C45-4152-BBE3-E158E2F8E527}">
      <text>
        <r>
          <rPr>
            <b/>
            <sz val="9"/>
            <color indexed="81"/>
            <rFont val="宋体"/>
            <family val="3"/>
            <charset val="134"/>
          </rPr>
          <t>yewei.du:</t>
        </r>
        <r>
          <rPr>
            <sz val="9"/>
            <color indexed="81"/>
            <rFont val="宋体"/>
            <family val="3"/>
            <charset val="134"/>
          </rPr>
          <t xml:space="preserve">
不用实际添加，上月已有金额</t>
        </r>
      </text>
    </comment>
  </commentList>
</comments>
</file>

<file path=xl/sharedStrings.xml><?xml version="1.0" encoding="utf-8"?>
<sst xmlns="http://schemas.openxmlformats.org/spreadsheetml/2006/main" count="698" uniqueCount="389">
  <si>
    <t>序号</t>
  </si>
  <si>
    <t>计薪
周期</t>
  </si>
  <si>
    <t>工号</t>
  </si>
  <si>
    <t>姓名</t>
  </si>
  <si>
    <t>身份证号</t>
  </si>
  <si>
    <t>劳动合同起始日期</t>
  </si>
  <si>
    <t>劳动合同结束日期</t>
  </si>
  <si>
    <t>离职日期</t>
  </si>
  <si>
    <t>社保缴纳地</t>
  </si>
  <si>
    <t>星级费用</t>
  </si>
  <si>
    <t>考核费用</t>
  </si>
  <si>
    <t>量化费用</t>
  </si>
  <si>
    <t>专项费用</t>
  </si>
  <si>
    <t>当月税前工资合计</t>
  </si>
  <si>
    <t>社保基数(个人)</t>
  </si>
  <si>
    <t>养老保险(个人)</t>
  </si>
  <si>
    <t>医疗保险(个人)</t>
  </si>
  <si>
    <t>失业保险(个人)</t>
  </si>
  <si>
    <t>公积金基数(个人)</t>
  </si>
  <si>
    <t>住房公积金(个人)</t>
  </si>
  <si>
    <t>员工五险一金合计</t>
  </si>
  <si>
    <t>本月个人所得税-系统导出</t>
  </si>
  <si>
    <t>税后增加</t>
  </si>
  <si>
    <t>税后扣减</t>
  </si>
  <si>
    <t>员工实发合计</t>
  </si>
  <si>
    <t>社保基数</t>
  </si>
  <si>
    <t>公积金基数</t>
  </si>
  <si>
    <t>养老缴费</t>
  </si>
  <si>
    <t>医疗缴费</t>
  </si>
  <si>
    <t>失业保险</t>
  </si>
  <si>
    <t>工伤保险</t>
  </si>
  <si>
    <t>生育保险</t>
  </si>
  <si>
    <t>公积金</t>
  </si>
  <si>
    <t>残保金</t>
  </si>
  <si>
    <t>企业五险一金合计</t>
  </si>
  <si>
    <t>工会费</t>
  </si>
  <si>
    <t>代收付合计</t>
  </si>
  <si>
    <t>社保备注</t>
  </si>
  <si>
    <t>外包服务费</t>
  </si>
  <si>
    <t>税前项合计</t>
  </si>
  <si>
    <t>增值税</t>
  </si>
  <si>
    <t>总计</t>
  </si>
  <si>
    <t>工会费退回</t>
  </si>
  <si>
    <t>NO.</t>
  </si>
  <si>
    <t>Salary Cycle</t>
  </si>
  <si>
    <t>Employee No.</t>
  </si>
  <si>
    <t>Name</t>
  </si>
  <si>
    <t>ID No.</t>
  </si>
  <si>
    <t>Contract Starting Date</t>
  </si>
  <si>
    <t>Contract Expiry Date</t>
  </si>
  <si>
    <t>Exit Date</t>
  </si>
  <si>
    <t>Social Insurance City</t>
  </si>
  <si>
    <t>Contract Salary</t>
  </si>
  <si>
    <t>Assessment fees</t>
  </si>
  <si>
    <t>Quantifying costs</t>
  </si>
  <si>
    <t>支局专项</t>
  </si>
  <si>
    <t>1+1激励</t>
  </si>
  <si>
    <t>交通费</t>
  </si>
  <si>
    <t>效能补贴</t>
  </si>
  <si>
    <t>伙食补贴</t>
  </si>
  <si>
    <t>高温费及清凉饮料费
（6-9月）</t>
  </si>
  <si>
    <t>独生子女奖励</t>
  </si>
  <si>
    <t>保险费</t>
  </si>
  <si>
    <t>其他费用</t>
  </si>
  <si>
    <t>补发费用</t>
  </si>
  <si>
    <t>劳防用品</t>
  </si>
  <si>
    <t>保障补差</t>
  </si>
  <si>
    <t>其他扣款</t>
  </si>
  <si>
    <t>Pre-tax Total</t>
  </si>
  <si>
    <t>Social Insurance Base</t>
  </si>
  <si>
    <t>Pension Employee</t>
  </si>
  <si>
    <t>Medical Employee</t>
  </si>
  <si>
    <t>Umemployment Employee</t>
  </si>
  <si>
    <t>Housing Fund Base</t>
  </si>
  <si>
    <t>Housing Fund Employee</t>
  </si>
  <si>
    <t>Total Amount of Social Insurance(EE)</t>
  </si>
  <si>
    <t>Personal Income Tax</t>
  </si>
  <si>
    <t>Increase After-tax payment</t>
  </si>
  <si>
    <t>Reduction After-tax payment</t>
  </si>
  <si>
    <t xml:space="preserve">After-tax total Income </t>
  </si>
  <si>
    <t>Pension Employer</t>
  </si>
  <si>
    <t>Medical Employer</t>
  </si>
  <si>
    <t>Umemployment Employer</t>
  </si>
  <si>
    <t>Injury Employer</t>
  </si>
  <si>
    <t>Maternity Insurance Employer</t>
  </si>
  <si>
    <t>Housing Fund Employer</t>
  </si>
  <si>
    <t xml:space="preserve">
Disabled people&amp;Back pay Fund</t>
  </si>
  <si>
    <t>Total Amount of Social Insurance(ER)</t>
  </si>
  <si>
    <t>Union Fee</t>
  </si>
  <si>
    <t>Payment Total</t>
  </si>
  <si>
    <t>Social Security remark</t>
  </si>
  <si>
    <t>Service Fee</t>
  </si>
  <si>
    <t>Total</t>
  </si>
  <si>
    <t>VAT</t>
  </si>
  <si>
    <t>Subtotal</t>
  </si>
  <si>
    <t>WB007244</t>
  </si>
  <si>
    <t>周伟丰</t>
  </si>
  <si>
    <t>310107198106192557</t>
  </si>
  <si>
    <t>上海</t>
  </si>
  <si>
    <t>纵向攻击团队</t>
  </si>
  <si>
    <t>WB007262</t>
  </si>
  <si>
    <t>顾燕</t>
  </si>
  <si>
    <t>310113198111034825</t>
  </si>
  <si>
    <t>WB026438</t>
  </si>
  <si>
    <t>沈娟娟</t>
  </si>
  <si>
    <t>32068119890825242X</t>
  </si>
  <si>
    <t>WB027558</t>
  </si>
  <si>
    <t>陈云</t>
  </si>
  <si>
    <t>320681198911257029</t>
  </si>
  <si>
    <t>WB036282</t>
  </si>
  <si>
    <t>张海荣</t>
  </si>
  <si>
    <t>320681198311146835</t>
  </si>
  <si>
    <t>WB044295</t>
  </si>
  <si>
    <t>龚林花</t>
  </si>
  <si>
    <t>310230198502244987</t>
  </si>
  <si>
    <t>WB046059</t>
  </si>
  <si>
    <t>宋莉莉</t>
  </si>
  <si>
    <t>370883199010065887</t>
  </si>
  <si>
    <t>WB053301</t>
  </si>
  <si>
    <t>林峰</t>
  </si>
  <si>
    <t>320681199806210215</t>
  </si>
  <si>
    <t>WB007259</t>
  </si>
  <si>
    <t>茅柳</t>
  </si>
  <si>
    <t>310230198208264565</t>
  </si>
  <si>
    <t>WB045138</t>
  </si>
  <si>
    <t>沙玉莲</t>
  </si>
  <si>
    <t>320681198001296045</t>
  </si>
  <si>
    <t>WB044028</t>
  </si>
  <si>
    <t>王凌波</t>
  </si>
  <si>
    <t>320681198005016055</t>
  </si>
  <si>
    <t>WB048620</t>
  </si>
  <si>
    <t>郁金华</t>
  </si>
  <si>
    <t>320681197812267024</t>
  </si>
  <si>
    <t>WB041713</t>
  </si>
  <si>
    <t>翁杰</t>
  </si>
  <si>
    <t>32068119830326361X</t>
  </si>
  <si>
    <t>WB050058</t>
  </si>
  <si>
    <t>周海松</t>
  </si>
  <si>
    <t>320626197411023016</t>
  </si>
  <si>
    <t>WB038749</t>
  </si>
  <si>
    <t>叶挺</t>
  </si>
  <si>
    <t>34080219811208081X</t>
  </si>
  <si>
    <t>WB068630</t>
  </si>
  <si>
    <t>王艳</t>
  </si>
  <si>
    <t>342222199402106028</t>
  </si>
  <si>
    <t>WB007293</t>
  </si>
  <si>
    <t>王海婷</t>
  </si>
  <si>
    <t>310113198812035548</t>
  </si>
  <si>
    <t>WB023775</t>
  </si>
  <si>
    <t>张杰</t>
  </si>
  <si>
    <t>31011319860815411X</t>
  </si>
  <si>
    <t>WB030437</t>
  </si>
  <si>
    <t>李娟</t>
  </si>
  <si>
    <t>310230197802072529</t>
  </si>
  <si>
    <t>WB045407</t>
  </si>
  <si>
    <t>王佳睿</t>
  </si>
  <si>
    <t>320681200309147011</t>
  </si>
  <si>
    <t>WB033013</t>
  </si>
  <si>
    <t>朱娟</t>
  </si>
  <si>
    <t>310113198511225727</t>
  </si>
  <si>
    <t>WB054275</t>
  </si>
  <si>
    <t>姚嘉豪</t>
  </si>
  <si>
    <t>310113199804301716</t>
  </si>
  <si>
    <t>WB007248</t>
  </si>
  <si>
    <t>魏玲</t>
  </si>
  <si>
    <t>310108198612173363</t>
  </si>
  <si>
    <t>WB007254</t>
  </si>
  <si>
    <t>朱焱炎</t>
  </si>
  <si>
    <t>320681198812140829</t>
  </si>
  <si>
    <t>WB022966</t>
  </si>
  <si>
    <t>赵杭顺</t>
  </si>
  <si>
    <t>310102198702193618</t>
  </si>
  <si>
    <t>WB016859</t>
  </si>
  <si>
    <t>陆燕</t>
  </si>
  <si>
    <t>310113197802064324</t>
  </si>
  <si>
    <t>WB016826</t>
  </si>
  <si>
    <t>成瀛</t>
  </si>
  <si>
    <t>140103198304204830</t>
  </si>
  <si>
    <t>WB044433</t>
  </si>
  <si>
    <t>张枚</t>
  </si>
  <si>
    <t>340223199003157228</t>
  </si>
  <si>
    <t>WB039094</t>
  </si>
  <si>
    <t>张欢</t>
  </si>
  <si>
    <t>340321199602189283</t>
  </si>
  <si>
    <t>WB009624</t>
  </si>
  <si>
    <t>金霞</t>
  </si>
  <si>
    <t>310113198309114628</t>
  </si>
  <si>
    <t>WB009626</t>
  </si>
  <si>
    <t>殷颖</t>
  </si>
  <si>
    <t>310109198006192026</t>
  </si>
  <si>
    <t>WB009627</t>
  </si>
  <si>
    <t>夏士梅</t>
  </si>
  <si>
    <t>310113197707080027</t>
  </si>
  <si>
    <t>WB009631</t>
  </si>
  <si>
    <t>杨晨晖</t>
  </si>
  <si>
    <t>310113199401265319</t>
  </si>
  <si>
    <t>WB030237</t>
  </si>
  <si>
    <t>顾文君</t>
  </si>
  <si>
    <t>310110198605095645</t>
  </si>
  <si>
    <t>WB016896</t>
  </si>
  <si>
    <t>朱琳</t>
  </si>
  <si>
    <t>310115197811118649</t>
  </si>
  <si>
    <t>纵向团队合计</t>
  </si>
  <si>
    <t>营业厅合计</t>
  </si>
  <si>
    <t>2月垫付保障补差，3月收</t>
    <phoneticPr fontId="13" type="noConversion"/>
  </si>
  <si>
    <t>钱运成</t>
  </si>
  <si>
    <t>13058219830615043X</t>
    <phoneticPr fontId="13" type="noConversion"/>
  </si>
  <si>
    <t>吴婷</t>
  </si>
  <si>
    <t>310113198908164344</t>
    <phoneticPr fontId="13" type="noConversion"/>
  </si>
  <si>
    <t>朱国芹</t>
  </si>
  <si>
    <t>32092319790724512X</t>
    <phoneticPr fontId="13" type="noConversion"/>
  </si>
  <si>
    <t>2月垫付，3月收</t>
    <phoneticPr fontId="13" type="noConversion"/>
  </si>
  <si>
    <t/>
  </si>
  <si>
    <t>3月垫付，4月补收</t>
    <phoneticPr fontId="13" type="noConversion"/>
  </si>
  <si>
    <t>本月垫付，下月收</t>
    <phoneticPr fontId="13" type="noConversion"/>
  </si>
  <si>
    <t>2月垫付保障补差，3月已收</t>
  </si>
  <si>
    <t>2月垫付保障补差，3月已收</t>
    <phoneticPr fontId="13" type="noConversion"/>
  </si>
  <si>
    <t>3月垫付保障补差，4月收</t>
    <phoneticPr fontId="13" type="noConversion"/>
  </si>
  <si>
    <r>
      <rPr>
        <sz val="8"/>
        <color rgb="FFFF0000"/>
        <rFont val="阿里巴巴普惠体 R"/>
        <family val="1"/>
        <charset val="134"/>
      </rPr>
      <t>3月垫付保障补差，4月收，</t>
    </r>
    <r>
      <rPr>
        <sz val="8"/>
        <color theme="4" tint="-0.249977111117893"/>
        <rFont val="阿里巴巴普惠体 R"/>
        <family val="1"/>
        <charset val="134"/>
      </rPr>
      <t>2月垫付保障补差，3月已收</t>
    </r>
    <phoneticPr fontId="13" type="noConversion"/>
  </si>
  <si>
    <t>200070</t>
  </si>
  <si>
    <t>寄：梅园路77号人才大厦</t>
  </si>
  <si>
    <t>中国电信股份有限公司上海分公司  王慧珏  收</t>
  </si>
  <si>
    <t>上海外服布列吉科技有限公司</t>
  </si>
  <si>
    <t>Shanghai Foreign Service Bridge Technology Co,Ltd.</t>
  </si>
  <si>
    <t>收款通知书</t>
  </si>
  <si>
    <t>ADVISE ON COLLECTION</t>
  </si>
  <si>
    <t>2025年03月</t>
  </si>
  <si>
    <t>公司名称：中国电信股份有限公司上海分公司</t>
  </si>
  <si>
    <t>帐单号：202503CH6593507</t>
  </si>
  <si>
    <t>发生年月</t>
  </si>
  <si>
    <t>入职日期</t>
  </si>
  <si>
    <t>管理费</t>
  </si>
  <si>
    <t>当月社保基数</t>
  </si>
  <si>
    <t>当月公积金基数</t>
  </si>
  <si>
    <t>社保类
公司支付
Social Insurance Premiums
Paid by Employer</t>
  </si>
  <si>
    <t>公积金类
公司支付
Provident Fund
Paid by Employer</t>
  </si>
  <si>
    <t>公司合计</t>
  </si>
  <si>
    <t>社保类
个人支付
Social Insurance Premiums
Paid by Employee</t>
  </si>
  <si>
    <t>公积金类
个人支付
Provident Fund
Paid by Employee</t>
  </si>
  <si>
    <t>个人合计</t>
  </si>
  <si>
    <t>代办薪酬</t>
  </si>
  <si>
    <t>其他</t>
  </si>
  <si>
    <t>备注</t>
  </si>
  <si>
    <t>外服工号</t>
  </si>
  <si>
    <t>证件号码</t>
  </si>
  <si>
    <t>应纳税金额</t>
  </si>
  <si>
    <t>税率</t>
  </si>
  <si>
    <t>S/N</t>
  </si>
  <si>
    <t>YYYYMM</t>
  </si>
  <si>
    <t>Employment Start Date</t>
  </si>
  <si>
    <t>Adm Fee</t>
  </si>
  <si>
    <t>Social Insurance Base Amount of Current Month</t>
  </si>
  <si>
    <t>Provident Fund Base Amount of Current Month</t>
  </si>
  <si>
    <t>养老保险
Endowment</t>
  </si>
  <si>
    <t>医疗保险
Medical</t>
  </si>
  <si>
    <t>失业保险
Unemploy-ment</t>
  </si>
  <si>
    <t>工伤保险
Employment Injury</t>
  </si>
  <si>
    <t>医疗生育保险
Medical Maternity</t>
  </si>
  <si>
    <t>保障金
Disabled people&amp;Back pay Fund</t>
  </si>
  <si>
    <t>公积金
Provident Fund</t>
  </si>
  <si>
    <t>Subtotal of Employer Payment</t>
  </si>
  <si>
    <t>Subtotal of Personal Payment</t>
  </si>
  <si>
    <t>Agency of Wage Payment</t>
  </si>
  <si>
    <t>Others</t>
  </si>
  <si>
    <t>Remarks</t>
  </si>
  <si>
    <t>SFSC ID</t>
  </si>
  <si>
    <t>ID Card</t>
  </si>
  <si>
    <t>Taxable Amount</t>
  </si>
  <si>
    <t>Tax Rate</t>
  </si>
  <si>
    <t>202503</t>
  </si>
  <si>
    <t>2024-06-01</t>
  </si>
  <si>
    <t>5545723</t>
  </si>
  <si>
    <t>6%</t>
  </si>
  <si>
    <t>5756133</t>
  </si>
  <si>
    <t>5545720</t>
  </si>
  <si>
    <t>5545704</t>
  </si>
  <si>
    <t>5545718</t>
  </si>
  <si>
    <t>5545705</t>
  </si>
  <si>
    <t>5545725</t>
  </si>
  <si>
    <t>5572476</t>
  </si>
  <si>
    <t>5756132</t>
  </si>
  <si>
    <t>5572477</t>
  </si>
  <si>
    <t>2025-03-01</t>
  </si>
  <si>
    <t>6307840</t>
  </si>
  <si>
    <t>13058219830615043X</t>
  </si>
  <si>
    <t>5572479</t>
  </si>
  <si>
    <t>5545717</t>
  </si>
  <si>
    <t>5545722</t>
  </si>
  <si>
    <t>5545726</t>
  </si>
  <si>
    <t>5545727</t>
  </si>
  <si>
    <t>5543792</t>
  </si>
  <si>
    <t>2024-05-15</t>
  </si>
  <si>
    <t>6027006</t>
  </si>
  <si>
    <t>5545714</t>
  </si>
  <si>
    <t>5730777</t>
  </si>
  <si>
    <t>6307826</t>
  </si>
  <si>
    <t>310113198908164344</t>
  </si>
  <si>
    <t>5545708</t>
  </si>
  <si>
    <t>5545707</t>
  </si>
  <si>
    <t>5690263</t>
  </si>
  <si>
    <t>2024-05-01</t>
  </si>
  <si>
    <t>6011053</t>
  </si>
  <si>
    <t>5545709</t>
  </si>
  <si>
    <t>5543766</t>
  </si>
  <si>
    <t>5545711</t>
  </si>
  <si>
    <t>5756135</t>
  </si>
  <si>
    <t>5545724</t>
  </si>
  <si>
    <t>5756134</t>
  </si>
  <si>
    <t>5545715</t>
  </si>
  <si>
    <t>5545719</t>
  </si>
  <si>
    <t>5545710</t>
  </si>
  <si>
    <t>6307837</t>
  </si>
  <si>
    <t>32092319790724512X</t>
  </si>
  <si>
    <t>5756131</t>
  </si>
  <si>
    <t>6048754</t>
  </si>
  <si>
    <t>5545716</t>
  </si>
  <si>
    <t>合计（RMB）</t>
  </si>
  <si>
    <t>总计（RMB）已包含历月补收人民币肆拾玖万叁仟贰佰贰拾圆壹角肆分</t>
  </si>
  <si>
    <t>费用项目</t>
  </si>
  <si>
    <t>金额</t>
  </si>
  <si>
    <t>Item</t>
  </si>
  <si>
    <t>Amount</t>
  </si>
  <si>
    <t>税差调整6%</t>
  </si>
  <si>
    <t>总计（RMB）人民币零</t>
  </si>
  <si>
    <t>增值税：</t>
  </si>
  <si>
    <t>序号
S/N</t>
  </si>
  <si>
    <t>应纳税额</t>
  </si>
  <si>
    <t>税金</t>
  </si>
  <si>
    <t>小计（RMB）</t>
  </si>
  <si>
    <t>总计(RMB)</t>
  </si>
  <si>
    <t>本次价税合计(RMB):人民币肆拾玖万叁仟贰佰贰拾圆壹角肆分</t>
  </si>
  <si>
    <t>本月价税合计（RMB）：493220.14 其中已开票493220.14</t>
  </si>
  <si>
    <t>本月总计（RMB）人民币肆拾玖万叁仟贰佰贰拾圆壹角肆分                ￥493220.14</t>
  </si>
  <si>
    <t>减少人员</t>
  </si>
  <si>
    <t>钱善晖</t>
  </si>
  <si>
    <t>制单人：</t>
  </si>
  <si>
    <t>制单日期：2025-03-20</t>
  </si>
  <si>
    <t>户名：上海外服（集团）有限公司</t>
  </si>
  <si>
    <t>美金收款账号：449459237031</t>
  </si>
  <si>
    <t>外币/人民币收款账号：083651120100303014006</t>
  </si>
  <si>
    <t>开户银行：中国银行上海市分行</t>
  </si>
  <si>
    <t>开户银行：中国光大银行上海分行营业部</t>
  </si>
  <si>
    <t>SWIFT CODE：BKCHCNBJ300</t>
  </si>
  <si>
    <t>SWIFT CODE：EVERCNBJSH1</t>
  </si>
  <si>
    <t>地址：中国上海市黄浦区中山东一路23号</t>
  </si>
  <si>
    <t>地址：中国上海市浦东新区世纪大道1118号</t>
  </si>
  <si>
    <t>外币/人民币收款账号：1001244329006580566</t>
  </si>
  <si>
    <t>开户银行：工商银行上海市分行营业部</t>
  </si>
  <si>
    <t>SWIFT CODE：ICBKCNBJSHI</t>
  </si>
  <si>
    <t>地址：中国上海市黄浦区中山东一路24号</t>
  </si>
  <si>
    <t>管理部：</t>
  </si>
  <si>
    <t>负责人：</t>
  </si>
  <si>
    <t>地  址：</t>
  </si>
  <si>
    <t>地  址：上海市黄浦区会馆街55号T3座</t>
  </si>
  <si>
    <t>邮  编：</t>
  </si>
  <si>
    <t>财  务：</t>
  </si>
  <si>
    <t>邮  编：200437</t>
  </si>
  <si>
    <t>电  话：</t>
  </si>
  <si>
    <t>传  真：</t>
  </si>
  <si>
    <t>电  话：63721888</t>
  </si>
  <si>
    <t>传  真：63856522</t>
  </si>
  <si>
    <t>注意：</t>
  </si>
  <si>
    <t>1、务必请将当月人员变动信息，在15日前通知所在业务部。</t>
  </si>
  <si>
    <t>2、若贵机构的地址变更，请及时通知。</t>
  </si>
  <si>
    <t>3、逾期按合同约定收取滞纳金。</t>
  </si>
  <si>
    <t>4、交款时请务必带此通知单或复印件，通过银行汇款请在汇款用途中写上右上角账单号。</t>
  </si>
  <si>
    <t>5、请贵机构在收到本账单的三个工作日内，对于账单内容进行确认并回复。逾期未回复的，视作贵机构已确认账单内容准确无误。</t>
  </si>
  <si>
    <t>友情提醒：</t>
  </si>
  <si>
    <t>1、根据国家政策，自2020年1月1日起，“生育”调整为“医疗生育”。</t>
  </si>
  <si>
    <t>2、如对以上账单内容有疑问请联系相关业务人员，发票开具及款项到账问题请联系财务，谢谢！</t>
  </si>
  <si>
    <t>科目</t>
  </si>
  <si>
    <t>手工账单</t>
  </si>
  <si>
    <t>速创账单</t>
    <phoneticPr fontId="28" type="noConversion"/>
  </si>
  <si>
    <t>预收一次性</t>
    <phoneticPr fontId="13" type="noConversion"/>
  </si>
  <si>
    <t>本月多收，下月退</t>
    <phoneticPr fontId="13" type="noConversion"/>
  </si>
  <si>
    <t>合计</t>
  </si>
  <si>
    <t>差异</t>
    <phoneticPr fontId="13" type="noConversion"/>
  </si>
  <si>
    <t>风险费</t>
  </si>
  <si>
    <t>个人四金</t>
  </si>
  <si>
    <t>公司四金</t>
  </si>
  <si>
    <t>工伤退费</t>
    <phoneticPr fontId="13" type="noConversion"/>
  </si>
  <si>
    <t>代发工资</t>
  </si>
  <si>
    <t>工会费</t>
    <phoneticPr fontId="13" type="noConversion"/>
  </si>
  <si>
    <t>小计</t>
  </si>
  <si>
    <t>附加税</t>
  </si>
  <si>
    <t>给客户账单金额</t>
  </si>
  <si>
    <t>差异</t>
  </si>
  <si>
    <t>不含税差异</t>
  </si>
  <si>
    <t>3月垫付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</si>
</sst>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¥&quot;#,##0.00;&quot;¥&quot;\-#,##0.00"/>
    <numFmt numFmtId="43" formatCode="_ * #,##0.00_ ;_ * \-#,##0.00_ ;_ * &quot;-&quot;??_ ;_ @_ "/>
    <numFmt numFmtId="176" formatCode="0.00_);[Red]\(0.00\)"/>
    <numFmt numFmtId="177" formatCode="0.00_ "/>
    <numFmt numFmtId="178" formatCode="0_ "/>
  </numFmts>
  <fonts count="33" x14ac:knownFonts="1">
    <font>
      <sz val="11"/>
      <color theme="1"/>
      <name val="等线"/>
      <charset val="134"/>
      <scheme val="minor"/>
    </font>
    <font>
      <sz val="8"/>
      <name val="阿里巴巴普惠体 R"/>
      <family val="1"/>
      <charset val="134"/>
    </font>
    <font>
      <sz val="8"/>
      <color theme="1"/>
      <name val="阿里巴巴普惠体 R"/>
      <family val="1"/>
      <charset val="134"/>
    </font>
    <font>
      <sz val="11"/>
      <color theme="1"/>
      <name val="阿里巴巴普惠体 R"/>
      <family val="1"/>
      <charset val="134"/>
    </font>
    <font>
      <sz val="7"/>
      <name val="阿里巴巴普惠体 R"/>
      <family val="1"/>
      <charset val="134"/>
    </font>
    <font>
      <sz val="9"/>
      <name val="阿里巴巴普惠体 R"/>
      <family val="1"/>
      <charset val="134"/>
    </font>
    <font>
      <sz val="6"/>
      <name val="阿里巴巴普惠体 R"/>
      <family val="1"/>
      <charset val="134"/>
    </font>
    <font>
      <sz val="8"/>
      <color theme="4" tint="-0.249977111117893"/>
      <name val="阿里巴巴普惠体 R"/>
      <family val="1"/>
      <charset val="134"/>
    </font>
    <font>
      <sz val="8"/>
      <color rgb="FFFF0000"/>
      <name val="阿里巴巴普惠体 R"/>
      <family val="1"/>
      <charset val="134"/>
    </font>
    <font>
      <sz val="12"/>
      <name val="宋体"/>
      <family val="3"/>
      <charset val="134"/>
    </font>
    <font>
      <sz val="11"/>
      <color indexed="8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6"/>
      <color theme="1"/>
      <name val="阿里巴巴普惠体 R"/>
      <family val="1"/>
      <charset val="134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color theme="1"/>
      <name val="等线"/>
      <family val="2"/>
      <charset val="134"/>
      <scheme val="minor"/>
    </font>
    <font>
      <b/>
      <sz val="9"/>
      <color theme="1"/>
      <name val="等线"/>
      <family val="2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等线"/>
      <family val="3"/>
      <charset val="134"/>
      <scheme val="minor"/>
    </font>
    <font>
      <b/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5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2" fillId="0" borderId="0"/>
    <xf numFmtId="0" fontId="9" fillId="0" borderId="0">
      <alignment vertical="center"/>
    </xf>
    <xf numFmtId="0" fontId="12" fillId="0" borderId="0"/>
    <xf numFmtId="0" fontId="12" fillId="0" borderId="0"/>
    <xf numFmtId="0" fontId="10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 applyFont="0" applyFill="0" applyBorder="0" applyAlignment="0" applyProtection="0">
      <alignment vertical="center"/>
    </xf>
  </cellStyleXfs>
  <cellXfs count="113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2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5" fillId="0" borderId="1" xfId="4" applyFont="1" applyFill="1" applyBorder="1" applyAlignment="1">
      <alignment horizontal="center" vertical="center"/>
    </xf>
    <xf numFmtId="0" fontId="5" fillId="3" borderId="1" xfId="4" applyFont="1" applyFill="1" applyBorder="1" applyAlignment="1">
      <alignment horizontal="center" vertical="center"/>
    </xf>
    <xf numFmtId="0" fontId="5" fillId="4" borderId="1" xfId="4" applyFont="1" applyFill="1" applyBorder="1" applyAlignment="1">
      <alignment horizontal="center" vertical="center"/>
    </xf>
    <xf numFmtId="0" fontId="5" fillId="5" borderId="1" xfId="4" applyFont="1" applyFill="1" applyBorder="1" applyAlignment="1">
      <alignment horizontal="center" vertical="center"/>
    </xf>
    <xf numFmtId="49" fontId="5" fillId="0" borderId="1" xfId="4" applyNumberFormat="1" applyFont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 wrapText="1"/>
      <protection locked="0"/>
    </xf>
    <xf numFmtId="2" fontId="4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7" borderId="1" xfId="0" applyFont="1" applyFill="1" applyBorder="1" applyAlignment="1" applyProtection="1">
      <alignment horizontal="center" vertical="center" wrapText="1"/>
      <protection locked="0"/>
    </xf>
    <xf numFmtId="2" fontId="1" fillId="7" borderId="1" xfId="0" applyNumberFormat="1" applyFont="1" applyFill="1" applyBorder="1" applyAlignment="1" applyProtection="1">
      <alignment horizontal="center" vertical="center" wrapText="1"/>
      <protection locked="0"/>
    </xf>
    <xf numFmtId="176" fontId="1" fillId="7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43" fontId="3" fillId="0" borderId="0" xfId="1" applyFont="1" applyFill="1">
      <alignment vertical="center"/>
    </xf>
    <xf numFmtId="177" fontId="1" fillId="8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43" fontId="3" fillId="4" borderId="0" xfId="1" applyFont="1" applyFill="1">
      <alignment vertical="center"/>
    </xf>
    <xf numFmtId="43" fontId="3" fillId="0" borderId="0" xfId="1" applyFont="1" applyFill="1" applyAlignment="1">
      <alignment horizontal="center" vertical="center"/>
    </xf>
    <xf numFmtId="43" fontId="3" fillId="4" borderId="0" xfId="1" applyFont="1" applyFill="1" applyAlignment="1">
      <alignment horizontal="center" vertical="center"/>
    </xf>
    <xf numFmtId="0" fontId="5" fillId="7" borderId="1" xfId="0" applyFont="1" applyFill="1" applyBorder="1" applyAlignment="1" applyProtection="1">
      <alignment horizontal="center" vertical="center" wrapText="1"/>
      <protection locked="0"/>
    </xf>
    <xf numFmtId="0" fontId="5" fillId="9" borderId="1" xfId="0" applyFont="1" applyFill="1" applyBorder="1" applyAlignment="1" applyProtection="1">
      <alignment horizontal="center" vertical="center" wrapText="1"/>
      <protection locked="0"/>
    </xf>
    <xf numFmtId="0" fontId="1" fillId="6" borderId="1" xfId="0" applyFont="1" applyFill="1" applyBorder="1" applyAlignment="1">
      <alignment horizontal="center" vertical="center"/>
    </xf>
    <xf numFmtId="2" fontId="6" fillId="6" borderId="1" xfId="0" applyNumberFormat="1" applyFont="1" applyFill="1" applyBorder="1" applyAlignment="1" applyProtection="1">
      <alignment horizontal="center" vertical="center" wrapText="1"/>
      <protection locked="0"/>
    </xf>
    <xf numFmtId="176" fontId="5" fillId="9" borderId="1" xfId="0" applyNumberFormat="1" applyFont="1" applyFill="1" applyBorder="1" applyAlignment="1" applyProtection="1">
      <alignment horizontal="center" vertical="center" wrapText="1"/>
      <protection locked="0"/>
    </xf>
    <xf numFmtId="178" fontId="7" fillId="0" borderId="1" xfId="0" applyNumberFormat="1" applyFont="1" applyFill="1" applyBorder="1" applyAlignment="1">
      <alignment horizontal="left" vertical="center"/>
    </xf>
    <xf numFmtId="176" fontId="1" fillId="9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176" fontId="1" fillId="5" borderId="1" xfId="0" applyNumberFormat="1" applyFont="1" applyFill="1" applyBorder="1" applyAlignment="1">
      <alignment horizontal="center" vertical="center"/>
    </xf>
    <xf numFmtId="43" fontId="3" fillId="5" borderId="0" xfId="1" applyFont="1" applyFill="1">
      <alignment vertical="center"/>
    </xf>
    <xf numFmtId="176" fontId="2" fillId="0" borderId="0" xfId="0" applyNumberFormat="1" applyFont="1" applyAlignment="1">
      <alignment horizontal="center" vertical="center"/>
    </xf>
    <xf numFmtId="178" fontId="8" fillId="0" borderId="1" xfId="0" applyNumberFormat="1" applyFont="1" applyFill="1" applyBorder="1" applyAlignment="1">
      <alignment horizontal="left" vertical="center"/>
    </xf>
    <xf numFmtId="49" fontId="5" fillId="0" borderId="1" xfId="4" quotePrefix="1" applyNumberFormat="1" applyFont="1" applyBorder="1" applyAlignment="1">
      <alignment horizontal="center" vertical="center"/>
    </xf>
    <xf numFmtId="176" fontId="3" fillId="0" borderId="0" xfId="0" applyNumberFormat="1" applyFont="1">
      <alignment vertical="center"/>
    </xf>
    <xf numFmtId="49" fontId="15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49" fontId="16" fillId="0" borderId="0" xfId="0" applyNumberFormat="1" applyFont="1" applyAlignment="1">
      <alignment horizontal="left" vertical="center"/>
    </xf>
    <xf numFmtId="177" fontId="16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left" vertical="center"/>
    </xf>
    <xf numFmtId="49" fontId="19" fillId="0" borderId="0" xfId="0" applyNumberFormat="1" applyFont="1" applyAlignment="1">
      <alignment horizontal="center" vertical="center"/>
    </xf>
    <xf numFmtId="177" fontId="19" fillId="0" borderId="0" xfId="0" applyNumberFormat="1" applyFont="1" applyAlignment="1">
      <alignment horizontal="center" vertical="center"/>
    </xf>
    <xf numFmtId="177" fontId="18" fillId="0" borderId="0" xfId="0" applyNumberFormat="1" applyFont="1" applyAlignment="1">
      <alignment horizontal="left" vertical="center"/>
    </xf>
    <xf numFmtId="49" fontId="20" fillId="0" borderId="5" xfId="0" applyNumberFormat="1" applyFont="1" applyBorder="1" applyAlignment="1">
      <alignment horizontal="center" wrapText="1"/>
    </xf>
    <xf numFmtId="177" fontId="20" fillId="0" borderId="5" xfId="0" applyNumberFormat="1" applyFont="1" applyBorder="1" applyAlignment="1">
      <alignment horizontal="center" wrapText="1"/>
    </xf>
    <xf numFmtId="177" fontId="20" fillId="0" borderId="5" xfId="0" applyNumberFormat="1" applyFont="1" applyBorder="1" applyAlignment="1">
      <alignment horizontal="center" vertical="top" wrapText="1"/>
    </xf>
    <xf numFmtId="177" fontId="21" fillId="0" borderId="5" xfId="0" applyNumberFormat="1" applyFont="1" applyBorder="1" applyAlignment="1">
      <alignment horizontal="center" wrapText="1"/>
    </xf>
    <xf numFmtId="49" fontId="20" fillId="0" borderId="6" xfId="0" applyNumberFormat="1" applyFont="1" applyBorder="1" applyAlignment="1">
      <alignment horizontal="center" vertical="top" wrapText="1"/>
    </xf>
    <xf numFmtId="177" fontId="20" fillId="0" borderId="6" xfId="0" applyNumberFormat="1" applyFont="1" applyBorder="1" applyAlignment="1">
      <alignment horizontal="center" vertical="top" wrapText="1"/>
    </xf>
    <xf numFmtId="177" fontId="20" fillId="0" borderId="1" xfId="0" applyNumberFormat="1" applyFont="1" applyBorder="1" applyAlignment="1">
      <alignment horizontal="center" vertical="top" wrapText="1"/>
    </xf>
    <xf numFmtId="177" fontId="21" fillId="0" borderId="6" xfId="0" applyNumberFormat="1" applyFont="1" applyBorder="1" applyAlignment="1">
      <alignment horizontal="center" vertical="top" wrapText="1"/>
    </xf>
    <xf numFmtId="49" fontId="22" fillId="0" borderId="1" xfId="0" applyNumberFormat="1" applyFont="1" applyBorder="1" applyAlignment="1">
      <alignment horizontal="center" vertical="center"/>
    </xf>
    <xf numFmtId="177" fontId="22" fillId="0" borderId="1" xfId="0" applyNumberFormat="1" applyFont="1" applyBorder="1" applyAlignment="1">
      <alignment horizontal="right" vertical="center"/>
    </xf>
    <xf numFmtId="177" fontId="23" fillId="0" borderId="1" xfId="0" applyNumberFormat="1" applyFont="1" applyBorder="1" applyAlignment="1">
      <alignment horizontal="right" vertical="center"/>
    </xf>
    <xf numFmtId="177" fontId="22" fillId="0" borderId="1" xfId="0" applyNumberFormat="1" applyFont="1" applyBorder="1" applyAlignment="1">
      <alignment horizontal="center" vertical="center"/>
    </xf>
    <xf numFmtId="49" fontId="22" fillId="10" borderId="1" xfId="0" applyNumberFormat="1" applyFont="1" applyFill="1" applyBorder="1" applyAlignment="1">
      <alignment horizontal="center" vertical="center"/>
    </xf>
    <xf numFmtId="49" fontId="22" fillId="0" borderId="1" xfId="0" applyNumberFormat="1" applyFont="1" applyBorder="1" applyAlignment="1">
      <alignment horizontal="left" vertical="center"/>
    </xf>
    <xf numFmtId="7" fontId="23" fillId="0" borderId="1" xfId="0" applyNumberFormat="1" applyFont="1" applyBorder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49" fontId="24" fillId="0" borderId="0" xfId="0" applyNumberFormat="1" applyFont="1" applyAlignment="1">
      <alignment horizontal="left" vertical="center"/>
    </xf>
    <xf numFmtId="49" fontId="22" fillId="0" borderId="0" xfId="0" applyNumberFormat="1" applyFont="1" applyAlignment="1">
      <alignment horizontal="center" vertical="center"/>
    </xf>
    <xf numFmtId="177" fontId="22" fillId="0" borderId="0" xfId="0" applyNumberFormat="1" applyFont="1" applyAlignment="1">
      <alignment horizontal="center" vertical="center"/>
    </xf>
    <xf numFmtId="177" fontId="20" fillId="0" borderId="0" xfId="0" applyNumberFormat="1" applyFont="1" applyAlignment="1">
      <alignment horizontal="center" wrapText="1"/>
    </xf>
    <xf numFmtId="49" fontId="20" fillId="0" borderId="0" xfId="0" applyNumberFormat="1" applyFont="1" applyAlignment="1">
      <alignment horizontal="center" wrapText="1"/>
    </xf>
    <xf numFmtId="177" fontId="20" fillId="0" borderId="0" xfId="0" applyNumberFormat="1" applyFont="1" applyAlignment="1">
      <alignment horizontal="center" vertical="top" wrapText="1"/>
    </xf>
    <xf numFmtId="49" fontId="20" fillId="0" borderId="0" xfId="0" applyNumberFormat="1" applyFont="1" applyAlignment="1">
      <alignment horizontal="center" vertical="top" wrapText="1"/>
    </xf>
    <xf numFmtId="7" fontId="22" fillId="0" borderId="1" xfId="0" applyNumberFormat="1" applyFont="1" applyBorder="1" applyAlignment="1">
      <alignment horizontal="right" vertical="center"/>
    </xf>
    <xf numFmtId="7" fontId="22" fillId="0" borderId="4" xfId="0" applyNumberFormat="1" applyFont="1" applyBorder="1" applyAlignment="1">
      <alignment horizontal="center" vertical="center"/>
    </xf>
    <xf numFmtId="49" fontId="22" fillId="0" borderId="0" xfId="0" applyNumberFormat="1" applyFont="1" applyAlignment="1">
      <alignment horizontal="left" vertical="center"/>
    </xf>
    <xf numFmtId="7" fontId="22" fillId="0" borderId="0" xfId="0" applyNumberFormat="1" applyFont="1" applyAlignment="1">
      <alignment horizontal="left" vertical="center"/>
    </xf>
    <xf numFmtId="49" fontId="26" fillId="0" borderId="0" xfId="0" applyNumberFormat="1" applyFont="1" applyAlignment="1">
      <alignment horizontal="left" vertical="center"/>
    </xf>
    <xf numFmtId="49" fontId="26" fillId="0" borderId="0" xfId="0" applyNumberFormat="1" applyFont="1" applyAlignment="1">
      <alignment horizontal="center" vertical="center"/>
    </xf>
    <xf numFmtId="177" fontId="26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7" fontId="15" fillId="0" borderId="0" xfId="0" applyNumberFormat="1" applyFont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0" fontId="27" fillId="0" borderId="1" xfId="0" applyFont="1" applyFill="1" applyBorder="1" applyAlignment="1">
      <alignment horizontal="center" vertical="center"/>
    </xf>
    <xf numFmtId="43" fontId="27" fillId="0" borderId="1" xfId="0" applyNumberFormat="1" applyFont="1" applyFill="1" applyBorder="1" applyAlignment="1">
      <alignment horizontal="center" vertical="center"/>
    </xf>
    <xf numFmtId="43" fontId="27" fillId="0" borderId="7" xfId="0" applyNumberFormat="1" applyFont="1" applyFill="1" applyBorder="1" applyAlignment="1">
      <alignment horizontal="center" vertical="center"/>
    </xf>
    <xf numFmtId="43" fontId="0" fillId="0" borderId="0" xfId="0" applyNumberFormat="1">
      <alignment vertical="center"/>
    </xf>
    <xf numFmtId="43" fontId="27" fillId="5" borderId="1" xfId="0" applyNumberFormat="1" applyFont="1" applyFill="1" applyBorder="1" applyAlignment="1">
      <alignment horizontal="center" vertical="center"/>
    </xf>
    <xf numFmtId="43" fontId="27" fillId="0" borderId="1" xfId="1" applyFont="1" applyFill="1" applyBorder="1" applyAlignment="1">
      <alignment horizontal="center" vertical="center"/>
    </xf>
    <xf numFmtId="43" fontId="27" fillId="0" borderId="1" xfId="0" applyNumberFormat="1" applyFont="1" applyFill="1" applyBorder="1" applyAlignment="1">
      <alignment horizontal="right" vertical="center"/>
    </xf>
    <xf numFmtId="0" fontId="29" fillId="5" borderId="1" xfId="0" applyFont="1" applyFill="1" applyBorder="1" applyAlignment="1">
      <alignment horizontal="center" vertical="center"/>
    </xf>
    <xf numFmtId="43" fontId="29" fillId="5" borderId="1" xfId="0" applyNumberFormat="1" applyFont="1" applyFill="1" applyBorder="1" applyAlignment="1">
      <alignment horizontal="center" vertical="center"/>
    </xf>
    <xf numFmtId="0" fontId="29" fillId="11" borderId="1" xfId="0" applyFont="1" applyFill="1" applyBorder="1" applyAlignment="1">
      <alignment horizontal="center" vertical="center"/>
    </xf>
    <xf numFmtId="43" fontId="29" fillId="11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14" fillId="5" borderId="0" xfId="0" applyFont="1" applyFill="1" applyAlignment="1">
      <alignment horizontal="center" vertical="center"/>
    </xf>
    <xf numFmtId="49" fontId="22" fillId="0" borderId="2" xfId="0" applyNumberFormat="1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177" fontId="20" fillId="0" borderId="2" xfId="0" applyNumberFormat="1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49" fontId="25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5">
    <cellStyle name="标题 1 6 2 2 2" xfId="2" xr:uid="{00000000-0005-0000-0000-000031000000}"/>
    <cellStyle name="常规" xfId="0" builtinId="0"/>
    <cellStyle name="常规 10" xfId="3" xr:uid="{00000000-0005-0000-0000-000032000000}"/>
    <cellStyle name="常规 2" xfId="4" xr:uid="{00000000-0005-0000-0000-000033000000}"/>
    <cellStyle name="常规 27 2" xfId="5" xr:uid="{00000000-0005-0000-0000-000034000000}"/>
    <cellStyle name="常规 28" xfId="6" xr:uid="{00000000-0005-0000-0000-000035000000}"/>
    <cellStyle name="常规 3" xfId="7" xr:uid="{00000000-0005-0000-0000-000036000000}"/>
    <cellStyle name="常规 3 2" xfId="8" xr:uid="{00000000-0005-0000-0000-000037000000}"/>
    <cellStyle name="常规 4" xfId="9" xr:uid="{00000000-0005-0000-0000-000038000000}"/>
    <cellStyle name="常规 5" xfId="10" xr:uid="{00000000-0005-0000-0000-000039000000}"/>
    <cellStyle name="常规 6" xfId="11" xr:uid="{00000000-0005-0000-0000-00003A000000}"/>
    <cellStyle name="常规 7" xfId="12" xr:uid="{00000000-0005-0000-0000-00003B000000}"/>
    <cellStyle name="常规 8" xfId="13" xr:uid="{00000000-0005-0000-0000-00003C000000}"/>
    <cellStyle name="千位分隔" xfId="1" builtinId="3"/>
    <cellStyle name="千位分隔 2" xfId="14" xr:uid="{00000000-0005-0000-0000-00003D000000}"/>
  </cellStyles>
  <dxfs count="2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-CH65935-&#35302;&#28857;&#23453;&#23665;&#32437;&#21521;&#25915;&#20987;&#22242;&#38431;-202503&#36134;&#2133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idan.luo/Desktop/3&#26376;&#24067;&#21015;&#21513;&#24037;&#36164;&#2133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503"/>
    </sheetNames>
    <sheetDataSet>
      <sheetData sheetId="0">
        <row r="3">
          <cell r="D3" t="str">
            <v>周伟丰</v>
          </cell>
          <cell r="E3" t="str">
            <v>310107198106192557</v>
          </cell>
          <cell r="F3">
            <v>45444</v>
          </cell>
          <cell r="G3">
            <v>45808</v>
          </cell>
          <cell r="I3" t="str">
            <v>上海</v>
          </cell>
          <cell r="J3">
            <v>1400</v>
          </cell>
          <cell r="K3">
            <v>6433.5</v>
          </cell>
          <cell r="L3">
            <v>1583.7</v>
          </cell>
          <cell r="Q3">
            <v>630</v>
          </cell>
          <cell r="X3" t="str">
            <v/>
          </cell>
          <cell r="Y3">
            <v>0</v>
          </cell>
          <cell r="Z3">
            <v>10047.200000000001</v>
          </cell>
          <cell r="AA3">
            <v>13804</v>
          </cell>
          <cell r="AB3">
            <v>1104.32</v>
          </cell>
          <cell r="AC3">
            <v>276.08</v>
          </cell>
          <cell r="AD3">
            <v>69.02</v>
          </cell>
          <cell r="AE3">
            <v>13804</v>
          </cell>
          <cell r="AF3">
            <v>966</v>
          </cell>
          <cell r="AG3">
            <v>2415.42</v>
          </cell>
          <cell r="AK3">
            <v>7631.7800000000007</v>
          </cell>
          <cell r="AL3">
            <v>13804</v>
          </cell>
          <cell r="AM3">
            <v>13804</v>
          </cell>
          <cell r="AN3">
            <v>2208.64</v>
          </cell>
          <cell r="AO3">
            <v>1242.3599999999999</v>
          </cell>
          <cell r="AP3">
            <v>69.02</v>
          </cell>
          <cell r="AQ3">
            <v>27.61</v>
          </cell>
          <cell r="AS3">
            <v>966</v>
          </cell>
          <cell r="AT3">
            <v>207.06</v>
          </cell>
          <cell r="AU3">
            <v>4720.6900000000005</v>
          </cell>
          <cell r="AW3">
            <v>188</v>
          </cell>
        </row>
        <row r="4">
          <cell r="D4" t="str">
            <v>顾燕</v>
          </cell>
          <cell r="E4" t="str">
            <v>310113198111034825</v>
          </cell>
          <cell r="F4">
            <v>45444</v>
          </cell>
          <cell r="G4">
            <v>45808</v>
          </cell>
          <cell r="I4" t="str">
            <v>上海</v>
          </cell>
          <cell r="J4">
            <v>1030</v>
          </cell>
          <cell r="K4">
            <v>4837</v>
          </cell>
          <cell r="L4">
            <v>698.2</v>
          </cell>
          <cell r="Q4">
            <v>630</v>
          </cell>
          <cell r="X4" t="str">
            <v/>
          </cell>
          <cell r="Y4">
            <v>-164.2</v>
          </cell>
          <cell r="Z4">
            <v>7031</v>
          </cell>
          <cell r="AA4">
            <v>10363</v>
          </cell>
          <cell r="AB4">
            <v>829.04</v>
          </cell>
          <cell r="AC4">
            <v>207.26</v>
          </cell>
          <cell r="AD4">
            <v>51.82</v>
          </cell>
          <cell r="AE4">
            <v>10363</v>
          </cell>
          <cell r="AF4">
            <v>725</v>
          </cell>
          <cell r="AG4">
            <v>1813.12</v>
          </cell>
          <cell r="AK4">
            <v>5217.88</v>
          </cell>
          <cell r="AL4">
            <v>10363</v>
          </cell>
          <cell r="AM4">
            <v>10363</v>
          </cell>
          <cell r="AN4">
            <v>1658.08</v>
          </cell>
          <cell r="AO4">
            <v>932.68</v>
          </cell>
          <cell r="AP4">
            <v>51.82</v>
          </cell>
          <cell r="AQ4">
            <v>20.73</v>
          </cell>
          <cell r="AS4">
            <v>725</v>
          </cell>
          <cell r="AT4">
            <v>155.44999999999999</v>
          </cell>
          <cell r="AU4">
            <v>3543.7599999999998</v>
          </cell>
          <cell r="AW4">
            <v>128</v>
          </cell>
        </row>
        <row r="5">
          <cell r="D5" t="str">
            <v>沈娟娟</v>
          </cell>
          <cell r="E5" t="str">
            <v>32068119890825242X</v>
          </cell>
          <cell r="F5">
            <v>45444</v>
          </cell>
          <cell r="G5">
            <v>45808</v>
          </cell>
          <cell r="I5" t="str">
            <v>上海</v>
          </cell>
          <cell r="J5">
            <v>1200</v>
          </cell>
          <cell r="K5">
            <v>4398</v>
          </cell>
          <cell r="L5">
            <v>15.3</v>
          </cell>
          <cell r="Q5">
            <v>630</v>
          </cell>
          <cell r="X5" t="str">
            <v/>
          </cell>
          <cell r="Y5">
            <v>-262.3</v>
          </cell>
          <cell r="Z5">
            <v>5981</v>
          </cell>
          <cell r="AA5">
            <v>11829</v>
          </cell>
          <cell r="AB5">
            <v>946.32</v>
          </cell>
          <cell r="AC5">
            <v>236.58</v>
          </cell>
          <cell r="AD5">
            <v>59.15</v>
          </cell>
          <cell r="AE5">
            <v>11829</v>
          </cell>
          <cell r="AF5">
            <v>828</v>
          </cell>
          <cell r="AG5">
            <v>2070.0500000000002</v>
          </cell>
          <cell r="AK5">
            <v>3910.95</v>
          </cell>
          <cell r="AL5">
            <v>11829</v>
          </cell>
          <cell r="AM5">
            <v>11829</v>
          </cell>
          <cell r="AN5">
            <v>1892.64</v>
          </cell>
          <cell r="AO5">
            <v>1064.6199999999999</v>
          </cell>
          <cell r="AP5">
            <v>59.15</v>
          </cell>
          <cell r="AQ5">
            <v>23.66</v>
          </cell>
          <cell r="AS5">
            <v>828</v>
          </cell>
          <cell r="AT5">
            <v>177.44</v>
          </cell>
          <cell r="AU5">
            <v>4045.51</v>
          </cell>
          <cell r="AW5">
            <v>107</v>
          </cell>
        </row>
        <row r="6">
          <cell r="D6" t="str">
            <v>陈云</v>
          </cell>
          <cell r="E6" t="str">
            <v>320681198911257029</v>
          </cell>
          <cell r="F6">
            <v>45444</v>
          </cell>
          <cell r="G6">
            <v>45808</v>
          </cell>
          <cell r="I6" t="str">
            <v>上海</v>
          </cell>
          <cell r="J6">
            <v>1030</v>
          </cell>
          <cell r="K6">
            <v>5888.5</v>
          </cell>
          <cell r="L6">
            <v>368.7</v>
          </cell>
          <cell r="Q6">
            <v>630</v>
          </cell>
          <cell r="X6" t="str">
            <v/>
          </cell>
          <cell r="Y6">
            <v>-21.1</v>
          </cell>
          <cell r="Z6">
            <v>7896.0999999999995</v>
          </cell>
          <cell r="AA6">
            <v>11367</v>
          </cell>
          <cell r="AB6">
            <v>909.36</v>
          </cell>
          <cell r="AC6">
            <v>227.34</v>
          </cell>
          <cell r="AD6">
            <v>56.84</v>
          </cell>
          <cell r="AE6">
            <v>11367</v>
          </cell>
          <cell r="AF6">
            <v>796</v>
          </cell>
          <cell r="AG6">
            <v>1989.54</v>
          </cell>
          <cell r="AK6">
            <v>5906.5599999999995</v>
          </cell>
          <cell r="AL6">
            <v>11367</v>
          </cell>
          <cell r="AM6">
            <v>11367</v>
          </cell>
          <cell r="AN6">
            <v>1818.72</v>
          </cell>
          <cell r="AO6">
            <v>1023.04</v>
          </cell>
          <cell r="AP6">
            <v>56.84</v>
          </cell>
          <cell r="AQ6">
            <v>22.73</v>
          </cell>
          <cell r="AS6">
            <v>796</v>
          </cell>
          <cell r="AT6">
            <v>170.51</v>
          </cell>
          <cell r="AU6">
            <v>3887.84</v>
          </cell>
          <cell r="AW6">
            <v>145</v>
          </cell>
        </row>
        <row r="7">
          <cell r="D7" t="str">
            <v>张海荣</v>
          </cell>
          <cell r="E7" t="str">
            <v>320681198311146835</v>
          </cell>
          <cell r="F7">
            <v>45444</v>
          </cell>
          <cell r="G7">
            <v>45808</v>
          </cell>
          <cell r="I7" t="str">
            <v>上海</v>
          </cell>
          <cell r="J7">
            <v>950</v>
          </cell>
          <cell r="K7">
            <v>5736.5</v>
          </cell>
          <cell r="L7">
            <v>548.9</v>
          </cell>
          <cell r="Q7">
            <v>630</v>
          </cell>
          <cell r="X7" t="str">
            <v/>
          </cell>
          <cell r="Y7">
            <v>-410.3</v>
          </cell>
          <cell r="Z7">
            <v>7455.0999999999995</v>
          </cell>
          <cell r="AA7">
            <v>11730</v>
          </cell>
          <cell r="AB7">
            <v>938.4</v>
          </cell>
          <cell r="AC7">
            <v>234.6</v>
          </cell>
          <cell r="AD7">
            <v>58.65</v>
          </cell>
          <cell r="AE7">
            <v>11730</v>
          </cell>
          <cell r="AF7">
            <v>821</v>
          </cell>
          <cell r="AG7">
            <v>2052.65</v>
          </cell>
          <cell r="AK7">
            <v>5402.4499999999989</v>
          </cell>
          <cell r="AL7">
            <v>11730</v>
          </cell>
          <cell r="AM7">
            <v>11730</v>
          </cell>
          <cell r="AN7">
            <v>1876.8</v>
          </cell>
          <cell r="AO7">
            <v>1055.7</v>
          </cell>
          <cell r="AP7">
            <v>58.65</v>
          </cell>
          <cell r="AQ7">
            <v>23.46</v>
          </cell>
          <cell r="AS7">
            <v>821</v>
          </cell>
          <cell r="AT7">
            <v>175.95</v>
          </cell>
          <cell r="AU7">
            <v>4011.56</v>
          </cell>
          <cell r="AW7">
            <v>137</v>
          </cell>
        </row>
        <row r="8">
          <cell r="D8" t="str">
            <v>龚林花</v>
          </cell>
          <cell r="E8" t="str">
            <v>310230198502244987</v>
          </cell>
          <cell r="F8">
            <v>45444</v>
          </cell>
          <cell r="G8">
            <v>45808</v>
          </cell>
          <cell r="I8" t="str">
            <v>上海</v>
          </cell>
          <cell r="J8">
            <v>860</v>
          </cell>
          <cell r="K8">
            <v>5639</v>
          </cell>
          <cell r="L8">
            <v>470.3</v>
          </cell>
          <cell r="Q8">
            <v>630</v>
          </cell>
          <cell r="X8" t="str">
            <v/>
          </cell>
          <cell r="Y8">
            <v>-418.2</v>
          </cell>
          <cell r="Z8">
            <v>7181.1</v>
          </cell>
          <cell r="AA8">
            <v>7963</v>
          </cell>
          <cell r="AB8">
            <v>637.04</v>
          </cell>
          <cell r="AC8">
            <v>159.26</v>
          </cell>
          <cell r="AD8">
            <v>39.82</v>
          </cell>
          <cell r="AE8">
            <v>7963</v>
          </cell>
          <cell r="AF8">
            <v>557</v>
          </cell>
          <cell r="AG8">
            <v>1393.12</v>
          </cell>
          <cell r="AK8">
            <v>5787.9800000000005</v>
          </cell>
          <cell r="AL8">
            <v>7963</v>
          </cell>
          <cell r="AM8">
            <v>7963</v>
          </cell>
          <cell r="AN8">
            <v>1274.08</v>
          </cell>
          <cell r="AO8">
            <v>716.68</v>
          </cell>
          <cell r="AP8">
            <v>39.82</v>
          </cell>
          <cell r="AQ8">
            <v>15.93</v>
          </cell>
          <cell r="AS8">
            <v>557</v>
          </cell>
          <cell r="AT8">
            <v>119.45</v>
          </cell>
          <cell r="AU8">
            <v>2722.9599999999996</v>
          </cell>
          <cell r="AW8">
            <v>131</v>
          </cell>
        </row>
        <row r="9">
          <cell r="D9" t="str">
            <v>宋莉莉</v>
          </cell>
          <cell r="E9" t="str">
            <v>370883199010065887</v>
          </cell>
          <cell r="F9">
            <v>45444</v>
          </cell>
          <cell r="G9">
            <v>45808</v>
          </cell>
          <cell r="I9" t="str">
            <v>上海</v>
          </cell>
          <cell r="J9">
            <v>800</v>
          </cell>
          <cell r="K9">
            <v>3738</v>
          </cell>
          <cell r="L9">
            <v>123.9</v>
          </cell>
          <cell r="Q9">
            <v>630</v>
          </cell>
          <cell r="X9">
            <v>265.33</v>
          </cell>
          <cell r="Y9">
            <v>-239.7</v>
          </cell>
          <cell r="Z9">
            <v>5317.53</v>
          </cell>
          <cell r="AA9">
            <v>11386</v>
          </cell>
          <cell r="AB9">
            <v>910.88</v>
          </cell>
          <cell r="AC9">
            <v>227.72</v>
          </cell>
          <cell r="AD9">
            <v>56.93</v>
          </cell>
          <cell r="AE9">
            <v>11386</v>
          </cell>
          <cell r="AF9">
            <v>797</v>
          </cell>
          <cell r="AG9">
            <v>1992.53</v>
          </cell>
          <cell r="AK9">
            <v>3325</v>
          </cell>
          <cell r="AL9">
            <v>11386</v>
          </cell>
          <cell r="AM9">
            <v>11386</v>
          </cell>
          <cell r="AN9">
            <v>1821.76</v>
          </cell>
          <cell r="AO9">
            <v>1024.74</v>
          </cell>
          <cell r="AP9">
            <v>56.93</v>
          </cell>
          <cell r="AQ9">
            <v>22.77</v>
          </cell>
          <cell r="AS9">
            <v>797</v>
          </cell>
          <cell r="AT9">
            <v>170.79</v>
          </cell>
          <cell r="AU9">
            <v>3893.99</v>
          </cell>
          <cell r="AW9">
            <v>94</v>
          </cell>
        </row>
        <row r="10">
          <cell r="D10" t="str">
            <v>林峰</v>
          </cell>
          <cell r="E10" t="str">
            <v>320681199806210215</v>
          </cell>
          <cell r="F10">
            <v>45444</v>
          </cell>
          <cell r="G10">
            <v>45808</v>
          </cell>
          <cell r="I10" t="str">
            <v>上海</v>
          </cell>
          <cell r="J10">
            <v>900</v>
          </cell>
          <cell r="K10">
            <v>3948</v>
          </cell>
          <cell r="L10">
            <v>270</v>
          </cell>
          <cell r="Q10">
            <v>630</v>
          </cell>
          <cell r="X10">
            <v>393.93</v>
          </cell>
          <cell r="Y10">
            <v>-1496.6</v>
          </cell>
          <cell r="Z10">
            <v>4645.33</v>
          </cell>
          <cell r="AA10">
            <v>7546</v>
          </cell>
          <cell r="AB10">
            <v>603.67999999999995</v>
          </cell>
          <cell r="AC10">
            <v>150.91999999999999</v>
          </cell>
          <cell r="AD10">
            <v>37.729999999999997</v>
          </cell>
          <cell r="AE10">
            <v>7546</v>
          </cell>
          <cell r="AF10">
            <v>528</v>
          </cell>
          <cell r="AG10">
            <v>1320.33</v>
          </cell>
          <cell r="AK10">
            <v>3325</v>
          </cell>
          <cell r="AL10">
            <v>7546</v>
          </cell>
          <cell r="AM10">
            <v>7546</v>
          </cell>
          <cell r="AN10">
            <v>1207.3599999999999</v>
          </cell>
          <cell r="AO10">
            <v>679.14</v>
          </cell>
          <cell r="AP10">
            <v>37.729999999999997</v>
          </cell>
          <cell r="AQ10">
            <v>15.09</v>
          </cell>
          <cell r="AS10">
            <v>528</v>
          </cell>
          <cell r="AT10">
            <v>113.19</v>
          </cell>
          <cell r="AU10">
            <v>2580.5099999999998</v>
          </cell>
          <cell r="AW10">
            <v>80</v>
          </cell>
        </row>
        <row r="11">
          <cell r="D11" t="str">
            <v>茅柳</v>
          </cell>
          <cell r="E11" t="str">
            <v>310230198208264565</v>
          </cell>
          <cell r="F11">
            <v>45444</v>
          </cell>
          <cell r="G11">
            <v>45808</v>
          </cell>
          <cell r="I11" t="str">
            <v>上海</v>
          </cell>
          <cell r="J11">
            <v>900</v>
          </cell>
          <cell r="K11">
            <v>5008</v>
          </cell>
          <cell r="L11">
            <v>-76.2</v>
          </cell>
          <cell r="Q11">
            <v>630</v>
          </cell>
          <cell r="X11" t="str">
            <v/>
          </cell>
          <cell r="Y11">
            <v>-589.70000000000005</v>
          </cell>
          <cell r="Z11">
            <v>5872.1</v>
          </cell>
          <cell r="AA11">
            <v>7594</v>
          </cell>
          <cell r="AB11">
            <v>607.52</v>
          </cell>
          <cell r="AC11">
            <v>151.88</v>
          </cell>
          <cell r="AD11">
            <v>37.97</v>
          </cell>
          <cell r="AE11">
            <v>7594</v>
          </cell>
          <cell r="AF11">
            <v>532</v>
          </cell>
          <cell r="AG11">
            <v>1329.37</v>
          </cell>
          <cell r="AK11">
            <v>4542.7300000000005</v>
          </cell>
          <cell r="AL11">
            <v>7594</v>
          </cell>
          <cell r="AM11">
            <v>7594</v>
          </cell>
          <cell r="AN11">
            <v>1215.04</v>
          </cell>
          <cell r="AO11">
            <v>683.46</v>
          </cell>
          <cell r="AP11">
            <v>37.97</v>
          </cell>
          <cell r="AQ11">
            <v>15.19</v>
          </cell>
          <cell r="AS11">
            <v>532</v>
          </cell>
          <cell r="AT11">
            <v>113.91</v>
          </cell>
          <cell r="AU11">
            <v>2597.5699999999997</v>
          </cell>
          <cell r="AW11">
            <v>105</v>
          </cell>
        </row>
        <row r="12">
          <cell r="D12" t="str">
            <v>沙玉莲</v>
          </cell>
          <cell r="E12" t="str">
            <v>320681198001296045</v>
          </cell>
          <cell r="F12">
            <v>45444</v>
          </cell>
          <cell r="G12">
            <v>45808</v>
          </cell>
          <cell r="I12" t="str">
            <v>上海</v>
          </cell>
          <cell r="J12">
            <v>900</v>
          </cell>
          <cell r="K12">
            <v>9691</v>
          </cell>
          <cell r="L12">
            <v>950.1</v>
          </cell>
          <cell r="Q12">
            <v>630</v>
          </cell>
          <cell r="X12" t="str">
            <v/>
          </cell>
          <cell r="Y12">
            <v>-26</v>
          </cell>
          <cell r="Z12">
            <v>12145.1</v>
          </cell>
          <cell r="AA12">
            <v>11264</v>
          </cell>
          <cell r="AB12">
            <v>901.12</v>
          </cell>
          <cell r="AC12">
            <v>225.28</v>
          </cell>
          <cell r="AD12">
            <v>56.32</v>
          </cell>
          <cell r="AE12">
            <v>11264</v>
          </cell>
          <cell r="AF12">
            <v>788</v>
          </cell>
          <cell r="AG12">
            <v>1970.72</v>
          </cell>
          <cell r="AK12">
            <v>10174.380000000001</v>
          </cell>
          <cell r="AL12">
            <v>11264</v>
          </cell>
          <cell r="AM12">
            <v>11264</v>
          </cell>
          <cell r="AN12">
            <v>1802.24</v>
          </cell>
          <cell r="AO12">
            <v>1013.76</v>
          </cell>
          <cell r="AP12">
            <v>56.32</v>
          </cell>
          <cell r="AQ12">
            <v>22.53</v>
          </cell>
          <cell r="AS12">
            <v>788</v>
          </cell>
          <cell r="AT12">
            <v>168.96</v>
          </cell>
          <cell r="AU12">
            <v>3851.8100000000004</v>
          </cell>
          <cell r="AW12">
            <v>230</v>
          </cell>
        </row>
        <row r="13">
          <cell r="D13" t="str">
            <v>王凌波</v>
          </cell>
          <cell r="E13" t="str">
            <v>320681198005016055</v>
          </cell>
          <cell r="F13">
            <v>45444</v>
          </cell>
          <cell r="G13">
            <v>45808</v>
          </cell>
          <cell r="I13" t="str">
            <v>上海</v>
          </cell>
          <cell r="J13">
            <v>900</v>
          </cell>
          <cell r="K13">
            <v>11589.5</v>
          </cell>
          <cell r="L13">
            <v>1241.2</v>
          </cell>
          <cell r="Q13">
            <v>630</v>
          </cell>
          <cell r="X13" t="str">
            <v/>
          </cell>
          <cell r="Y13">
            <v>-337.3</v>
          </cell>
          <cell r="Z13">
            <v>14023.400000000001</v>
          </cell>
          <cell r="AA13">
            <v>11463</v>
          </cell>
          <cell r="AB13">
            <v>917.04</v>
          </cell>
          <cell r="AC13">
            <v>229.26</v>
          </cell>
          <cell r="AD13">
            <v>57.32</v>
          </cell>
          <cell r="AE13">
            <v>11463</v>
          </cell>
          <cell r="AF13">
            <v>802</v>
          </cell>
          <cell r="AG13">
            <v>2005.62</v>
          </cell>
          <cell r="AK13">
            <v>12017.780000000002</v>
          </cell>
          <cell r="AL13">
            <v>11463</v>
          </cell>
          <cell r="AM13">
            <v>11463</v>
          </cell>
          <cell r="AN13">
            <v>1834.08</v>
          </cell>
          <cell r="AO13">
            <v>1031.68</v>
          </cell>
          <cell r="AP13">
            <v>57.32</v>
          </cell>
          <cell r="AQ13">
            <v>22.93</v>
          </cell>
          <cell r="AS13">
            <v>802</v>
          </cell>
          <cell r="AT13">
            <v>171.95</v>
          </cell>
          <cell r="AU13">
            <v>3919.96</v>
          </cell>
          <cell r="AW13">
            <v>268</v>
          </cell>
        </row>
        <row r="14">
          <cell r="D14" t="str">
            <v>郁金华</v>
          </cell>
          <cell r="E14" t="str">
            <v>320681197812267024</v>
          </cell>
          <cell r="F14">
            <v>45444</v>
          </cell>
          <cell r="G14">
            <v>45808</v>
          </cell>
          <cell r="I14" t="str">
            <v>上海</v>
          </cell>
          <cell r="J14">
            <v>900</v>
          </cell>
          <cell r="K14">
            <v>5351</v>
          </cell>
          <cell r="L14">
            <v>643.79999999999995</v>
          </cell>
          <cell r="Q14">
            <v>630</v>
          </cell>
          <cell r="X14" t="str">
            <v/>
          </cell>
          <cell r="Y14">
            <v>-26</v>
          </cell>
          <cell r="Z14">
            <v>7498.8</v>
          </cell>
          <cell r="AA14">
            <v>7384</v>
          </cell>
          <cell r="AB14">
            <v>590.72</v>
          </cell>
          <cell r="AC14">
            <v>147.68</v>
          </cell>
          <cell r="AD14">
            <v>36.92</v>
          </cell>
          <cell r="AE14">
            <v>6573</v>
          </cell>
          <cell r="AF14">
            <v>460</v>
          </cell>
          <cell r="AG14">
            <v>1235.3200000000002</v>
          </cell>
          <cell r="AK14">
            <v>6263.48</v>
          </cell>
          <cell r="AL14">
            <v>7384</v>
          </cell>
          <cell r="AM14">
            <v>6573</v>
          </cell>
          <cell r="AN14">
            <v>1181.44</v>
          </cell>
          <cell r="AO14">
            <v>664.56</v>
          </cell>
          <cell r="AP14">
            <v>36.92</v>
          </cell>
          <cell r="AQ14">
            <v>14.77</v>
          </cell>
          <cell r="AS14">
            <v>460</v>
          </cell>
          <cell r="AT14">
            <v>110.76</v>
          </cell>
          <cell r="AU14">
            <v>2468.4500000000003</v>
          </cell>
          <cell r="AW14">
            <v>137</v>
          </cell>
        </row>
        <row r="15">
          <cell r="D15" t="str">
            <v>翁杰</v>
          </cell>
          <cell r="E15" t="str">
            <v>32068119830326361X</v>
          </cell>
          <cell r="F15">
            <v>45444</v>
          </cell>
          <cell r="G15">
            <v>45808</v>
          </cell>
          <cell r="I15" t="str">
            <v>上海</v>
          </cell>
          <cell r="J15">
            <v>900</v>
          </cell>
          <cell r="K15">
            <v>4957.5</v>
          </cell>
          <cell r="L15">
            <v>577</v>
          </cell>
          <cell r="Q15">
            <v>630</v>
          </cell>
          <cell r="X15" t="str">
            <v/>
          </cell>
          <cell r="Y15">
            <v>-187.3</v>
          </cell>
          <cell r="Z15">
            <v>6877.2</v>
          </cell>
          <cell r="AA15">
            <v>8179</v>
          </cell>
          <cell r="AB15">
            <v>654.32000000000005</v>
          </cell>
          <cell r="AC15">
            <v>163.58000000000001</v>
          </cell>
          <cell r="AD15">
            <v>40.9</v>
          </cell>
          <cell r="AE15">
            <v>8179</v>
          </cell>
          <cell r="AF15">
            <v>573</v>
          </cell>
          <cell r="AG15">
            <v>1431.8000000000002</v>
          </cell>
          <cell r="AK15">
            <v>5445.4</v>
          </cell>
          <cell r="AL15">
            <v>8179</v>
          </cell>
          <cell r="AM15">
            <v>8179</v>
          </cell>
          <cell r="AN15">
            <v>1308.6400000000001</v>
          </cell>
          <cell r="AO15">
            <v>736.12</v>
          </cell>
          <cell r="AP15">
            <v>40.9</v>
          </cell>
          <cell r="AQ15">
            <v>16.36</v>
          </cell>
          <cell r="AS15">
            <v>573</v>
          </cell>
          <cell r="AT15">
            <v>122.69</v>
          </cell>
          <cell r="AU15">
            <v>2797.7100000000005</v>
          </cell>
          <cell r="AW15">
            <v>125</v>
          </cell>
        </row>
        <row r="16">
          <cell r="D16" t="str">
            <v>周海松</v>
          </cell>
          <cell r="E16" t="str">
            <v>320626197411023016</v>
          </cell>
          <cell r="F16">
            <v>45444</v>
          </cell>
          <cell r="G16">
            <v>45808</v>
          </cell>
          <cell r="I16" t="str">
            <v>上海</v>
          </cell>
          <cell r="J16">
            <v>800</v>
          </cell>
          <cell r="K16">
            <v>4809</v>
          </cell>
          <cell r="L16">
            <v>264.5</v>
          </cell>
          <cell r="Q16">
            <v>630</v>
          </cell>
          <cell r="X16" t="str">
            <v/>
          </cell>
          <cell r="Y16">
            <v>-639.70000000000005</v>
          </cell>
          <cell r="Z16">
            <v>5863.8</v>
          </cell>
          <cell r="AA16">
            <v>7384</v>
          </cell>
          <cell r="AB16">
            <v>590.72</v>
          </cell>
          <cell r="AC16">
            <v>147.68</v>
          </cell>
          <cell r="AD16">
            <v>36.92</v>
          </cell>
          <cell r="AE16">
            <v>4848</v>
          </cell>
          <cell r="AF16">
            <v>339</v>
          </cell>
          <cell r="AG16">
            <v>1114.3200000000002</v>
          </cell>
          <cell r="AK16">
            <v>4749.4799999999996</v>
          </cell>
          <cell r="AL16">
            <v>7384</v>
          </cell>
          <cell r="AM16">
            <v>4848</v>
          </cell>
          <cell r="AN16">
            <v>1181.44</v>
          </cell>
          <cell r="AO16">
            <v>664.56</v>
          </cell>
          <cell r="AP16">
            <v>36.92</v>
          </cell>
          <cell r="AQ16">
            <v>14.77</v>
          </cell>
          <cell r="AS16">
            <v>339</v>
          </cell>
          <cell r="AT16">
            <v>110.76</v>
          </cell>
          <cell r="AU16">
            <v>2347.4500000000003</v>
          </cell>
          <cell r="AW16">
            <v>105</v>
          </cell>
        </row>
        <row r="17">
          <cell r="D17" t="str">
            <v>钱运成</v>
          </cell>
          <cell r="E17" t="str">
            <v>13058219830615043X</v>
          </cell>
          <cell r="F17">
            <v>45717</v>
          </cell>
          <cell r="G17">
            <v>46081</v>
          </cell>
          <cell r="I17" t="str">
            <v>上海</v>
          </cell>
          <cell r="J17">
            <v>1030</v>
          </cell>
          <cell r="K17">
            <v>2399.5</v>
          </cell>
          <cell r="L17">
            <v>1025.9000000000001</v>
          </cell>
          <cell r="Q17">
            <v>630</v>
          </cell>
          <cell r="X17" t="str">
            <v/>
          </cell>
          <cell r="Y17">
            <v>-595.6</v>
          </cell>
          <cell r="Z17">
            <v>4489.7999999999993</v>
          </cell>
          <cell r="AA17">
            <v>7384</v>
          </cell>
          <cell r="AB17">
            <v>590.72</v>
          </cell>
          <cell r="AC17">
            <v>147.68</v>
          </cell>
          <cell r="AD17">
            <v>36.92</v>
          </cell>
          <cell r="AE17">
            <v>5000</v>
          </cell>
          <cell r="AF17">
            <v>350</v>
          </cell>
          <cell r="AG17">
            <v>1125.3200000000002</v>
          </cell>
          <cell r="AK17">
            <v>3364.4799999999991</v>
          </cell>
          <cell r="AL17">
            <v>7384</v>
          </cell>
          <cell r="AM17">
            <v>5000</v>
          </cell>
          <cell r="AN17">
            <v>1181.44</v>
          </cell>
          <cell r="AO17">
            <v>664.56</v>
          </cell>
          <cell r="AP17">
            <v>36.92</v>
          </cell>
          <cell r="AQ17">
            <v>14.77</v>
          </cell>
          <cell r="AS17">
            <v>350</v>
          </cell>
          <cell r="AT17">
            <v>110.76</v>
          </cell>
          <cell r="AU17">
            <v>2358.4500000000003</v>
          </cell>
          <cell r="AW17">
            <v>77</v>
          </cell>
        </row>
        <row r="18">
          <cell r="D18" t="str">
            <v>吴婷</v>
          </cell>
          <cell r="E18" t="str">
            <v>310113198908164344</v>
          </cell>
          <cell r="F18">
            <v>45717</v>
          </cell>
          <cell r="G18">
            <v>46081</v>
          </cell>
          <cell r="I18" t="str">
            <v>上海</v>
          </cell>
          <cell r="J18">
            <v>1400</v>
          </cell>
          <cell r="K18">
            <v>3569</v>
          </cell>
          <cell r="L18">
            <v>1970</v>
          </cell>
          <cell r="Q18">
            <v>630</v>
          </cell>
          <cell r="X18" t="str">
            <v/>
          </cell>
          <cell r="Y18">
            <v>-226</v>
          </cell>
          <cell r="Z18">
            <v>7343</v>
          </cell>
          <cell r="AA18">
            <v>14476.16</v>
          </cell>
          <cell r="AB18">
            <v>1158.0899999999999</v>
          </cell>
          <cell r="AC18">
            <v>289.52</v>
          </cell>
          <cell r="AD18">
            <v>72.38</v>
          </cell>
          <cell r="AE18">
            <v>14476.16</v>
          </cell>
          <cell r="AF18">
            <v>1013</v>
          </cell>
          <cell r="AG18">
            <v>2532.9899999999998</v>
          </cell>
          <cell r="AK18">
            <v>4810.01</v>
          </cell>
          <cell r="AL18">
            <v>14476.16</v>
          </cell>
          <cell r="AM18">
            <v>14476.16</v>
          </cell>
          <cell r="AN18">
            <v>2316.19</v>
          </cell>
          <cell r="AO18">
            <v>1302.8499999999999</v>
          </cell>
          <cell r="AP18">
            <v>72.38</v>
          </cell>
          <cell r="AQ18">
            <v>28.95</v>
          </cell>
          <cell r="AS18">
            <v>1013</v>
          </cell>
          <cell r="AT18">
            <v>217.14</v>
          </cell>
          <cell r="AU18">
            <v>4950.51</v>
          </cell>
          <cell r="AW18">
            <v>134</v>
          </cell>
        </row>
        <row r="19">
          <cell r="D19" t="str">
            <v>朱国芹</v>
          </cell>
          <cell r="E19" t="str">
            <v>32092319790724512X</v>
          </cell>
          <cell r="F19">
            <v>45717</v>
          </cell>
          <cell r="G19">
            <v>46081</v>
          </cell>
          <cell r="I19" t="str">
            <v>上海</v>
          </cell>
          <cell r="J19">
            <v>1030</v>
          </cell>
          <cell r="K19">
            <v>2866</v>
          </cell>
          <cell r="L19">
            <v>1660</v>
          </cell>
          <cell r="Q19">
            <v>630</v>
          </cell>
          <cell r="X19" t="str">
            <v/>
          </cell>
          <cell r="Y19">
            <v>-226</v>
          </cell>
          <cell r="Z19">
            <v>5960</v>
          </cell>
          <cell r="AA19">
            <v>9821.49</v>
          </cell>
          <cell r="AB19">
            <v>785.72</v>
          </cell>
          <cell r="AC19">
            <v>196.43</v>
          </cell>
          <cell r="AD19">
            <v>49.11</v>
          </cell>
          <cell r="AE19">
            <v>9821.49</v>
          </cell>
          <cell r="AF19">
            <v>688</v>
          </cell>
          <cell r="AG19">
            <v>1719.26</v>
          </cell>
          <cell r="AK19">
            <v>4240.74</v>
          </cell>
          <cell r="AL19">
            <v>9821.49</v>
          </cell>
          <cell r="AM19">
            <v>9821.49</v>
          </cell>
          <cell r="AN19">
            <v>1571.44</v>
          </cell>
          <cell r="AO19">
            <v>883.94</v>
          </cell>
          <cell r="AP19">
            <v>49.11</v>
          </cell>
          <cell r="AQ19">
            <v>19.64</v>
          </cell>
          <cell r="AS19">
            <v>688</v>
          </cell>
          <cell r="AT19">
            <v>147.32</v>
          </cell>
          <cell r="AU19">
            <v>3359.4500000000003</v>
          </cell>
          <cell r="AW19">
            <v>107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布列吉绩效清单"/>
      <sheetName val="布列吉基础数据"/>
    </sheetNames>
    <sheetDataSet>
      <sheetData sheetId="0">
        <row r="7">
          <cell r="F7" t="str">
            <v>魏玲</v>
          </cell>
          <cell r="G7">
            <v>1030</v>
          </cell>
          <cell r="H7">
            <v>2010.5</v>
          </cell>
          <cell r="I7"/>
          <cell r="J7"/>
          <cell r="K7"/>
          <cell r="L7"/>
          <cell r="M7">
            <v>2769.6</v>
          </cell>
          <cell r="N7">
            <v>6991.2</v>
          </cell>
          <cell r="O7"/>
          <cell r="P7"/>
          <cell r="Q7"/>
          <cell r="R7"/>
          <cell r="S7"/>
          <cell r="T7">
            <v>630</v>
          </cell>
          <cell r="U7"/>
          <cell r="V7"/>
          <cell r="W7">
            <v>256</v>
          </cell>
        </row>
        <row r="8">
          <cell r="F8" t="str">
            <v>朱焱炎</v>
          </cell>
          <cell r="G8">
            <v>950</v>
          </cell>
          <cell r="H8">
            <v>1239.5</v>
          </cell>
          <cell r="I8"/>
          <cell r="J8"/>
          <cell r="K8"/>
          <cell r="L8"/>
          <cell r="M8">
            <v>1857.6</v>
          </cell>
          <cell r="N8">
            <v>30</v>
          </cell>
          <cell r="O8"/>
          <cell r="P8"/>
          <cell r="Q8"/>
          <cell r="R8"/>
          <cell r="S8"/>
          <cell r="T8">
            <v>630</v>
          </cell>
          <cell r="U8"/>
          <cell r="V8"/>
          <cell r="W8">
            <v>80</v>
          </cell>
        </row>
        <row r="9">
          <cell r="F9" t="str">
            <v>王海婷</v>
          </cell>
          <cell r="G9">
            <v>1200</v>
          </cell>
          <cell r="H9">
            <v>2835.2</v>
          </cell>
          <cell r="I9"/>
          <cell r="J9"/>
          <cell r="K9"/>
          <cell r="L9"/>
          <cell r="M9">
            <v>2393.4</v>
          </cell>
          <cell r="N9">
            <v>3084.21</v>
          </cell>
          <cell r="O9"/>
          <cell r="P9"/>
          <cell r="Q9"/>
          <cell r="R9"/>
          <cell r="S9"/>
          <cell r="T9">
            <v>630</v>
          </cell>
          <cell r="U9"/>
          <cell r="V9"/>
          <cell r="W9">
            <v>184</v>
          </cell>
        </row>
        <row r="10">
          <cell r="F10" t="str">
            <v>金霞</v>
          </cell>
          <cell r="G10">
            <v>1030</v>
          </cell>
          <cell r="H10">
            <v>785.5</v>
          </cell>
          <cell r="I10"/>
          <cell r="J10"/>
          <cell r="K10"/>
          <cell r="L10"/>
          <cell r="M10">
            <v>2094</v>
          </cell>
          <cell r="N10">
            <v>1500</v>
          </cell>
          <cell r="O10"/>
          <cell r="P10"/>
          <cell r="Q10"/>
          <cell r="R10"/>
          <cell r="S10"/>
          <cell r="T10">
            <v>369.27</v>
          </cell>
          <cell r="U10"/>
          <cell r="V10"/>
          <cell r="W10">
            <v>69</v>
          </cell>
        </row>
        <row r="11">
          <cell r="F11" t="str">
            <v>殷颖</v>
          </cell>
          <cell r="G11">
            <v>1300</v>
          </cell>
          <cell r="H11">
            <v>1010.2</v>
          </cell>
          <cell r="I11"/>
          <cell r="J11"/>
          <cell r="K11"/>
          <cell r="L11"/>
          <cell r="M11">
            <v>1440</v>
          </cell>
          <cell r="N11">
            <v>500</v>
          </cell>
          <cell r="O11"/>
          <cell r="P11"/>
          <cell r="Q11"/>
          <cell r="R11"/>
          <cell r="S11"/>
          <cell r="T11">
            <v>630</v>
          </cell>
          <cell r="U11"/>
          <cell r="V11"/>
          <cell r="W11">
            <v>52</v>
          </cell>
        </row>
        <row r="12">
          <cell r="F12" t="str">
            <v>夏士梅</v>
          </cell>
          <cell r="G12">
            <v>1030</v>
          </cell>
          <cell r="H12">
            <v>1699.5</v>
          </cell>
          <cell r="I12"/>
          <cell r="J12"/>
          <cell r="K12"/>
          <cell r="L12"/>
          <cell r="M12">
            <v>2466</v>
          </cell>
          <cell r="N12">
            <v>2500</v>
          </cell>
          <cell r="O12"/>
          <cell r="P12"/>
          <cell r="Q12"/>
          <cell r="R12"/>
          <cell r="S12"/>
          <cell r="T12">
            <v>601.03</v>
          </cell>
          <cell r="U12"/>
          <cell r="V12"/>
          <cell r="W12">
            <v>153</v>
          </cell>
        </row>
        <row r="13">
          <cell r="F13" t="str">
            <v>杨晨晖</v>
          </cell>
          <cell r="G13">
            <v>1030</v>
          </cell>
          <cell r="H13">
            <v>1290</v>
          </cell>
          <cell r="I13"/>
          <cell r="J13"/>
          <cell r="K13"/>
          <cell r="L13"/>
          <cell r="M13">
            <v>2450.4</v>
          </cell>
          <cell r="N13">
            <v>2000</v>
          </cell>
          <cell r="O13"/>
          <cell r="P13"/>
          <cell r="Q13"/>
          <cell r="R13"/>
          <cell r="S13"/>
          <cell r="T13">
            <v>630</v>
          </cell>
          <cell r="U13"/>
          <cell r="V13"/>
          <cell r="W13">
            <v>128</v>
          </cell>
        </row>
        <row r="14">
          <cell r="F14" t="str">
            <v>成瀛</v>
          </cell>
          <cell r="G14">
            <v>1300</v>
          </cell>
          <cell r="H14">
            <v>2057.5</v>
          </cell>
          <cell r="I14"/>
          <cell r="J14"/>
          <cell r="K14"/>
          <cell r="L14"/>
          <cell r="M14">
            <v>2769.6</v>
          </cell>
          <cell r="N14">
            <v>4838</v>
          </cell>
          <cell r="O14"/>
          <cell r="P14"/>
          <cell r="Q14"/>
          <cell r="R14"/>
          <cell r="S14"/>
          <cell r="T14">
            <v>630</v>
          </cell>
          <cell r="U14"/>
          <cell r="V14"/>
          <cell r="W14">
            <v>218</v>
          </cell>
        </row>
        <row r="15">
          <cell r="F15" t="str">
            <v>陆燕</v>
          </cell>
          <cell r="G15">
            <v>1400</v>
          </cell>
          <cell r="H15">
            <v>829.5</v>
          </cell>
          <cell r="I15"/>
          <cell r="J15"/>
          <cell r="K15"/>
          <cell r="L15"/>
          <cell r="M15">
            <v>6425.6</v>
          </cell>
          <cell r="N15">
            <v>6420</v>
          </cell>
          <cell r="O15"/>
          <cell r="P15"/>
          <cell r="Q15"/>
          <cell r="R15"/>
          <cell r="S15"/>
          <cell r="T15">
            <v>630</v>
          </cell>
          <cell r="U15"/>
          <cell r="V15"/>
          <cell r="W15">
            <v>261</v>
          </cell>
        </row>
        <row r="16">
          <cell r="F16" t="str">
            <v>朱琳</v>
          </cell>
          <cell r="G16">
            <v>1080</v>
          </cell>
          <cell r="H16">
            <v>3656.7</v>
          </cell>
          <cell r="I16"/>
          <cell r="J16"/>
          <cell r="K16"/>
          <cell r="L16"/>
          <cell r="M16">
            <v>0</v>
          </cell>
          <cell r="N16">
            <v>0</v>
          </cell>
          <cell r="O16"/>
          <cell r="P16"/>
          <cell r="Q16"/>
          <cell r="R16"/>
          <cell r="S16"/>
          <cell r="T16">
            <v>0</v>
          </cell>
          <cell r="U16"/>
          <cell r="V16"/>
          <cell r="W16">
            <v>95</v>
          </cell>
        </row>
        <row r="17">
          <cell r="F17" t="str">
            <v>赵杭顺</v>
          </cell>
          <cell r="G17">
            <v>1030</v>
          </cell>
          <cell r="H17">
            <v>2710.5</v>
          </cell>
          <cell r="I17"/>
          <cell r="J17"/>
          <cell r="K17"/>
          <cell r="L17"/>
          <cell r="M17">
            <v>2913.6</v>
          </cell>
          <cell r="N17">
            <v>11567.5</v>
          </cell>
          <cell r="O17"/>
          <cell r="P17"/>
          <cell r="Q17"/>
          <cell r="R17"/>
          <cell r="S17"/>
          <cell r="T17">
            <v>630</v>
          </cell>
          <cell r="U17"/>
          <cell r="V17"/>
          <cell r="W17">
            <v>364</v>
          </cell>
        </row>
        <row r="18">
          <cell r="F18" t="str">
            <v>张杰</v>
          </cell>
          <cell r="G18">
            <v>1300</v>
          </cell>
          <cell r="H18">
            <v>6064.7</v>
          </cell>
          <cell r="I18"/>
          <cell r="J18"/>
          <cell r="K18"/>
          <cell r="L18"/>
          <cell r="M18">
            <v>2712</v>
          </cell>
          <cell r="N18">
            <v>5526.38</v>
          </cell>
          <cell r="O18"/>
          <cell r="P18"/>
          <cell r="Q18"/>
          <cell r="R18"/>
          <cell r="S18"/>
          <cell r="T18">
            <v>630</v>
          </cell>
          <cell r="U18"/>
          <cell r="V18"/>
          <cell r="W18">
            <v>311</v>
          </cell>
        </row>
        <row r="19">
          <cell r="F19" t="str">
            <v>顾文君</v>
          </cell>
          <cell r="G19">
            <v>1300</v>
          </cell>
          <cell r="H19">
            <v>1615.7</v>
          </cell>
          <cell r="I19"/>
          <cell r="J19"/>
          <cell r="K19"/>
          <cell r="L19"/>
          <cell r="M19">
            <v>5232</v>
          </cell>
          <cell r="N19">
            <v>3000</v>
          </cell>
          <cell r="O19"/>
          <cell r="P19"/>
          <cell r="Q19"/>
          <cell r="R19"/>
          <cell r="S19"/>
          <cell r="T19">
            <v>630</v>
          </cell>
          <cell r="U19"/>
          <cell r="V19"/>
          <cell r="W19">
            <v>189</v>
          </cell>
        </row>
        <row r="20">
          <cell r="F20" t="str">
            <v>李娟</v>
          </cell>
          <cell r="G20">
            <v>1030</v>
          </cell>
          <cell r="H20">
            <v>1658.7</v>
          </cell>
          <cell r="I20"/>
          <cell r="J20"/>
          <cell r="K20"/>
          <cell r="L20"/>
          <cell r="M20">
            <v>1389</v>
          </cell>
          <cell r="N20">
            <v>1483.51</v>
          </cell>
          <cell r="O20"/>
          <cell r="P20"/>
          <cell r="Q20"/>
          <cell r="R20"/>
          <cell r="S20"/>
          <cell r="T20">
            <v>630</v>
          </cell>
          <cell r="U20"/>
          <cell r="V20"/>
          <cell r="W20">
            <v>105</v>
          </cell>
        </row>
        <row r="21">
          <cell r="F21" t="str">
            <v>朱娟</v>
          </cell>
          <cell r="G21">
            <v>970</v>
          </cell>
          <cell r="H21">
            <v>1436.8</v>
          </cell>
          <cell r="I21"/>
          <cell r="J21"/>
          <cell r="K21"/>
          <cell r="L21"/>
          <cell r="M21">
            <v>5510.4</v>
          </cell>
          <cell r="N21">
            <v>10180.459999999999</v>
          </cell>
          <cell r="O21"/>
          <cell r="P21"/>
          <cell r="Q21"/>
          <cell r="R21"/>
          <cell r="S21"/>
          <cell r="T21">
            <v>630</v>
          </cell>
          <cell r="U21"/>
          <cell r="V21"/>
          <cell r="W21">
            <v>342</v>
          </cell>
        </row>
        <row r="22">
          <cell r="F22" t="str">
            <v>叶挺</v>
          </cell>
          <cell r="G22">
            <v>800</v>
          </cell>
          <cell r="H22">
            <v>1818.05</v>
          </cell>
          <cell r="I22"/>
          <cell r="J22"/>
          <cell r="K22"/>
          <cell r="L22"/>
          <cell r="M22">
            <v>1854</v>
          </cell>
          <cell r="N22">
            <v>9000</v>
          </cell>
          <cell r="O22"/>
          <cell r="P22"/>
          <cell r="Q22"/>
          <cell r="R22"/>
          <cell r="S22"/>
          <cell r="T22">
            <v>630</v>
          </cell>
          <cell r="U22"/>
          <cell r="V22"/>
          <cell r="W22">
            <v>262</v>
          </cell>
        </row>
        <row r="23">
          <cell r="F23" t="str">
            <v>张欢</v>
          </cell>
          <cell r="G23">
            <v>950</v>
          </cell>
          <cell r="H23">
            <v>1207.4000000000001</v>
          </cell>
          <cell r="I23"/>
          <cell r="J23"/>
          <cell r="K23"/>
          <cell r="L23"/>
          <cell r="M23">
            <v>2769.6</v>
          </cell>
          <cell r="N23">
            <v>5202</v>
          </cell>
          <cell r="O23"/>
          <cell r="P23"/>
          <cell r="Q23"/>
          <cell r="R23"/>
          <cell r="S23"/>
          <cell r="T23">
            <v>630</v>
          </cell>
          <cell r="U23"/>
          <cell r="V23"/>
          <cell r="W23">
            <v>202</v>
          </cell>
        </row>
        <row r="24">
          <cell r="F24" t="str">
            <v>张枚</v>
          </cell>
          <cell r="G24">
            <v>1030</v>
          </cell>
          <cell r="H24">
            <v>1118.5999999999999</v>
          </cell>
          <cell r="I24"/>
          <cell r="J24"/>
          <cell r="K24"/>
          <cell r="L24"/>
          <cell r="M24">
            <v>2769.6</v>
          </cell>
          <cell r="N24">
            <v>2953</v>
          </cell>
          <cell r="O24"/>
          <cell r="P24"/>
          <cell r="Q24"/>
          <cell r="R24"/>
          <cell r="S24"/>
          <cell r="T24">
            <v>630</v>
          </cell>
          <cell r="U24"/>
          <cell r="V24"/>
          <cell r="W24">
            <v>150</v>
          </cell>
        </row>
        <row r="25">
          <cell r="F25" t="str">
            <v>王佳睿</v>
          </cell>
          <cell r="G25">
            <v>900</v>
          </cell>
          <cell r="H25">
            <v>2184.4</v>
          </cell>
          <cell r="I25"/>
          <cell r="J25"/>
          <cell r="K25"/>
          <cell r="L25"/>
          <cell r="M25">
            <v>2064.6</v>
          </cell>
          <cell r="N25">
            <v>4370.8100000000004</v>
          </cell>
          <cell r="O25"/>
          <cell r="P25"/>
          <cell r="Q25"/>
          <cell r="R25"/>
          <cell r="S25"/>
          <cell r="T25">
            <v>630</v>
          </cell>
          <cell r="U25"/>
          <cell r="V25"/>
          <cell r="W25">
            <v>163</v>
          </cell>
        </row>
        <row r="26">
          <cell r="F26" t="str">
            <v>姚嘉豪</v>
          </cell>
          <cell r="G26">
            <v>800</v>
          </cell>
          <cell r="H26">
            <v>1408.9</v>
          </cell>
          <cell r="I26"/>
          <cell r="J26"/>
          <cell r="K26"/>
          <cell r="L26"/>
          <cell r="M26">
            <v>1902</v>
          </cell>
          <cell r="N26">
            <v>1120.94</v>
          </cell>
          <cell r="O26"/>
          <cell r="P26"/>
          <cell r="Q26"/>
          <cell r="R26"/>
          <cell r="S26"/>
          <cell r="T26">
            <v>630</v>
          </cell>
          <cell r="U26"/>
          <cell r="V26"/>
          <cell r="W26">
            <v>100</v>
          </cell>
        </row>
        <row r="27">
          <cell r="F27" t="str">
            <v>王艳</v>
          </cell>
          <cell r="G27">
            <v>800</v>
          </cell>
          <cell r="H27">
            <v>2852.2</v>
          </cell>
          <cell r="I27"/>
          <cell r="J27"/>
          <cell r="K27"/>
          <cell r="L27"/>
          <cell r="M27">
            <v>1857.6</v>
          </cell>
          <cell r="N27">
            <v>11839.3</v>
          </cell>
          <cell r="O27"/>
          <cell r="P27"/>
          <cell r="Q27"/>
          <cell r="R27"/>
          <cell r="S27"/>
          <cell r="T27">
            <v>630</v>
          </cell>
          <cell r="U27"/>
          <cell r="V27"/>
          <cell r="W27">
            <v>337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50"/>
  <sheetViews>
    <sheetView tabSelected="1" zoomScale="95" zoomScaleNormal="95" workbookViewId="0">
      <pane xSplit="5" ySplit="2" topLeftCell="AU3" activePane="bottomRight" state="frozen"/>
      <selection pane="topRight"/>
      <selection pane="bottomLeft"/>
      <selection pane="bottomRight" activeCell="BB41" sqref="BB41"/>
    </sheetView>
  </sheetViews>
  <sheetFormatPr defaultColWidth="8.6640625" defaultRowHeight="16.2" x14ac:dyDescent="0.25"/>
  <cols>
    <col min="1" max="1" width="7.109375" style="4" customWidth="1"/>
    <col min="2" max="2" width="7.6640625" style="4" customWidth="1"/>
    <col min="3" max="3" width="8.77734375" style="4" customWidth="1"/>
    <col min="4" max="4" width="5.6640625" style="4" customWidth="1"/>
    <col min="5" max="5" width="23.33203125" style="4" customWidth="1"/>
    <col min="6" max="6" width="12" style="4" customWidth="1"/>
    <col min="7" max="7" width="10.5546875" style="4" customWidth="1"/>
    <col min="8" max="8" width="11.5546875" style="4" customWidth="1"/>
    <col min="9" max="9" width="10.44140625" style="4" customWidth="1"/>
    <col min="10" max="10" width="9.5546875" style="4" customWidth="1"/>
    <col min="11" max="11" width="23.44140625" style="4" customWidth="1"/>
    <col min="12" max="12" width="25.77734375" style="4" customWidth="1"/>
    <col min="13" max="13" width="16.33203125" style="4" customWidth="1"/>
    <col min="14" max="14" width="12.88671875" style="4" customWidth="1"/>
    <col min="15" max="15" width="12" style="4" customWidth="1"/>
    <col min="16" max="16" width="11.5546875" style="4" customWidth="1"/>
    <col min="17" max="17" width="6.5546875" style="4" customWidth="1"/>
    <col min="18" max="18" width="11.6640625" style="4" customWidth="1"/>
    <col min="19" max="19" width="8" style="4" customWidth="1"/>
    <col min="20" max="20" width="9.5546875" style="4" customWidth="1"/>
    <col min="21" max="21" width="8.33203125" style="4" customWidth="1"/>
    <col min="22" max="22" width="6.77734375" style="4" customWidth="1"/>
    <col min="23" max="23" width="13.33203125" style="4" customWidth="1"/>
    <col min="24" max="24" width="10.44140625" style="4" customWidth="1"/>
    <col min="25" max="25" width="9.5546875" style="4" customWidth="1"/>
    <col min="26" max="26" width="14.5546875" style="4" customWidth="1"/>
    <col min="27" max="27" width="10.44140625" style="4" customWidth="1"/>
    <col min="28" max="28" width="12.88671875" style="4" customWidth="1"/>
    <col min="29" max="30" width="10.109375" style="4" customWidth="1"/>
    <col min="31" max="32" width="9.6640625" style="4" customWidth="1"/>
    <col min="33" max="33" width="16" style="4" customWidth="1"/>
    <col min="34" max="34" width="11.109375" style="4" customWidth="1"/>
    <col min="35" max="35" width="9.21875" style="4" customWidth="1"/>
    <col min="36" max="36" width="10.33203125" style="4" customWidth="1"/>
    <col min="37" max="37" width="16.21875" style="4" customWidth="1"/>
    <col min="38" max="38" width="10.44140625" style="4" customWidth="1"/>
    <col min="39" max="39" width="8.88671875" style="4" customWidth="1"/>
    <col min="40" max="41" width="9.5546875" style="4" customWidth="1"/>
    <col min="42" max="42" width="10" style="4" customWidth="1"/>
    <col min="43" max="43" width="9.77734375" style="4" customWidth="1"/>
    <col min="44" max="44" width="6.5546875" style="4" customWidth="1"/>
    <col min="45" max="45" width="8.88671875" style="4" customWidth="1"/>
    <col min="46" max="46" width="10.77734375" style="4" customWidth="1"/>
    <col min="47" max="47" width="16" style="4" customWidth="1"/>
    <col min="48" max="48" width="16.6640625" style="4" customWidth="1"/>
    <col min="49" max="49" width="14.5546875" style="4" customWidth="1"/>
    <col min="50" max="51" width="19.77734375" style="4" customWidth="1"/>
    <col min="52" max="52" width="39.5546875" style="4" customWidth="1"/>
    <col min="53" max="53" width="13.33203125" style="4" customWidth="1"/>
    <col min="54" max="54" width="17" style="4" customWidth="1"/>
    <col min="55" max="55" width="14.6640625" style="4" customWidth="1"/>
    <col min="56" max="57" width="17.6640625" style="4" customWidth="1"/>
    <col min="58" max="58" width="9.109375" style="4" customWidth="1"/>
    <col min="59" max="16384" width="8.6640625" style="4"/>
  </cols>
  <sheetData>
    <row r="1" spans="1:60" s="1" customFormat="1" ht="26.1" customHeight="1" x14ac:dyDescent="0.3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18" t="s">
        <v>9</v>
      </c>
      <c r="K1" s="5" t="s">
        <v>10</v>
      </c>
      <c r="L1" s="5" t="s">
        <v>11</v>
      </c>
      <c r="M1" s="102" t="s">
        <v>12</v>
      </c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4"/>
      <c r="Z1" s="22" t="s">
        <v>13</v>
      </c>
      <c r="AA1" s="18" t="s">
        <v>14</v>
      </c>
      <c r="AB1" s="18" t="s">
        <v>15</v>
      </c>
      <c r="AC1" s="18" t="s">
        <v>16</v>
      </c>
      <c r="AD1" s="18" t="s">
        <v>17</v>
      </c>
      <c r="AE1" s="18" t="s">
        <v>18</v>
      </c>
      <c r="AF1" s="18" t="s">
        <v>19</v>
      </c>
      <c r="AG1" s="22" t="s">
        <v>20</v>
      </c>
      <c r="AH1" s="18" t="s">
        <v>21</v>
      </c>
      <c r="AI1" s="18" t="s">
        <v>22</v>
      </c>
      <c r="AJ1" s="18" t="s">
        <v>23</v>
      </c>
      <c r="AK1" s="22" t="s">
        <v>24</v>
      </c>
      <c r="AL1" s="18" t="s">
        <v>25</v>
      </c>
      <c r="AM1" s="18" t="s">
        <v>26</v>
      </c>
      <c r="AN1" s="18" t="s">
        <v>27</v>
      </c>
      <c r="AO1" s="18" t="s">
        <v>28</v>
      </c>
      <c r="AP1" s="18" t="s">
        <v>29</v>
      </c>
      <c r="AQ1" s="18" t="s">
        <v>30</v>
      </c>
      <c r="AR1" s="18" t="s">
        <v>31</v>
      </c>
      <c r="AS1" s="18" t="s">
        <v>32</v>
      </c>
      <c r="AT1" s="18" t="s">
        <v>33</v>
      </c>
      <c r="AU1" s="22" t="s">
        <v>34</v>
      </c>
      <c r="AV1" s="22" t="s">
        <v>35</v>
      </c>
      <c r="AW1" s="33" t="s">
        <v>36</v>
      </c>
      <c r="AX1" s="34" t="s">
        <v>211</v>
      </c>
      <c r="AY1" s="34" t="s">
        <v>213</v>
      </c>
      <c r="AZ1" s="35" t="s">
        <v>37</v>
      </c>
      <c r="BA1" s="33" t="s">
        <v>38</v>
      </c>
      <c r="BB1" s="41" t="s">
        <v>39</v>
      </c>
      <c r="BC1" s="33" t="s">
        <v>40</v>
      </c>
      <c r="BD1" s="33" t="s">
        <v>41</v>
      </c>
      <c r="BE1" s="34" t="s">
        <v>42</v>
      </c>
      <c r="BF1" s="2"/>
    </row>
    <row r="2" spans="1:60" s="2" customFormat="1" ht="40.799999999999997" x14ac:dyDescent="0.25">
      <c r="A2" s="8" t="s">
        <v>43</v>
      </c>
      <c r="B2" s="9" t="s">
        <v>44</v>
      </c>
      <c r="C2" s="8" t="s">
        <v>45</v>
      </c>
      <c r="D2" s="8" t="s">
        <v>46</v>
      </c>
      <c r="E2" s="8" t="s">
        <v>47</v>
      </c>
      <c r="F2" s="8" t="s">
        <v>48</v>
      </c>
      <c r="G2" s="8" t="s">
        <v>49</v>
      </c>
      <c r="H2" s="8" t="s">
        <v>50</v>
      </c>
      <c r="I2" s="8" t="s">
        <v>51</v>
      </c>
      <c r="J2" s="19" t="s">
        <v>52</v>
      </c>
      <c r="K2" s="8" t="s">
        <v>53</v>
      </c>
      <c r="L2" s="8" t="s">
        <v>54</v>
      </c>
      <c r="M2" s="8" t="s">
        <v>55</v>
      </c>
      <c r="N2" s="8" t="s">
        <v>56</v>
      </c>
      <c r="O2" s="8" t="s">
        <v>57</v>
      </c>
      <c r="P2" s="8" t="s">
        <v>58</v>
      </c>
      <c r="Q2" s="8" t="s">
        <v>59</v>
      </c>
      <c r="R2" s="8" t="s">
        <v>60</v>
      </c>
      <c r="S2" s="8" t="s">
        <v>61</v>
      </c>
      <c r="T2" s="8" t="s">
        <v>62</v>
      </c>
      <c r="U2" s="8" t="s">
        <v>63</v>
      </c>
      <c r="V2" s="8" t="s">
        <v>64</v>
      </c>
      <c r="W2" s="8" t="s">
        <v>65</v>
      </c>
      <c r="X2" s="8" t="s">
        <v>66</v>
      </c>
      <c r="Y2" s="8" t="s">
        <v>67</v>
      </c>
      <c r="Z2" s="23" t="s">
        <v>68</v>
      </c>
      <c r="AA2" s="19" t="s">
        <v>69</v>
      </c>
      <c r="AB2" s="19" t="s">
        <v>70</v>
      </c>
      <c r="AC2" s="19" t="s">
        <v>71</v>
      </c>
      <c r="AD2" s="19" t="s">
        <v>72</v>
      </c>
      <c r="AE2" s="19" t="s">
        <v>73</v>
      </c>
      <c r="AF2" s="19" t="s">
        <v>74</v>
      </c>
      <c r="AG2" s="23" t="s">
        <v>75</v>
      </c>
      <c r="AH2" s="19" t="s">
        <v>76</v>
      </c>
      <c r="AI2" s="19" t="s">
        <v>77</v>
      </c>
      <c r="AJ2" s="19" t="s">
        <v>78</v>
      </c>
      <c r="AK2" s="23" t="s">
        <v>79</v>
      </c>
      <c r="AL2" s="19" t="s">
        <v>69</v>
      </c>
      <c r="AM2" s="19" t="s">
        <v>73</v>
      </c>
      <c r="AN2" s="19" t="s">
        <v>80</v>
      </c>
      <c r="AO2" s="19" t="s">
        <v>81</v>
      </c>
      <c r="AP2" s="19" t="s">
        <v>82</v>
      </c>
      <c r="AQ2" s="19" t="s">
        <v>83</v>
      </c>
      <c r="AR2" s="19" t="s">
        <v>84</v>
      </c>
      <c r="AS2" s="19" t="s">
        <v>85</v>
      </c>
      <c r="AT2" s="19" t="s">
        <v>86</v>
      </c>
      <c r="AU2" s="23" t="s">
        <v>87</v>
      </c>
      <c r="AV2" s="23" t="s">
        <v>88</v>
      </c>
      <c r="AW2" s="23" t="s">
        <v>89</v>
      </c>
      <c r="AX2" s="34"/>
      <c r="AY2" s="34"/>
      <c r="AZ2" s="36" t="s">
        <v>90</v>
      </c>
      <c r="BA2" s="33" t="s">
        <v>91</v>
      </c>
      <c r="BB2" s="41" t="s">
        <v>92</v>
      </c>
      <c r="BC2" s="33" t="s">
        <v>93</v>
      </c>
      <c r="BD2" s="33" t="s">
        <v>94</v>
      </c>
      <c r="BE2" s="34"/>
    </row>
    <row r="3" spans="1:60" s="3" customFormat="1" ht="15" customHeight="1" x14ac:dyDescent="0.25">
      <c r="A3" s="10">
        <f>ROW()-2</f>
        <v>1</v>
      </c>
      <c r="B3" s="11">
        <v>2503</v>
      </c>
      <c r="C3" s="11" t="s">
        <v>95</v>
      </c>
      <c r="D3" s="12" t="s">
        <v>96</v>
      </c>
      <c r="E3" s="16" t="s">
        <v>97</v>
      </c>
      <c r="F3" s="17">
        <v>45444</v>
      </c>
      <c r="G3" s="17">
        <v>45808</v>
      </c>
      <c r="H3" s="10"/>
      <c r="I3" s="20" t="s">
        <v>98</v>
      </c>
      <c r="J3" s="21">
        <v>1400</v>
      </c>
      <c r="K3" s="21">
        <v>6433.5</v>
      </c>
      <c r="L3" s="21">
        <v>1583.7</v>
      </c>
      <c r="M3" s="21"/>
      <c r="N3" s="21"/>
      <c r="O3" s="21"/>
      <c r="P3" s="21"/>
      <c r="Q3" s="21">
        <v>630</v>
      </c>
      <c r="R3" s="21"/>
      <c r="S3" s="21"/>
      <c r="T3" s="21"/>
      <c r="U3" s="21"/>
      <c r="V3" s="21"/>
      <c r="W3" s="21"/>
      <c r="X3" s="21" t="s">
        <v>212</v>
      </c>
      <c r="Y3" s="21">
        <v>0</v>
      </c>
      <c r="Z3" s="24">
        <f t="shared" ref="Z3:Z14" si="0">SUM(J3:Y3)</f>
        <v>10047.200000000001</v>
      </c>
      <c r="AA3" s="25">
        <v>13804</v>
      </c>
      <c r="AB3" s="26">
        <v>1104.32</v>
      </c>
      <c r="AC3" s="26">
        <v>276.08</v>
      </c>
      <c r="AD3" s="26">
        <v>69.02</v>
      </c>
      <c r="AE3" s="25">
        <v>13804</v>
      </c>
      <c r="AF3" s="25">
        <v>966</v>
      </c>
      <c r="AG3" s="24">
        <f t="shared" ref="AG3:AG14" si="1">AB3+AC3+AD3+AF3</f>
        <v>2415.42</v>
      </c>
      <c r="AH3" s="29"/>
      <c r="AI3" s="29"/>
      <c r="AJ3" s="29"/>
      <c r="AK3" s="24">
        <f t="shared" ref="AK3:AK40" si="2">Z3-AG3-AH3</f>
        <v>7631.7800000000007</v>
      </c>
      <c r="AL3" s="25">
        <v>13804</v>
      </c>
      <c r="AM3" s="25">
        <v>13804</v>
      </c>
      <c r="AN3" s="25">
        <f t="shared" ref="AN3:AN14" si="3">ROUND(AL3*16%,2)</f>
        <v>2208.64</v>
      </c>
      <c r="AO3" s="25">
        <f>ROUND(AL3*9%,2)</f>
        <v>1242.3599999999999</v>
      </c>
      <c r="AP3" s="25">
        <f t="shared" ref="AP3:AP14" si="4">ROUND(AL3*0.5%,2)</f>
        <v>69.02</v>
      </c>
      <c r="AQ3" s="25">
        <v>27.61</v>
      </c>
      <c r="AR3" s="25"/>
      <c r="AS3" s="25">
        <f t="shared" ref="AS3:AS40" si="5">ROUND(AM3*7%,0)</f>
        <v>966</v>
      </c>
      <c r="AT3" s="25">
        <f t="shared" ref="AT3:AT40" si="6">ROUND(IF(AL3&lt;24366,AL3*1.5%,24366*1.5%),2)</f>
        <v>207.06</v>
      </c>
      <c r="AU3" s="24">
        <f t="shared" ref="AU3:AU40" si="7">SUM(AN3:AT3)</f>
        <v>4720.6900000000005</v>
      </c>
      <c r="AV3" s="24">
        <f>VLOOKUP(D3,'[1]202503'!$D$3:$AW$19,46,0)</f>
        <v>188</v>
      </c>
      <c r="AW3" s="24">
        <f t="shared" ref="AW3:AW40" si="8">AU3+Z3+AI3-AJ3+AV3</f>
        <v>14955.890000000001</v>
      </c>
      <c r="AX3" s="37"/>
      <c r="AY3" s="37"/>
      <c r="AZ3" s="38"/>
      <c r="BA3" s="24">
        <v>255</v>
      </c>
      <c r="BB3" s="42">
        <f>ROUND(AW3+BA3+AY3+AX3,2)</f>
        <v>15210.89</v>
      </c>
      <c r="BC3" s="24">
        <f t="shared" ref="BC3:BC40" si="9">ROUND(BB3*6%,2)</f>
        <v>912.65</v>
      </c>
      <c r="BD3" s="24">
        <f t="shared" ref="BD3:BD40" si="10">ROUND(SUM(BB3:BC3),2)</f>
        <v>16123.54</v>
      </c>
      <c r="BE3" s="34">
        <f>AV3-5</f>
        <v>183</v>
      </c>
      <c r="BF3" s="44" t="s">
        <v>99</v>
      </c>
      <c r="BH3" s="44"/>
    </row>
    <row r="4" spans="1:60" s="3" customFormat="1" ht="15" customHeight="1" x14ac:dyDescent="0.25">
      <c r="A4" s="10">
        <f t="shared" ref="A4:A40" si="11">ROW()-2</f>
        <v>2</v>
      </c>
      <c r="B4" s="11">
        <v>2503</v>
      </c>
      <c r="C4" s="11" t="s">
        <v>100</v>
      </c>
      <c r="D4" s="12" t="s">
        <v>101</v>
      </c>
      <c r="E4" s="16" t="s">
        <v>102</v>
      </c>
      <c r="F4" s="17">
        <v>45444</v>
      </c>
      <c r="G4" s="17">
        <v>45808</v>
      </c>
      <c r="H4" s="10"/>
      <c r="I4" s="20" t="s">
        <v>98</v>
      </c>
      <c r="J4" s="21">
        <v>1030</v>
      </c>
      <c r="K4" s="21">
        <v>4837</v>
      </c>
      <c r="L4" s="21">
        <v>698.2</v>
      </c>
      <c r="M4" s="21"/>
      <c r="N4" s="21"/>
      <c r="O4" s="21"/>
      <c r="P4" s="21"/>
      <c r="Q4" s="21">
        <v>630</v>
      </c>
      <c r="R4" s="21"/>
      <c r="S4" s="21"/>
      <c r="T4" s="21"/>
      <c r="U4" s="21"/>
      <c r="V4" s="21"/>
      <c r="W4" s="21"/>
      <c r="X4" s="21"/>
      <c r="Y4" s="21">
        <v>-164.2</v>
      </c>
      <c r="Z4" s="24">
        <f t="shared" si="0"/>
        <v>7031</v>
      </c>
      <c r="AA4" s="25">
        <v>10363</v>
      </c>
      <c r="AB4" s="26">
        <v>829.04</v>
      </c>
      <c r="AC4" s="26">
        <v>207.26</v>
      </c>
      <c r="AD4" s="26">
        <v>51.82</v>
      </c>
      <c r="AE4" s="25">
        <v>10363</v>
      </c>
      <c r="AF4" s="25">
        <v>725</v>
      </c>
      <c r="AG4" s="24">
        <f t="shared" si="1"/>
        <v>1813.12</v>
      </c>
      <c r="AH4" s="29"/>
      <c r="AI4" s="29"/>
      <c r="AJ4" s="29"/>
      <c r="AK4" s="24">
        <f t="shared" si="2"/>
        <v>5217.88</v>
      </c>
      <c r="AL4" s="25">
        <v>10363</v>
      </c>
      <c r="AM4" s="25">
        <v>10363</v>
      </c>
      <c r="AN4" s="25">
        <f t="shared" si="3"/>
        <v>1658.08</v>
      </c>
      <c r="AO4" s="25">
        <v>932.68</v>
      </c>
      <c r="AP4" s="25">
        <f t="shared" si="4"/>
        <v>51.82</v>
      </c>
      <c r="AQ4" s="25">
        <v>20.73</v>
      </c>
      <c r="AR4" s="25"/>
      <c r="AS4" s="25">
        <f t="shared" si="5"/>
        <v>725</v>
      </c>
      <c r="AT4" s="25">
        <f t="shared" si="6"/>
        <v>155.44999999999999</v>
      </c>
      <c r="AU4" s="24">
        <f t="shared" si="7"/>
        <v>3543.7599999999998</v>
      </c>
      <c r="AV4" s="24">
        <f>VLOOKUP(D4,'[1]202503'!$D$3:$AW$19,46,0)</f>
        <v>128</v>
      </c>
      <c r="AW4" s="24">
        <f t="shared" si="8"/>
        <v>10702.76</v>
      </c>
      <c r="AX4" s="37"/>
      <c r="AY4" s="37"/>
      <c r="AZ4" s="38"/>
      <c r="BA4" s="24">
        <v>255</v>
      </c>
      <c r="BB4" s="42">
        <f t="shared" ref="BB4:BB39" si="12">ROUND(AW4+BA4+AY4+AX4,2)</f>
        <v>10957.76</v>
      </c>
      <c r="BC4" s="24">
        <f t="shared" si="9"/>
        <v>657.47</v>
      </c>
      <c r="BD4" s="24">
        <f t="shared" si="10"/>
        <v>11615.23</v>
      </c>
      <c r="BE4" s="34">
        <f t="shared" ref="BE4:BE40" si="13">AV4-5</f>
        <v>123</v>
      </c>
      <c r="BF4" s="44" t="s">
        <v>99</v>
      </c>
      <c r="BH4" s="44"/>
    </row>
    <row r="5" spans="1:60" s="3" customFormat="1" ht="15" customHeight="1" x14ac:dyDescent="0.25">
      <c r="A5" s="10">
        <f t="shared" si="11"/>
        <v>3</v>
      </c>
      <c r="B5" s="11">
        <v>2503</v>
      </c>
      <c r="C5" s="11" t="s">
        <v>103</v>
      </c>
      <c r="D5" s="12" t="s">
        <v>104</v>
      </c>
      <c r="E5" s="16" t="s">
        <v>105</v>
      </c>
      <c r="F5" s="17">
        <v>45444</v>
      </c>
      <c r="G5" s="17">
        <v>45808</v>
      </c>
      <c r="H5" s="10"/>
      <c r="I5" s="20" t="s">
        <v>98</v>
      </c>
      <c r="J5" s="21">
        <v>1200</v>
      </c>
      <c r="K5" s="21">
        <v>4398</v>
      </c>
      <c r="L5" s="21">
        <v>15.3</v>
      </c>
      <c r="M5" s="21"/>
      <c r="N5" s="21"/>
      <c r="O5" s="21"/>
      <c r="P5" s="21"/>
      <c r="Q5" s="21">
        <v>630</v>
      </c>
      <c r="R5" s="21"/>
      <c r="S5" s="21"/>
      <c r="T5" s="21"/>
      <c r="U5" s="21"/>
      <c r="V5" s="21"/>
      <c r="W5" s="21"/>
      <c r="X5" s="21"/>
      <c r="Y5" s="21">
        <v>-262.3</v>
      </c>
      <c r="Z5" s="24">
        <f t="shared" si="0"/>
        <v>5981</v>
      </c>
      <c r="AA5" s="25">
        <v>11829</v>
      </c>
      <c r="AB5" s="26">
        <v>946.32</v>
      </c>
      <c r="AC5" s="26">
        <v>236.58</v>
      </c>
      <c r="AD5" s="26">
        <v>59.15</v>
      </c>
      <c r="AE5" s="25">
        <v>11829</v>
      </c>
      <c r="AF5" s="25">
        <v>828</v>
      </c>
      <c r="AG5" s="24">
        <f t="shared" si="1"/>
        <v>2070.0500000000002</v>
      </c>
      <c r="AH5" s="29"/>
      <c r="AI5" s="29"/>
      <c r="AJ5" s="29"/>
      <c r="AK5" s="24">
        <f t="shared" si="2"/>
        <v>3910.95</v>
      </c>
      <c r="AL5" s="25">
        <v>11829</v>
      </c>
      <c r="AM5" s="25">
        <v>11829</v>
      </c>
      <c r="AN5" s="25">
        <f t="shared" si="3"/>
        <v>1892.64</v>
      </c>
      <c r="AO5" s="25">
        <v>1064.6199999999999</v>
      </c>
      <c r="AP5" s="25">
        <f t="shared" si="4"/>
        <v>59.15</v>
      </c>
      <c r="AQ5" s="25">
        <v>23.66</v>
      </c>
      <c r="AR5" s="25"/>
      <c r="AS5" s="25">
        <f t="shared" si="5"/>
        <v>828</v>
      </c>
      <c r="AT5" s="25">
        <f t="shared" si="6"/>
        <v>177.44</v>
      </c>
      <c r="AU5" s="24">
        <f t="shared" si="7"/>
        <v>4045.51</v>
      </c>
      <c r="AV5" s="24">
        <f>VLOOKUP(D5,'[1]202503'!$D$3:$AW$19,46,0)</f>
        <v>107</v>
      </c>
      <c r="AW5" s="24">
        <f t="shared" si="8"/>
        <v>10133.51</v>
      </c>
      <c r="AX5" s="37"/>
      <c r="AY5" s="37"/>
      <c r="AZ5" s="38"/>
      <c r="BA5" s="24">
        <v>255</v>
      </c>
      <c r="BB5" s="42">
        <f t="shared" si="12"/>
        <v>10388.51</v>
      </c>
      <c r="BC5" s="24">
        <f t="shared" si="9"/>
        <v>623.30999999999995</v>
      </c>
      <c r="BD5" s="24">
        <f t="shared" si="10"/>
        <v>11011.82</v>
      </c>
      <c r="BE5" s="34">
        <f t="shared" si="13"/>
        <v>102</v>
      </c>
      <c r="BF5" s="44" t="s">
        <v>99</v>
      </c>
      <c r="BH5" s="44"/>
    </row>
    <row r="6" spans="1:60" s="3" customFormat="1" ht="15" customHeight="1" x14ac:dyDescent="0.25">
      <c r="A6" s="10">
        <f t="shared" si="11"/>
        <v>4</v>
      </c>
      <c r="B6" s="11">
        <v>2503</v>
      </c>
      <c r="C6" s="11" t="s">
        <v>106</v>
      </c>
      <c r="D6" s="12" t="s">
        <v>107</v>
      </c>
      <c r="E6" s="16" t="s">
        <v>108</v>
      </c>
      <c r="F6" s="17">
        <v>45444</v>
      </c>
      <c r="G6" s="17">
        <v>45808</v>
      </c>
      <c r="H6" s="10"/>
      <c r="I6" s="20" t="s">
        <v>98</v>
      </c>
      <c r="J6" s="21">
        <v>1030</v>
      </c>
      <c r="K6" s="21">
        <v>5888.5</v>
      </c>
      <c r="L6" s="21">
        <v>368.7</v>
      </c>
      <c r="M6" s="21"/>
      <c r="N6" s="21"/>
      <c r="O6" s="21"/>
      <c r="P6" s="21"/>
      <c r="Q6" s="21">
        <v>630</v>
      </c>
      <c r="R6" s="21"/>
      <c r="S6" s="21"/>
      <c r="T6" s="21"/>
      <c r="U6" s="21"/>
      <c r="V6" s="21"/>
      <c r="W6" s="21"/>
      <c r="X6" s="21"/>
      <c r="Y6" s="21">
        <v>-21.1</v>
      </c>
      <c r="Z6" s="24">
        <f t="shared" si="0"/>
        <v>7896.0999999999995</v>
      </c>
      <c r="AA6" s="25">
        <v>11367</v>
      </c>
      <c r="AB6" s="26">
        <v>909.36</v>
      </c>
      <c r="AC6" s="26">
        <v>227.34</v>
      </c>
      <c r="AD6" s="26">
        <v>56.84</v>
      </c>
      <c r="AE6" s="25">
        <v>11367</v>
      </c>
      <c r="AF6" s="25">
        <v>796</v>
      </c>
      <c r="AG6" s="24">
        <f t="shared" si="1"/>
        <v>1989.54</v>
      </c>
      <c r="AH6" s="29"/>
      <c r="AI6" s="29"/>
      <c r="AJ6" s="29"/>
      <c r="AK6" s="24">
        <f t="shared" si="2"/>
        <v>5906.5599999999995</v>
      </c>
      <c r="AL6" s="25">
        <v>11367</v>
      </c>
      <c r="AM6" s="25">
        <v>11367</v>
      </c>
      <c r="AN6" s="25">
        <f t="shared" si="3"/>
        <v>1818.72</v>
      </c>
      <c r="AO6" s="25">
        <v>1023.04</v>
      </c>
      <c r="AP6" s="25">
        <f t="shared" si="4"/>
        <v>56.84</v>
      </c>
      <c r="AQ6" s="25">
        <v>22.73</v>
      </c>
      <c r="AR6" s="25"/>
      <c r="AS6" s="25">
        <f t="shared" si="5"/>
        <v>796</v>
      </c>
      <c r="AT6" s="25">
        <f t="shared" si="6"/>
        <v>170.51</v>
      </c>
      <c r="AU6" s="24">
        <f t="shared" si="7"/>
        <v>3887.84</v>
      </c>
      <c r="AV6" s="24">
        <f>VLOOKUP(D6,'[1]202503'!$D$3:$AW$19,46,0)</f>
        <v>145</v>
      </c>
      <c r="AW6" s="24">
        <f t="shared" si="8"/>
        <v>11928.939999999999</v>
      </c>
      <c r="AX6" s="37"/>
      <c r="AY6" s="37"/>
      <c r="AZ6" s="38"/>
      <c r="BA6" s="24">
        <v>255</v>
      </c>
      <c r="BB6" s="42">
        <f t="shared" si="12"/>
        <v>12183.94</v>
      </c>
      <c r="BC6" s="24">
        <f t="shared" si="9"/>
        <v>731.04</v>
      </c>
      <c r="BD6" s="24">
        <f t="shared" si="10"/>
        <v>12914.98</v>
      </c>
      <c r="BE6" s="34">
        <f t="shared" si="13"/>
        <v>140</v>
      </c>
      <c r="BF6" s="44" t="s">
        <v>99</v>
      </c>
      <c r="BH6" s="44"/>
    </row>
    <row r="7" spans="1:60" s="3" customFormat="1" ht="15" customHeight="1" x14ac:dyDescent="0.25">
      <c r="A7" s="10">
        <f t="shared" si="11"/>
        <v>5</v>
      </c>
      <c r="B7" s="11">
        <v>2503</v>
      </c>
      <c r="C7" s="11" t="s">
        <v>109</v>
      </c>
      <c r="D7" s="12" t="s">
        <v>110</v>
      </c>
      <c r="E7" s="16" t="s">
        <v>111</v>
      </c>
      <c r="F7" s="17">
        <v>45444</v>
      </c>
      <c r="G7" s="17">
        <v>45808</v>
      </c>
      <c r="H7" s="10"/>
      <c r="I7" s="20" t="s">
        <v>98</v>
      </c>
      <c r="J7" s="21">
        <v>950</v>
      </c>
      <c r="K7" s="21">
        <v>5736.5</v>
      </c>
      <c r="L7" s="21">
        <v>548.9</v>
      </c>
      <c r="M7" s="21"/>
      <c r="N7" s="21"/>
      <c r="O7" s="21"/>
      <c r="P7" s="21"/>
      <c r="Q7" s="21">
        <v>630</v>
      </c>
      <c r="R7" s="21"/>
      <c r="S7" s="21"/>
      <c r="T7" s="21"/>
      <c r="U7" s="21"/>
      <c r="V7" s="21"/>
      <c r="W7" s="21"/>
      <c r="X7" s="21"/>
      <c r="Y7" s="21">
        <v>-410.3</v>
      </c>
      <c r="Z7" s="24">
        <f t="shared" si="0"/>
        <v>7455.0999999999995</v>
      </c>
      <c r="AA7" s="25">
        <v>11730</v>
      </c>
      <c r="AB7" s="26">
        <v>938.4</v>
      </c>
      <c r="AC7" s="26">
        <v>234.6</v>
      </c>
      <c r="AD7" s="26">
        <v>58.65</v>
      </c>
      <c r="AE7" s="25">
        <v>11730</v>
      </c>
      <c r="AF7" s="25">
        <v>821</v>
      </c>
      <c r="AG7" s="24">
        <f t="shared" si="1"/>
        <v>2052.65</v>
      </c>
      <c r="AH7" s="29"/>
      <c r="AI7" s="29"/>
      <c r="AJ7" s="29"/>
      <c r="AK7" s="24">
        <f t="shared" si="2"/>
        <v>5402.4499999999989</v>
      </c>
      <c r="AL7" s="25">
        <v>11730</v>
      </c>
      <c r="AM7" s="25">
        <v>11730</v>
      </c>
      <c r="AN7" s="25">
        <f t="shared" si="3"/>
        <v>1876.8</v>
      </c>
      <c r="AO7" s="25">
        <f t="shared" ref="AO7:AO12" si="14">ROUND(AL7*9%,2)</f>
        <v>1055.7</v>
      </c>
      <c r="AP7" s="25">
        <f t="shared" si="4"/>
        <v>58.65</v>
      </c>
      <c r="AQ7" s="25">
        <v>23.46</v>
      </c>
      <c r="AR7" s="25"/>
      <c r="AS7" s="25">
        <f t="shared" si="5"/>
        <v>821</v>
      </c>
      <c r="AT7" s="25">
        <f t="shared" si="6"/>
        <v>175.95</v>
      </c>
      <c r="AU7" s="24">
        <f t="shared" si="7"/>
        <v>4011.56</v>
      </c>
      <c r="AV7" s="24">
        <f>VLOOKUP(D7,'[1]202503'!$D$3:$AW$19,46,0)</f>
        <v>137</v>
      </c>
      <c r="AW7" s="24">
        <f t="shared" si="8"/>
        <v>11603.66</v>
      </c>
      <c r="AX7" s="37"/>
      <c r="AY7" s="37"/>
      <c r="AZ7" s="38"/>
      <c r="BA7" s="24">
        <v>255</v>
      </c>
      <c r="BB7" s="42">
        <f t="shared" si="12"/>
        <v>11858.66</v>
      </c>
      <c r="BC7" s="24">
        <f t="shared" si="9"/>
        <v>711.52</v>
      </c>
      <c r="BD7" s="24">
        <f t="shared" si="10"/>
        <v>12570.18</v>
      </c>
      <c r="BE7" s="34">
        <f t="shared" si="13"/>
        <v>132</v>
      </c>
      <c r="BF7" s="44" t="s">
        <v>99</v>
      </c>
      <c r="BH7" s="44"/>
    </row>
    <row r="8" spans="1:60" s="3" customFormat="1" ht="15" customHeight="1" x14ac:dyDescent="0.25">
      <c r="A8" s="10">
        <f t="shared" si="11"/>
        <v>6</v>
      </c>
      <c r="B8" s="11">
        <v>2503</v>
      </c>
      <c r="C8" s="11" t="s">
        <v>112</v>
      </c>
      <c r="D8" s="12" t="s">
        <v>113</v>
      </c>
      <c r="E8" s="16" t="s">
        <v>114</v>
      </c>
      <c r="F8" s="17">
        <v>45444</v>
      </c>
      <c r="G8" s="17">
        <v>45808</v>
      </c>
      <c r="H8" s="10"/>
      <c r="I8" s="20" t="s">
        <v>98</v>
      </c>
      <c r="J8" s="21">
        <v>860</v>
      </c>
      <c r="K8" s="21">
        <v>5639</v>
      </c>
      <c r="L8" s="21">
        <v>470.3</v>
      </c>
      <c r="M8" s="21"/>
      <c r="N8" s="21"/>
      <c r="O8" s="21"/>
      <c r="P8" s="21"/>
      <c r="Q8" s="21">
        <v>630</v>
      </c>
      <c r="R8" s="21"/>
      <c r="S8" s="21"/>
      <c r="T8" s="21"/>
      <c r="U8" s="21"/>
      <c r="V8" s="21"/>
      <c r="W8" s="21"/>
      <c r="X8" s="21"/>
      <c r="Y8" s="21">
        <v>-418.2</v>
      </c>
      <c r="Z8" s="24">
        <f t="shared" si="0"/>
        <v>7181.1</v>
      </c>
      <c r="AA8" s="25">
        <v>7963</v>
      </c>
      <c r="AB8" s="26">
        <v>637.04</v>
      </c>
      <c r="AC8" s="26">
        <v>159.26</v>
      </c>
      <c r="AD8" s="26">
        <v>39.82</v>
      </c>
      <c r="AE8" s="25">
        <v>7963</v>
      </c>
      <c r="AF8" s="25">
        <v>557</v>
      </c>
      <c r="AG8" s="24">
        <f t="shared" si="1"/>
        <v>1393.12</v>
      </c>
      <c r="AH8" s="29"/>
      <c r="AI8" s="29"/>
      <c r="AJ8" s="29"/>
      <c r="AK8" s="24">
        <f t="shared" si="2"/>
        <v>5787.9800000000005</v>
      </c>
      <c r="AL8" s="25">
        <v>7963</v>
      </c>
      <c r="AM8" s="25">
        <v>7963</v>
      </c>
      <c r="AN8" s="25">
        <f t="shared" si="3"/>
        <v>1274.08</v>
      </c>
      <c r="AO8" s="25">
        <v>716.68</v>
      </c>
      <c r="AP8" s="25">
        <f t="shared" si="4"/>
        <v>39.82</v>
      </c>
      <c r="AQ8" s="25">
        <v>15.93</v>
      </c>
      <c r="AR8" s="25"/>
      <c r="AS8" s="25">
        <f t="shared" si="5"/>
        <v>557</v>
      </c>
      <c r="AT8" s="25">
        <f t="shared" si="6"/>
        <v>119.45</v>
      </c>
      <c r="AU8" s="24">
        <f t="shared" si="7"/>
        <v>2722.9599999999996</v>
      </c>
      <c r="AV8" s="24">
        <f>VLOOKUP(D8,'[1]202503'!$D$3:$AW$19,46,0)</f>
        <v>131</v>
      </c>
      <c r="AW8" s="24">
        <f t="shared" si="8"/>
        <v>10035.06</v>
      </c>
      <c r="AX8" s="37"/>
      <c r="AY8" s="37"/>
      <c r="AZ8" s="38"/>
      <c r="BA8" s="24">
        <v>255</v>
      </c>
      <c r="BB8" s="42">
        <f t="shared" si="12"/>
        <v>10290.06</v>
      </c>
      <c r="BC8" s="24">
        <f t="shared" si="9"/>
        <v>617.4</v>
      </c>
      <c r="BD8" s="24">
        <f t="shared" si="10"/>
        <v>10907.46</v>
      </c>
      <c r="BE8" s="34">
        <f t="shared" si="13"/>
        <v>126</v>
      </c>
      <c r="BF8" s="44" t="s">
        <v>99</v>
      </c>
      <c r="BH8" s="44"/>
    </row>
    <row r="9" spans="1:60" s="3" customFormat="1" ht="15" customHeight="1" x14ac:dyDescent="0.25">
      <c r="A9" s="10">
        <f t="shared" si="11"/>
        <v>7</v>
      </c>
      <c r="B9" s="11">
        <v>2503</v>
      </c>
      <c r="C9" s="11" t="s">
        <v>115</v>
      </c>
      <c r="D9" s="12" t="s">
        <v>116</v>
      </c>
      <c r="E9" s="16" t="s">
        <v>117</v>
      </c>
      <c r="F9" s="17">
        <v>45444</v>
      </c>
      <c r="G9" s="17">
        <v>45808</v>
      </c>
      <c r="H9" s="10"/>
      <c r="I9" s="20" t="s">
        <v>98</v>
      </c>
      <c r="J9" s="21">
        <v>800</v>
      </c>
      <c r="K9" s="21">
        <v>3738</v>
      </c>
      <c r="L9" s="21">
        <v>123.9</v>
      </c>
      <c r="M9" s="21"/>
      <c r="N9" s="21"/>
      <c r="O9" s="21"/>
      <c r="P9" s="21"/>
      <c r="Q9" s="21">
        <v>630</v>
      </c>
      <c r="R9" s="21"/>
      <c r="S9" s="21"/>
      <c r="T9" s="21"/>
      <c r="U9" s="21"/>
      <c r="V9" s="21"/>
      <c r="W9" s="21"/>
      <c r="X9" s="21">
        <v>265.33</v>
      </c>
      <c r="Y9" s="21">
        <v>-239.7</v>
      </c>
      <c r="Z9" s="24">
        <f t="shared" si="0"/>
        <v>5317.53</v>
      </c>
      <c r="AA9" s="25">
        <v>11386</v>
      </c>
      <c r="AB9" s="26">
        <v>910.88</v>
      </c>
      <c r="AC9" s="26">
        <v>227.72</v>
      </c>
      <c r="AD9" s="26">
        <v>56.93</v>
      </c>
      <c r="AE9" s="25">
        <v>11386</v>
      </c>
      <c r="AF9" s="25">
        <v>797</v>
      </c>
      <c r="AG9" s="24">
        <f t="shared" si="1"/>
        <v>1992.53</v>
      </c>
      <c r="AH9" s="29"/>
      <c r="AI9" s="29"/>
      <c r="AJ9" s="29"/>
      <c r="AK9" s="24">
        <f t="shared" si="2"/>
        <v>3325</v>
      </c>
      <c r="AL9" s="25">
        <v>11386</v>
      </c>
      <c r="AM9" s="25">
        <v>11386</v>
      </c>
      <c r="AN9" s="25">
        <f t="shared" si="3"/>
        <v>1821.76</v>
      </c>
      <c r="AO9" s="25">
        <f t="shared" si="14"/>
        <v>1024.74</v>
      </c>
      <c r="AP9" s="25">
        <f t="shared" si="4"/>
        <v>56.93</v>
      </c>
      <c r="AQ9" s="25">
        <v>22.77</v>
      </c>
      <c r="AR9" s="25"/>
      <c r="AS9" s="25">
        <f t="shared" si="5"/>
        <v>797</v>
      </c>
      <c r="AT9" s="25">
        <f t="shared" si="6"/>
        <v>170.79</v>
      </c>
      <c r="AU9" s="24">
        <f t="shared" si="7"/>
        <v>3893.99</v>
      </c>
      <c r="AV9" s="24">
        <f>VLOOKUP(D9,'[1]202503'!$D$3:$AW$19,46,0)</f>
        <v>94</v>
      </c>
      <c r="AW9" s="24">
        <f t="shared" si="8"/>
        <v>9305.52</v>
      </c>
      <c r="AX9" s="37"/>
      <c r="AY9" s="37"/>
      <c r="AZ9" s="38"/>
      <c r="BA9" s="24">
        <v>255</v>
      </c>
      <c r="BB9" s="42">
        <f t="shared" si="12"/>
        <v>9560.52</v>
      </c>
      <c r="BC9" s="24">
        <f t="shared" si="9"/>
        <v>573.63</v>
      </c>
      <c r="BD9" s="24">
        <f t="shared" si="10"/>
        <v>10134.15</v>
      </c>
      <c r="BE9" s="34">
        <f t="shared" si="13"/>
        <v>89</v>
      </c>
      <c r="BF9" s="44" t="s">
        <v>99</v>
      </c>
      <c r="BH9" s="44"/>
    </row>
    <row r="10" spans="1:60" s="3" customFormat="1" ht="15" customHeight="1" x14ac:dyDescent="0.25">
      <c r="A10" s="10">
        <f t="shared" si="11"/>
        <v>8</v>
      </c>
      <c r="B10" s="11">
        <v>2503</v>
      </c>
      <c r="C10" s="11" t="s">
        <v>118</v>
      </c>
      <c r="D10" s="12" t="s">
        <v>119</v>
      </c>
      <c r="E10" s="16" t="s">
        <v>120</v>
      </c>
      <c r="F10" s="17">
        <v>45444</v>
      </c>
      <c r="G10" s="17">
        <v>45808</v>
      </c>
      <c r="H10" s="10"/>
      <c r="I10" s="20" t="s">
        <v>98</v>
      </c>
      <c r="J10" s="21">
        <v>900</v>
      </c>
      <c r="K10" s="21">
        <v>3948</v>
      </c>
      <c r="L10" s="21">
        <v>270</v>
      </c>
      <c r="M10" s="21"/>
      <c r="N10" s="21"/>
      <c r="O10" s="21"/>
      <c r="P10" s="21"/>
      <c r="Q10" s="21">
        <v>630</v>
      </c>
      <c r="R10" s="21"/>
      <c r="S10" s="21"/>
      <c r="T10" s="21"/>
      <c r="U10" s="21"/>
      <c r="V10" s="21"/>
      <c r="W10" s="21"/>
      <c r="X10" s="21">
        <v>393.93</v>
      </c>
      <c r="Y10" s="21">
        <v>-1496.6</v>
      </c>
      <c r="Z10" s="24">
        <f t="shared" si="0"/>
        <v>4645.33</v>
      </c>
      <c r="AA10" s="25">
        <v>7546</v>
      </c>
      <c r="AB10" s="26">
        <v>603.67999999999995</v>
      </c>
      <c r="AC10" s="26">
        <v>150.91999999999999</v>
      </c>
      <c r="AD10" s="26">
        <v>37.729999999999997</v>
      </c>
      <c r="AE10" s="25">
        <v>7546</v>
      </c>
      <c r="AF10" s="25">
        <v>528</v>
      </c>
      <c r="AG10" s="24">
        <f t="shared" si="1"/>
        <v>1320.33</v>
      </c>
      <c r="AH10" s="29"/>
      <c r="AI10" s="29"/>
      <c r="AJ10" s="29"/>
      <c r="AK10" s="24">
        <f t="shared" si="2"/>
        <v>3325</v>
      </c>
      <c r="AL10" s="25">
        <v>7546</v>
      </c>
      <c r="AM10" s="25">
        <v>7546</v>
      </c>
      <c r="AN10" s="25">
        <f t="shared" si="3"/>
        <v>1207.3599999999999</v>
      </c>
      <c r="AO10" s="25">
        <f t="shared" si="14"/>
        <v>679.14</v>
      </c>
      <c r="AP10" s="25">
        <f t="shared" si="4"/>
        <v>37.729999999999997</v>
      </c>
      <c r="AQ10" s="25">
        <v>15.09</v>
      </c>
      <c r="AR10" s="25"/>
      <c r="AS10" s="25">
        <f t="shared" si="5"/>
        <v>528</v>
      </c>
      <c r="AT10" s="25">
        <f t="shared" si="6"/>
        <v>113.19</v>
      </c>
      <c r="AU10" s="24">
        <f t="shared" si="7"/>
        <v>2580.5099999999998</v>
      </c>
      <c r="AV10" s="24">
        <f>VLOOKUP(D10,'[1]202503'!$D$3:$AW$19,46,0)</f>
        <v>80</v>
      </c>
      <c r="AW10" s="24">
        <f t="shared" si="8"/>
        <v>7305.84</v>
      </c>
      <c r="AX10" s="37"/>
      <c r="AY10" s="37"/>
      <c r="AZ10" s="38"/>
      <c r="BA10" s="24">
        <v>255</v>
      </c>
      <c r="BB10" s="42">
        <f t="shared" si="12"/>
        <v>7560.84</v>
      </c>
      <c r="BC10" s="24">
        <f t="shared" si="9"/>
        <v>453.65</v>
      </c>
      <c r="BD10" s="24">
        <f t="shared" si="10"/>
        <v>8014.49</v>
      </c>
      <c r="BE10" s="34">
        <f t="shared" si="13"/>
        <v>75</v>
      </c>
      <c r="BF10" s="44" t="s">
        <v>99</v>
      </c>
      <c r="BH10" s="44"/>
    </row>
    <row r="11" spans="1:60" s="3" customFormat="1" ht="15" customHeight="1" x14ac:dyDescent="0.25">
      <c r="A11" s="10">
        <f t="shared" si="11"/>
        <v>9</v>
      </c>
      <c r="B11" s="11">
        <v>2503</v>
      </c>
      <c r="C11" s="11" t="s">
        <v>121</v>
      </c>
      <c r="D11" s="12" t="s">
        <v>122</v>
      </c>
      <c r="E11" s="16" t="s">
        <v>123</v>
      </c>
      <c r="F11" s="17">
        <v>45444</v>
      </c>
      <c r="G11" s="17">
        <v>45808</v>
      </c>
      <c r="H11" s="10"/>
      <c r="I11" s="20" t="s">
        <v>98</v>
      </c>
      <c r="J11" s="21">
        <v>900</v>
      </c>
      <c r="K11" s="21">
        <v>5008</v>
      </c>
      <c r="L11" s="21">
        <v>-76.2</v>
      </c>
      <c r="M11" s="21"/>
      <c r="N11" s="21"/>
      <c r="O11" s="21"/>
      <c r="P11" s="21"/>
      <c r="Q11" s="21">
        <v>630</v>
      </c>
      <c r="R11" s="21"/>
      <c r="S11" s="21"/>
      <c r="T11" s="21"/>
      <c r="U11" s="21"/>
      <c r="V11" s="21"/>
      <c r="W11" s="21"/>
      <c r="X11" s="21"/>
      <c r="Y11" s="21">
        <v>-589.70000000000005</v>
      </c>
      <c r="Z11" s="24">
        <f t="shared" si="0"/>
        <v>5872.1</v>
      </c>
      <c r="AA11" s="25">
        <v>7594</v>
      </c>
      <c r="AB11" s="26">
        <v>607.52</v>
      </c>
      <c r="AC11" s="26">
        <v>151.88</v>
      </c>
      <c r="AD11" s="26">
        <v>37.97</v>
      </c>
      <c r="AE11" s="25">
        <v>7594</v>
      </c>
      <c r="AF11" s="25">
        <v>532</v>
      </c>
      <c r="AG11" s="24">
        <f t="shared" si="1"/>
        <v>1329.37</v>
      </c>
      <c r="AH11" s="29"/>
      <c r="AI11" s="29"/>
      <c r="AJ11" s="29"/>
      <c r="AK11" s="24">
        <f t="shared" si="2"/>
        <v>4542.7300000000005</v>
      </c>
      <c r="AL11" s="25">
        <v>7594</v>
      </c>
      <c r="AM11" s="25">
        <v>7594</v>
      </c>
      <c r="AN11" s="25">
        <f t="shared" si="3"/>
        <v>1215.04</v>
      </c>
      <c r="AO11" s="25">
        <f t="shared" si="14"/>
        <v>683.46</v>
      </c>
      <c r="AP11" s="25">
        <f t="shared" si="4"/>
        <v>37.97</v>
      </c>
      <c r="AQ11" s="25">
        <v>15.19</v>
      </c>
      <c r="AR11" s="25"/>
      <c r="AS11" s="25">
        <f t="shared" si="5"/>
        <v>532</v>
      </c>
      <c r="AT11" s="25">
        <f t="shared" si="6"/>
        <v>113.91</v>
      </c>
      <c r="AU11" s="24">
        <f t="shared" si="7"/>
        <v>2597.5699999999997</v>
      </c>
      <c r="AV11" s="24">
        <f>VLOOKUP(D11,'[1]202503'!$D$3:$AW$19,46,0)</f>
        <v>105</v>
      </c>
      <c r="AW11" s="24">
        <f t="shared" si="8"/>
        <v>8574.67</v>
      </c>
      <c r="AX11" s="37"/>
      <c r="AY11" s="37"/>
      <c r="AZ11" s="38"/>
      <c r="BA11" s="24">
        <v>255</v>
      </c>
      <c r="BB11" s="42">
        <f t="shared" si="12"/>
        <v>8829.67</v>
      </c>
      <c r="BC11" s="24">
        <f t="shared" si="9"/>
        <v>529.78</v>
      </c>
      <c r="BD11" s="24">
        <f t="shared" si="10"/>
        <v>9359.4500000000007</v>
      </c>
      <c r="BE11" s="34">
        <f t="shared" si="13"/>
        <v>100</v>
      </c>
      <c r="BF11" s="44" t="s">
        <v>99</v>
      </c>
      <c r="BH11" s="44"/>
    </row>
    <row r="12" spans="1:60" s="3" customFormat="1" ht="15" customHeight="1" x14ac:dyDescent="0.25">
      <c r="A12" s="10">
        <f t="shared" si="11"/>
        <v>10</v>
      </c>
      <c r="B12" s="11">
        <v>2503</v>
      </c>
      <c r="C12" s="11" t="s">
        <v>124</v>
      </c>
      <c r="D12" s="12" t="s">
        <v>125</v>
      </c>
      <c r="E12" s="16" t="s">
        <v>126</v>
      </c>
      <c r="F12" s="17">
        <v>45444</v>
      </c>
      <c r="G12" s="17">
        <v>45808</v>
      </c>
      <c r="H12" s="10"/>
      <c r="I12" s="20" t="s">
        <v>98</v>
      </c>
      <c r="J12" s="21">
        <v>900</v>
      </c>
      <c r="K12" s="21">
        <v>9691</v>
      </c>
      <c r="L12" s="21">
        <v>950.1</v>
      </c>
      <c r="M12" s="21"/>
      <c r="N12" s="21"/>
      <c r="O12" s="21"/>
      <c r="P12" s="21"/>
      <c r="Q12" s="21">
        <v>630</v>
      </c>
      <c r="R12" s="21"/>
      <c r="S12" s="21"/>
      <c r="T12" s="21"/>
      <c r="U12" s="21"/>
      <c r="V12" s="21"/>
      <c r="W12" s="21"/>
      <c r="X12" s="21"/>
      <c r="Y12" s="21">
        <v>-26</v>
      </c>
      <c r="Z12" s="24">
        <f t="shared" si="0"/>
        <v>12145.1</v>
      </c>
      <c r="AA12" s="25">
        <v>11264</v>
      </c>
      <c r="AB12" s="26">
        <v>901.12</v>
      </c>
      <c r="AC12" s="26">
        <v>225.28</v>
      </c>
      <c r="AD12" s="26">
        <v>56.32</v>
      </c>
      <c r="AE12" s="25">
        <v>11264</v>
      </c>
      <c r="AF12" s="25">
        <v>788</v>
      </c>
      <c r="AG12" s="24">
        <f t="shared" si="1"/>
        <v>1970.72</v>
      </c>
      <c r="AH12" s="29"/>
      <c r="AI12" s="29"/>
      <c r="AJ12" s="29"/>
      <c r="AK12" s="24">
        <f t="shared" si="2"/>
        <v>10174.380000000001</v>
      </c>
      <c r="AL12" s="25">
        <v>11264</v>
      </c>
      <c r="AM12" s="25">
        <v>11264</v>
      </c>
      <c r="AN12" s="25">
        <f t="shared" si="3"/>
        <v>1802.24</v>
      </c>
      <c r="AO12" s="25">
        <f t="shared" si="14"/>
        <v>1013.76</v>
      </c>
      <c r="AP12" s="25">
        <f t="shared" si="4"/>
        <v>56.32</v>
      </c>
      <c r="AQ12" s="25">
        <v>22.53</v>
      </c>
      <c r="AR12" s="25"/>
      <c r="AS12" s="25">
        <f t="shared" si="5"/>
        <v>788</v>
      </c>
      <c r="AT12" s="25">
        <f t="shared" si="6"/>
        <v>168.96</v>
      </c>
      <c r="AU12" s="24">
        <f t="shared" si="7"/>
        <v>3851.8100000000004</v>
      </c>
      <c r="AV12" s="24">
        <f>VLOOKUP(D12,'[1]202503'!$D$3:$AW$19,46,0)</f>
        <v>230</v>
      </c>
      <c r="AW12" s="24">
        <f t="shared" si="8"/>
        <v>16226.91</v>
      </c>
      <c r="AX12" s="37"/>
      <c r="AY12" s="37"/>
      <c r="AZ12" s="38"/>
      <c r="BA12" s="24">
        <v>255</v>
      </c>
      <c r="BB12" s="42">
        <f t="shared" si="12"/>
        <v>16481.91</v>
      </c>
      <c r="BC12" s="24">
        <f t="shared" si="9"/>
        <v>988.91</v>
      </c>
      <c r="BD12" s="24">
        <f t="shared" si="10"/>
        <v>17470.82</v>
      </c>
      <c r="BE12" s="34">
        <f t="shared" si="13"/>
        <v>225</v>
      </c>
      <c r="BF12" s="44" t="s">
        <v>99</v>
      </c>
      <c r="BH12" s="44"/>
    </row>
    <row r="13" spans="1:60" s="3" customFormat="1" ht="15" customHeight="1" x14ac:dyDescent="0.25">
      <c r="A13" s="10">
        <f t="shared" si="11"/>
        <v>11</v>
      </c>
      <c r="B13" s="11">
        <v>2503</v>
      </c>
      <c r="C13" s="11" t="s">
        <v>127</v>
      </c>
      <c r="D13" s="12" t="s">
        <v>128</v>
      </c>
      <c r="E13" s="16" t="s">
        <v>129</v>
      </c>
      <c r="F13" s="17">
        <v>45444</v>
      </c>
      <c r="G13" s="17">
        <v>45808</v>
      </c>
      <c r="H13" s="10"/>
      <c r="I13" s="20" t="s">
        <v>98</v>
      </c>
      <c r="J13" s="21">
        <v>900</v>
      </c>
      <c r="K13" s="21">
        <v>11589.5</v>
      </c>
      <c r="L13" s="21">
        <v>1241.2</v>
      </c>
      <c r="M13" s="21"/>
      <c r="N13" s="21"/>
      <c r="O13" s="21"/>
      <c r="P13" s="21"/>
      <c r="Q13" s="21">
        <v>630</v>
      </c>
      <c r="R13" s="21"/>
      <c r="S13" s="21"/>
      <c r="T13" s="21"/>
      <c r="U13" s="21"/>
      <c r="V13" s="21"/>
      <c r="W13" s="21"/>
      <c r="X13" s="21"/>
      <c r="Y13" s="21">
        <v>-337.3</v>
      </c>
      <c r="Z13" s="24">
        <f t="shared" si="0"/>
        <v>14023.400000000001</v>
      </c>
      <c r="AA13" s="25">
        <v>11463</v>
      </c>
      <c r="AB13" s="26">
        <v>917.04</v>
      </c>
      <c r="AC13" s="26">
        <v>229.26</v>
      </c>
      <c r="AD13" s="26">
        <v>57.32</v>
      </c>
      <c r="AE13" s="25">
        <v>11463</v>
      </c>
      <c r="AF13" s="25">
        <v>802</v>
      </c>
      <c r="AG13" s="24">
        <f t="shared" si="1"/>
        <v>2005.62</v>
      </c>
      <c r="AH13" s="29"/>
      <c r="AI13" s="29"/>
      <c r="AJ13" s="29"/>
      <c r="AK13" s="24">
        <f t="shared" si="2"/>
        <v>12017.780000000002</v>
      </c>
      <c r="AL13" s="25">
        <v>11463</v>
      </c>
      <c r="AM13" s="25">
        <v>11463</v>
      </c>
      <c r="AN13" s="25">
        <f t="shared" si="3"/>
        <v>1834.08</v>
      </c>
      <c r="AO13" s="25">
        <v>1031.68</v>
      </c>
      <c r="AP13" s="25">
        <f t="shared" si="4"/>
        <v>57.32</v>
      </c>
      <c r="AQ13" s="25">
        <v>22.93</v>
      </c>
      <c r="AR13" s="25"/>
      <c r="AS13" s="25">
        <f t="shared" si="5"/>
        <v>802</v>
      </c>
      <c r="AT13" s="25">
        <f t="shared" si="6"/>
        <v>171.95</v>
      </c>
      <c r="AU13" s="24">
        <f t="shared" si="7"/>
        <v>3919.96</v>
      </c>
      <c r="AV13" s="24">
        <f>VLOOKUP(D13,'[1]202503'!$D$3:$AW$19,46,0)</f>
        <v>268</v>
      </c>
      <c r="AW13" s="24">
        <f t="shared" si="8"/>
        <v>18211.36</v>
      </c>
      <c r="AX13" s="37"/>
      <c r="AY13" s="37"/>
      <c r="AZ13" s="38"/>
      <c r="BA13" s="24">
        <v>255</v>
      </c>
      <c r="BB13" s="42">
        <f t="shared" si="12"/>
        <v>18466.36</v>
      </c>
      <c r="BC13" s="24">
        <f t="shared" si="9"/>
        <v>1107.98</v>
      </c>
      <c r="BD13" s="24">
        <f t="shared" si="10"/>
        <v>19574.34</v>
      </c>
      <c r="BE13" s="34">
        <f t="shared" si="13"/>
        <v>263</v>
      </c>
      <c r="BF13" s="44" t="s">
        <v>99</v>
      </c>
      <c r="BH13" s="44"/>
    </row>
    <row r="14" spans="1:60" s="3" customFormat="1" ht="15" customHeight="1" x14ac:dyDescent="0.25">
      <c r="A14" s="10">
        <f t="shared" si="11"/>
        <v>12</v>
      </c>
      <c r="B14" s="11">
        <v>2503</v>
      </c>
      <c r="C14" s="11" t="s">
        <v>130</v>
      </c>
      <c r="D14" s="13" t="s">
        <v>131</v>
      </c>
      <c r="E14" s="16" t="s">
        <v>132</v>
      </c>
      <c r="F14" s="17">
        <v>45444</v>
      </c>
      <c r="G14" s="17">
        <v>45808</v>
      </c>
      <c r="H14" s="10"/>
      <c r="I14" s="20" t="s">
        <v>98</v>
      </c>
      <c r="J14" s="21">
        <v>900</v>
      </c>
      <c r="K14" s="21">
        <v>5351</v>
      </c>
      <c r="L14" s="21">
        <v>643.79999999999995</v>
      </c>
      <c r="M14" s="21"/>
      <c r="N14" s="21"/>
      <c r="O14" s="21"/>
      <c r="P14" s="21"/>
      <c r="Q14" s="21">
        <v>630</v>
      </c>
      <c r="R14" s="21"/>
      <c r="S14" s="21"/>
      <c r="T14" s="21"/>
      <c r="U14" s="21"/>
      <c r="V14" s="21"/>
      <c r="W14" s="21"/>
      <c r="X14" s="21"/>
      <c r="Y14" s="21">
        <v>-26</v>
      </c>
      <c r="Z14" s="24">
        <f t="shared" si="0"/>
        <v>7498.8</v>
      </c>
      <c r="AA14" s="25">
        <v>7384</v>
      </c>
      <c r="AB14" s="26">
        <v>590.72</v>
      </c>
      <c r="AC14" s="26">
        <v>147.68</v>
      </c>
      <c r="AD14" s="26">
        <v>36.92</v>
      </c>
      <c r="AE14" s="25">
        <v>6573</v>
      </c>
      <c r="AF14" s="25">
        <v>460</v>
      </c>
      <c r="AG14" s="24">
        <f t="shared" si="1"/>
        <v>1235.3200000000002</v>
      </c>
      <c r="AH14" s="29"/>
      <c r="AI14" s="29"/>
      <c r="AJ14" s="29"/>
      <c r="AK14" s="24">
        <f t="shared" si="2"/>
        <v>6263.48</v>
      </c>
      <c r="AL14" s="25">
        <v>7384</v>
      </c>
      <c r="AM14" s="25">
        <v>6573</v>
      </c>
      <c r="AN14" s="25">
        <f t="shared" si="3"/>
        <v>1181.44</v>
      </c>
      <c r="AO14" s="25">
        <f>ROUND(AL14*9%,2)</f>
        <v>664.56</v>
      </c>
      <c r="AP14" s="25">
        <f t="shared" si="4"/>
        <v>36.92</v>
      </c>
      <c r="AQ14" s="25">
        <v>14.77</v>
      </c>
      <c r="AR14" s="25"/>
      <c r="AS14" s="25">
        <f t="shared" si="5"/>
        <v>460</v>
      </c>
      <c r="AT14" s="25">
        <f t="shared" si="6"/>
        <v>110.76</v>
      </c>
      <c r="AU14" s="24">
        <f t="shared" si="7"/>
        <v>2468.4500000000003</v>
      </c>
      <c r="AV14" s="24">
        <f>VLOOKUP(D14,'[1]202503'!$D$3:$AW$19,46,0)</f>
        <v>137</v>
      </c>
      <c r="AW14" s="24">
        <f t="shared" si="8"/>
        <v>10104.25</v>
      </c>
      <c r="AX14" s="39"/>
      <c r="AY14" s="37"/>
      <c r="AZ14" s="38"/>
      <c r="BA14" s="24">
        <v>255</v>
      </c>
      <c r="BB14" s="42">
        <f t="shared" si="12"/>
        <v>10359.25</v>
      </c>
      <c r="BC14" s="24">
        <f t="shared" si="9"/>
        <v>621.55999999999995</v>
      </c>
      <c r="BD14" s="24">
        <f t="shared" si="10"/>
        <v>10980.81</v>
      </c>
      <c r="BE14" s="34">
        <f t="shared" si="13"/>
        <v>132</v>
      </c>
      <c r="BF14" s="44" t="s">
        <v>99</v>
      </c>
      <c r="BH14" s="44"/>
    </row>
    <row r="15" spans="1:60" s="3" customFormat="1" ht="15" customHeight="1" x14ac:dyDescent="0.25">
      <c r="A15" s="10">
        <f t="shared" si="11"/>
        <v>13</v>
      </c>
      <c r="B15" s="11">
        <v>2503</v>
      </c>
      <c r="C15" s="11" t="s">
        <v>133</v>
      </c>
      <c r="D15" s="13" t="s">
        <v>134</v>
      </c>
      <c r="E15" s="16" t="s">
        <v>135</v>
      </c>
      <c r="F15" s="17">
        <v>45444</v>
      </c>
      <c r="G15" s="17">
        <v>45808</v>
      </c>
      <c r="H15" s="10"/>
      <c r="I15" s="20" t="s">
        <v>98</v>
      </c>
      <c r="J15" s="21">
        <v>900</v>
      </c>
      <c r="K15" s="21">
        <v>4957.5</v>
      </c>
      <c r="L15" s="21">
        <v>577</v>
      </c>
      <c r="M15" s="21"/>
      <c r="N15" s="21"/>
      <c r="O15" s="21"/>
      <c r="P15" s="21"/>
      <c r="Q15" s="21">
        <v>630</v>
      </c>
      <c r="R15" s="21"/>
      <c r="S15" s="21"/>
      <c r="T15" s="21"/>
      <c r="U15" s="21"/>
      <c r="V15" s="21"/>
      <c r="W15" s="21"/>
      <c r="X15" s="21"/>
      <c r="Y15" s="21">
        <v>-187.3</v>
      </c>
      <c r="Z15" s="24">
        <f t="shared" ref="Z15:Z19" si="15">SUM(J15:Y15)</f>
        <v>6877.2</v>
      </c>
      <c r="AA15" s="25">
        <v>8179</v>
      </c>
      <c r="AB15" s="26">
        <v>654.32000000000005</v>
      </c>
      <c r="AC15" s="26">
        <v>163.58000000000001</v>
      </c>
      <c r="AD15" s="26">
        <v>40.9</v>
      </c>
      <c r="AE15" s="25">
        <v>8179</v>
      </c>
      <c r="AF15" s="25">
        <v>573</v>
      </c>
      <c r="AG15" s="24">
        <f t="shared" ref="AG15:AG19" si="16">AB15+AC15+AD15+AF15</f>
        <v>1431.8000000000002</v>
      </c>
      <c r="AH15" s="29"/>
      <c r="AI15" s="29"/>
      <c r="AJ15" s="29"/>
      <c r="AK15" s="24">
        <f t="shared" si="2"/>
        <v>5445.4</v>
      </c>
      <c r="AL15" s="25">
        <v>8179</v>
      </c>
      <c r="AM15" s="25">
        <v>8179</v>
      </c>
      <c r="AN15" s="25">
        <f t="shared" ref="AN15:AN16" si="17">ROUND(AL15*16%,2)</f>
        <v>1308.6400000000001</v>
      </c>
      <c r="AO15" s="25">
        <v>736.12</v>
      </c>
      <c r="AP15" s="25">
        <f t="shared" ref="AP15:AP16" si="18">ROUND(AL15*0.5%,2)</f>
        <v>40.9</v>
      </c>
      <c r="AQ15" s="25">
        <v>16.36</v>
      </c>
      <c r="AR15" s="25"/>
      <c r="AS15" s="25">
        <f t="shared" si="5"/>
        <v>573</v>
      </c>
      <c r="AT15" s="25">
        <f t="shared" si="6"/>
        <v>122.69</v>
      </c>
      <c r="AU15" s="24">
        <f t="shared" si="7"/>
        <v>2797.7100000000005</v>
      </c>
      <c r="AV15" s="24">
        <f>VLOOKUP(D15,'[1]202503'!$D$3:$AW$19,46,0)</f>
        <v>125</v>
      </c>
      <c r="AW15" s="24">
        <f t="shared" si="8"/>
        <v>9799.91</v>
      </c>
      <c r="AX15" s="37"/>
      <c r="AY15" s="37"/>
      <c r="AZ15" s="38"/>
      <c r="BA15" s="24">
        <v>255</v>
      </c>
      <c r="BB15" s="42">
        <f t="shared" si="12"/>
        <v>10054.91</v>
      </c>
      <c r="BC15" s="24">
        <f t="shared" si="9"/>
        <v>603.29</v>
      </c>
      <c r="BD15" s="24">
        <f t="shared" si="10"/>
        <v>10658.2</v>
      </c>
      <c r="BE15" s="34">
        <f t="shared" si="13"/>
        <v>120</v>
      </c>
      <c r="BF15" s="44" t="s">
        <v>99</v>
      </c>
      <c r="BH15" s="44"/>
    </row>
    <row r="16" spans="1:60" s="3" customFormat="1" ht="15" customHeight="1" x14ac:dyDescent="0.25">
      <c r="A16" s="10">
        <f t="shared" si="11"/>
        <v>14</v>
      </c>
      <c r="B16" s="11">
        <v>2503</v>
      </c>
      <c r="C16" s="11" t="s">
        <v>136</v>
      </c>
      <c r="D16" s="13" t="s">
        <v>137</v>
      </c>
      <c r="E16" s="16" t="s">
        <v>138</v>
      </c>
      <c r="F16" s="17">
        <v>45444</v>
      </c>
      <c r="G16" s="17">
        <v>45808</v>
      </c>
      <c r="H16" s="10"/>
      <c r="I16" s="20" t="s">
        <v>98</v>
      </c>
      <c r="J16" s="21">
        <v>800</v>
      </c>
      <c r="K16" s="21">
        <v>4809</v>
      </c>
      <c r="L16" s="21">
        <v>264.5</v>
      </c>
      <c r="M16" s="21"/>
      <c r="N16" s="21"/>
      <c r="O16" s="21"/>
      <c r="P16" s="21"/>
      <c r="Q16" s="21">
        <v>630</v>
      </c>
      <c r="R16" s="21"/>
      <c r="S16" s="21"/>
      <c r="T16" s="21"/>
      <c r="U16" s="21"/>
      <c r="V16" s="21"/>
      <c r="W16" s="21"/>
      <c r="X16" s="21"/>
      <c r="Y16" s="21">
        <v>-639.70000000000005</v>
      </c>
      <c r="Z16" s="24">
        <f t="shared" si="15"/>
        <v>5863.8</v>
      </c>
      <c r="AA16" s="25">
        <v>7384</v>
      </c>
      <c r="AB16" s="26">
        <v>590.72</v>
      </c>
      <c r="AC16" s="26">
        <v>147.68</v>
      </c>
      <c r="AD16" s="26">
        <v>36.92</v>
      </c>
      <c r="AE16" s="25">
        <v>4848</v>
      </c>
      <c r="AF16" s="25">
        <v>339</v>
      </c>
      <c r="AG16" s="24">
        <f t="shared" si="16"/>
        <v>1114.3200000000002</v>
      </c>
      <c r="AH16" s="29"/>
      <c r="AI16" s="29"/>
      <c r="AJ16" s="29"/>
      <c r="AK16" s="24">
        <f t="shared" si="2"/>
        <v>4749.4799999999996</v>
      </c>
      <c r="AL16" s="25">
        <v>7384</v>
      </c>
      <c r="AM16" s="25">
        <v>4848</v>
      </c>
      <c r="AN16" s="25">
        <f t="shared" si="17"/>
        <v>1181.44</v>
      </c>
      <c r="AO16" s="25">
        <f>ROUND(AL16*9%,2)</f>
        <v>664.56</v>
      </c>
      <c r="AP16" s="25">
        <f t="shared" si="18"/>
        <v>36.92</v>
      </c>
      <c r="AQ16" s="25">
        <v>14.77</v>
      </c>
      <c r="AR16" s="25"/>
      <c r="AS16" s="25">
        <f t="shared" si="5"/>
        <v>339</v>
      </c>
      <c r="AT16" s="25">
        <f t="shared" si="6"/>
        <v>110.76</v>
      </c>
      <c r="AU16" s="24">
        <f t="shared" si="7"/>
        <v>2347.4500000000003</v>
      </c>
      <c r="AV16" s="24">
        <f>VLOOKUP(D16,'[1]202503'!$D$3:$AW$19,46,0)</f>
        <v>105</v>
      </c>
      <c r="AW16" s="24">
        <f t="shared" si="8"/>
        <v>8316.25</v>
      </c>
      <c r="AX16" s="39"/>
      <c r="AY16" s="37"/>
      <c r="AZ16" s="38"/>
      <c r="BA16" s="24">
        <v>255</v>
      </c>
      <c r="BB16" s="42">
        <f t="shared" si="12"/>
        <v>8571.25</v>
      </c>
      <c r="BC16" s="24">
        <f t="shared" si="9"/>
        <v>514.28</v>
      </c>
      <c r="BD16" s="24">
        <f t="shared" si="10"/>
        <v>9085.5300000000007</v>
      </c>
      <c r="BE16" s="34">
        <f t="shared" si="13"/>
        <v>100</v>
      </c>
      <c r="BF16" s="44" t="s">
        <v>99</v>
      </c>
      <c r="BH16" s="44"/>
    </row>
    <row r="17" spans="1:60" s="3" customFormat="1" ht="15" customHeight="1" x14ac:dyDescent="0.25">
      <c r="A17" s="10">
        <f t="shared" si="11"/>
        <v>15</v>
      </c>
      <c r="B17" s="11">
        <v>2503</v>
      </c>
      <c r="C17" s="11"/>
      <c r="D17" s="10" t="s">
        <v>205</v>
      </c>
      <c r="E17" s="46" t="s">
        <v>206</v>
      </c>
      <c r="F17" s="17">
        <v>45717</v>
      </c>
      <c r="G17" s="17">
        <v>46081</v>
      </c>
      <c r="H17" s="10"/>
      <c r="I17" s="20" t="s">
        <v>98</v>
      </c>
      <c r="J17" s="21">
        <v>1030</v>
      </c>
      <c r="K17" s="21">
        <v>2399.5</v>
      </c>
      <c r="L17" s="21">
        <v>1025.9000000000001</v>
      </c>
      <c r="M17" s="21"/>
      <c r="N17" s="21"/>
      <c r="O17" s="21"/>
      <c r="P17" s="21"/>
      <c r="Q17" s="21">
        <v>630</v>
      </c>
      <c r="R17" s="21"/>
      <c r="S17" s="21"/>
      <c r="T17" s="21"/>
      <c r="U17" s="21"/>
      <c r="V17" s="21"/>
      <c r="W17" s="21"/>
      <c r="X17" s="21" t="s">
        <v>212</v>
      </c>
      <c r="Y17" s="21">
        <v>-595.6</v>
      </c>
      <c r="Z17" s="24">
        <f t="shared" si="15"/>
        <v>4489.7999999999993</v>
      </c>
      <c r="AA17" s="25">
        <v>7384</v>
      </c>
      <c r="AB17" s="25">
        <v>590.72</v>
      </c>
      <c r="AC17" s="25">
        <v>147.68</v>
      </c>
      <c r="AD17" s="25">
        <v>36.92</v>
      </c>
      <c r="AE17" s="25">
        <v>5000</v>
      </c>
      <c r="AF17" s="25">
        <v>350</v>
      </c>
      <c r="AG17" s="24">
        <f t="shared" si="16"/>
        <v>1125.3200000000002</v>
      </c>
      <c r="AH17" s="29"/>
      <c r="AI17" s="29"/>
      <c r="AJ17" s="29"/>
      <c r="AK17" s="24">
        <f t="shared" ref="AK17:AK19" si="19">Z17-AG17-AH17</f>
        <v>3364.4799999999991</v>
      </c>
      <c r="AL17" s="25">
        <v>7384</v>
      </c>
      <c r="AM17" s="25">
        <v>5000</v>
      </c>
      <c r="AN17" s="25">
        <v>1181.44</v>
      </c>
      <c r="AO17" s="25">
        <v>664.56</v>
      </c>
      <c r="AP17" s="25">
        <v>36.92</v>
      </c>
      <c r="AQ17" s="25">
        <v>14.77</v>
      </c>
      <c r="AR17" s="25"/>
      <c r="AS17" s="25">
        <v>350</v>
      </c>
      <c r="AT17" s="25">
        <v>110.76</v>
      </c>
      <c r="AU17" s="24">
        <f t="shared" ref="AU17:AU19" si="20">SUM(AN17:AT17)</f>
        <v>2358.4500000000003</v>
      </c>
      <c r="AV17" s="24">
        <v>77</v>
      </c>
      <c r="AW17" s="24">
        <f t="shared" ref="AW17:AW19" si="21">AU17+Z17+AI17-AJ17+AV17</f>
        <v>6925.25</v>
      </c>
      <c r="AX17" s="37"/>
      <c r="AY17" s="37"/>
      <c r="AZ17" s="38"/>
      <c r="BA17" s="24">
        <v>255</v>
      </c>
      <c r="BB17" s="42">
        <f t="shared" si="12"/>
        <v>7180.25</v>
      </c>
      <c r="BC17" s="24">
        <f t="shared" ref="BC17:BC19" si="22">ROUND(BB17*6%,2)</f>
        <v>430.82</v>
      </c>
      <c r="BD17" s="24">
        <f t="shared" ref="BD17:BD19" si="23">ROUND(SUM(BB17:BC17),2)</f>
        <v>7611.07</v>
      </c>
      <c r="BE17" s="34">
        <f t="shared" ref="BE17:BE19" si="24">AV17-5</f>
        <v>72</v>
      </c>
      <c r="BG17" s="44"/>
    </row>
    <row r="18" spans="1:60" s="3" customFormat="1" ht="15" customHeight="1" x14ac:dyDescent="0.25">
      <c r="A18" s="10">
        <f t="shared" si="11"/>
        <v>16</v>
      </c>
      <c r="B18" s="11">
        <v>2503</v>
      </c>
      <c r="C18" s="11"/>
      <c r="D18" s="10" t="s">
        <v>207</v>
      </c>
      <c r="E18" s="46" t="s">
        <v>208</v>
      </c>
      <c r="F18" s="17">
        <v>45717</v>
      </c>
      <c r="G18" s="17">
        <v>46081</v>
      </c>
      <c r="H18" s="10"/>
      <c r="I18" s="20" t="s">
        <v>98</v>
      </c>
      <c r="J18" s="21">
        <v>1400</v>
      </c>
      <c r="K18" s="21">
        <v>3569</v>
      </c>
      <c r="L18" s="21">
        <v>1970</v>
      </c>
      <c r="M18" s="21"/>
      <c r="N18" s="21"/>
      <c r="O18" s="21"/>
      <c r="P18" s="21"/>
      <c r="Q18" s="21">
        <v>630</v>
      </c>
      <c r="R18" s="21"/>
      <c r="S18" s="21"/>
      <c r="T18" s="21"/>
      <c r="U18" s="21"/>
      <c r="V18" s="21"/>
      <c r="W18" s="21"/>
      <c r="X18" s="21" t="s">
        <v>212</v>
      </c>
      <c r="Y18" s="21">
        <v>-226</v>
      </c>
      <c r="Z18" s="24">
        <f t="shared" si="15"/>
        <v>7343</v>
      </c>
      <c r="AA18" s="25">
        <v>14476.16</v>
      </c>
      <c r="AB18" s="25">
        <v>1158.0899999999999</v>
      </c>
      <c r="AC18" s="25">
        <v>289.52</v>
      </c>
      <c r="AD18" s="25">
        <v>72.38</v>
      </c>
      <c r="AE18" s="25">
        <v>14476.16</v>
      </c>
      <c r="AF18" s="25">
        <v>1013</v>
      </c>
      <c r="AG18" s="24">
        <f t="shared" si="16"/>
        <v>2532.9899999999998</v>
      </c>
      <c r="AH18" s="29"/>
      <c r="AI18" s="29"/>
      <c r="AJ18" s="29"/>
      <c r="AK18" s="24">
        <f t="shared" si="19"/>
        <v>4810.01</v>
      </c>
      <c r="AL18" s="25">
        <v>14476.16</v>
      </c>
      <c r="AM18" s="25">
        <v>14476.16</v>
      </c>
      <c r="AN18" s="25">
        <v>2316.19</v>
      </c>
      <c r="AO18" s="25">
        <v>1302.8499999999999</v>
      </c>
      <c r="AP18" s="25">
        <v>72.38</v>
      </c>
      <c r="AQ18" s="25">
        <v>28.95</v>
      </c>
      <c r="AR18" s="25"/>
      <c r="AS18" s="25">
        <v>1013</v>
      </c>
      <c r="AT18" s="25">
        <v>217.14</v>
      </c>
      <c r="AU18" s="24">
        <f t="shared" si="20"/>
        <v>4950.51</v>
      </c>
      <c r="AV18" s="24">
        <v>134</v>
      </c>
      <c r="AW18" s="24">
        <f t="shared" si="21"/>
        <v>12427.51</v>
      </c>
      <c r="AX18" s="37"/>
      <c r="AY18" s="37"/>
      <c r="AZ18" s="38"/>
      <c r="BA18" s="24">
        <v>255</v>
      </c>
      <c r="BB18" s="42">
        <f t="shared" si="12"/>
        <v>12682.51</v>
      </c>
      <c r="BC18" s="24">
        <f t="shared" si="22"/>
        <v>760.95</v>
      </c>
      <c r="BD18" s="24">
        <f t="shared" si="23"/>
        <v>13443.46</v>
      </c>
      <c r="BE18" s="34">
        <f t="shared" si="24"/>
        <v>129</v>
      </c>
      <c r="BG18" s="44"/>
    </row>
    <row r="19" spans="1:60" s="3" customFormat="1" ht="15" customHeight="1" x14ac:dyDescent="0.25">
      <c r="A19" s="10">
        <f t="shared" si="11"/>
        <v>17</v>
      </c>
      <c r="B19" s="11">
        <v>2503</v>
      </c>
      <c r="C19" s="11"/>
      <c r="D19" s="15" t="s">
        <v>209</v>
      </c>
      <c r="E19" s="46" t="s">
        <v>210</v>
      </c>
      <c r="F19" s="17">
        <v>45717</v>
      </c>
      <c r="G19" s="17">
        <v>46081</v>
      </c>
      <c r="H19" s="10"/>
      <c r="I19" s="20" t="s">
        <v>98</v>
      </c>
      <c r="J19" s="21">
        <v>1030</v>
      </c>
      <c r="K19" s="21">
        <v>2866</v>
      </c>
      <c r="L19" s="21">
        <v>1660</v>
      </c>
      <c r="M19" s="21"/>
      <c r="N19" s="21"/>
      <c r="O19" s="21"/>
      <c r="P19" s="21"/>
      <c r="Q19" s="21">
        <v>630</v>
      </c>
      <c r="R19" s="21"/>
      <c r="S19" s="21"/>
      <c r="T19" s="21"/>
      <c r="U19" s="21"/>
      <c r="V19" s="21"/>
      <c r="W19" s="21"/>
      <c r="X19" s="21" t="s">
        <v>212</v>
      </c>
      <c r="Y19" s="21">
        <v>-226</v>
      </c>
      <c r="Z19" s="24">
        <f t="shared" si="15"/>
        <v>5960</v>
      </c>
      <c r="AA19" s="25">
        <v>9821.49</v>
      </c>
      <c r="AB19" s="25">
        <v>785.72</v>
      </c>
      <c r="AC19" s="25">
        <v>196.43</v>
      </c>
      <c r="AD19" s="25">
        <v>49.11</v>
      </c>
      <c r="AE19" s="25">
        <v>9821.49</v>
      </c>
      <c r="AF19" s="25">
        <v>688</v>
      </c>
      <c r="AG19" s="24">
        <f t="shared" si="16"/>
        <v>1719.26</v>
      </c>
      <c r="AH19" s="29"/>
      <c r="AI19" s="29"/>
      <c r="AJ19" s="29"/>
      <c r="AK19" s="24">
        <f t="shared" si="19"/>
        <v>4240.74</v>
      </c>
      <c r="AL19" s="25">
        <v>9821.49</v>
      </c>
      <c r="AM19" s="25">
        <v>9821.49</v>
      </c>
      <c r="AN19" s="25">
        <v>1571.44</v>
      </c>
      <c r="AO19" s="25">
        <v>883.94</v>
      </c>
      <c r="AP19" s="25">
        <v>49.11</v>
      </c>
      <c r="AQ19" s="25">
        <v>19.64</v>
      </c>
      <c r="AR19" s="25"/>
      <c r="AS19" s="25">
        <v>688</v>
      </c>
      <c r="AT19" s="25">
        <v>147.32</v>
      </c>
      <c r="AU19" s="24">
        <f t="shared" si="20"/>
        <v>3359.4500000000003</v>
      </c>
      <c r="AV19" s="24">
        <v>107</v>
      </c>
      <c r="AW19" s="24">
        <f t="shared" si="21"/>
        <v>9426.4500000000007</v>
      </c>
      <c r="AX19" s="37"/>
      <c r="AY19" s="37"/>
      <c r="AZ19" s="38"/>
      <c r="BA19" s="24">
        <v>255</v>
      </c>
      <c r="BB19" s="42">
        <f t="shared" si="12"/>
        <v>9681.4500000000007</v>
      </c>
      <c r="BC19" s="24">
        <f t="shared" si="22"/>
        <v>580.89</v>
      </c>
      <c r="BD19" s="24">
        <f t="shared" si="23"/>
        <v>10262.34</v>
      </c>
      <c r="BE19" s="34">
        <f t="shared" si="24"/>
        <v>102</v>
      </c>
      <c r="BG19" s="44"/>
    </row>
    <row r="20" spans="1:60" s="3" customFormat="1" ht="15" customHeight="1" x14ac:dyDescent="0.25">
      <c r="A20" s="10">
        <f t="shared" si="11"/>
        <v>18</v>
      </c>
      <c r="B20" s="11">
        <v>2503</v>
      </c>
      <c r="C20" s="11" t="s">
        <v>139</v>
      </c>
      <c r="D20" s="10" t="s">
        <v>140</v>
      </c>
      <c r="E20" s="16" t="s">
        <v>141</v>
      </c>
      <c r="F20" s="17">
        <v>45413</v>
      </c>
      <c r="G20" s="17">
        <v>45777</v>
      </c>
      <c r="H20" s="10"/>
      <c r="I20" s="20" t="s">
        <v>98</v>
      </c>
      <c r="J20" s="21">
        <v>800</v>
      </c>
      <c r="K20" s="21">
        <v>10854</v>
      </c>
      <c r="L20" s="21">
        <v>1818.05</v>
      </c>
      <c r="M20" s="21"/>
      <c r="N20" s="21"/>
      <c r="O20" s="21"/>
      <c r="P20" s="21"/>
      <c r="Q20" s="21">
        <v>630</v>
      </c>
      <c r="R20" s="21"/>
      <c r="S20" s="21"/>
      <c r="T20" s="21"/>
      <c r="U20" s="21"/>
      <c r="V20" s="21"/>
      <c r="W20" s="21"/>
      <c r="X20" s="21" t="s">
        <v>212</v>
      </c>
      <c r="Y20" s="21">
        <v>-394.25</v>
      </c>
      <c r="Z20" s="24">
        <f t="shared" ref="Z20:Z40" si="25">SUM(J20:Y20)</f>
        <v>13707.8</v>
      </c>
      <c r="AA20" s="25">
        <v>9889</v>
      </c>
      <c r="AB20" s="26">
        <v>791.12</v>
      </c>
      <c r="AC20" s="26">
        <v>197.78</v>
      </c>
      <c r="AD20" s="26">
        <v>49.45</v>
      </c>
      <c r="AE20" s="25">
        <v>9889</v>
      </c>
      <c r="AF20" s="25">
        <v>692</v>
      </c>
      <c r="AG20" s="24">
        <f t="shared" ref="AG20:AG40" si="26">AB20+AC20+AD20+AF20</f>
        <v>1730.35</v>
      </c>
      <c r="AH20" s="29"/>
      <c r="AI20" s="29"/>
      <c r="AJ20" s="29"/>
      <c r="AK20" s="24">
        <f t="shared" si="2"/>
        <v>11977.449999999999</v>
      </c>
      <c r="AL20" s="25">
        <v>9889</v>
      </c>
      <c r="AM20" s="25">
        <v>9889</v>
      </c>
      <c r="AN20" s="25">
        <f t="shared" ref="AN20:AN40" si="27">ROUND(AL20*16%,2)</f>
        <v>1582.24</v>
      </c>
      <c r="AO20" s="25">
        <v>890.02</v>
      </c>
      <c r="AP20" s="25">
        <f t="shared" ref="AP20:AP40" si="28">ROUND(AL20*0.5%,2)</f>
        <v>49.45</v>
      </c>
      <c r="AQ20" s="25">
        <v>19.78</v>
      </c>
      <c r="AR20" s="25"/>
      <c r="AS20" s="25">
        <f t="shared" si="5"/>
        <v>692</v>
      </c>
      <c r="AT20" s="25">
        <f t="shared" si="6"/>
        <v>148.34</v>
      </c>
      <c r="AU20" s="24">
        <f t="shared" si="7"/>
        <v>3381.8300000000004</v>
      </c>
      <c r="AV20" s="24">
        <f>VLOOKUP(D20,[2]布列吉绩效清单!$F$7:$W$27,18,0)</f>
        <v>262</v>
      </c>
      <c r="AW20" s="24">
        <f t="shared" si="8"/>
        <v>17351.63</v>
      </c>
      <c r="AX20" s="37"/>
      <c r="AY20" s="37"/>
      <c r="AZ20" s="38"/>
      <c r="BA20" s="24">
        <v>255</v>
      </c>
      <c r="BB20" s="42">
        <f t="shared" si="12"/>
        <v>17606.63</v>
      </c>
      <c r="BC20" s="24">
        <f t="shared" si="9"/>
        <v>1056.4000000000001</v>
      </c>
      <c r="BD20" s="24">
        <f t="shared" si="10"/>
        <v>18663.03</v>
      </c>
      <c r="BE20" s="34">
        <f t="shared" si="13"/>
        <v>257</v>
      </c>
      <c r="BH20" s="44"/>
    </row>
    <row r="21" spans="1:60" s="3" customFormat="1" ht="15" customHeight="1" x14ac:dyDescent="0.25">
      <c r="A21" s="10">
        <f t="shared" si="11"/>
        <v>19</v>
      </c>
      <c r="B21" s="11">
        <v>2503</v>
      </c>
      <c r="C21" s="11" t="s">
        <v>142</v>
      </c>
      <c r="D21" s="10" t="s">
        <v>143</v>
      </c>
      <c r="E21" s="16" t="s">
        <v>144</v>
      </c>
      <c r="F21" s="17">
        <v>45427</v>
      </c>
      <c r="G21" s="17">
        <v>46521</v>
      </c>
      <c r="H21" s="10"/>
      <c r="I21" s="20" t="s">
        <v>98</v>
      </c>
      <c r="J21" s="21">
        <v>800</v>
      </c>
      <c r="K21" s="21">
        <v>13696.9</v>
      </c>
      <c r="L21" s="21">
        <v>2852.2</v>
      </c>
      <c r="M21" s="21"/>
      <c r="N21" s="21"/>
      <c r="O21" s="21"/>
      <c r="P21" s="21"/>
      <c r="Q21" s="21">
        <v>630</v>
      </c>
      <c r="R21" s="21"/>
      <c r="S21" s="21"/>
      <c r="T21" s="21"/>
      <c r="U21" s="21"/>
      <c r="V21" s="21"/>
      <c r="W21" s="21"/>
      <c r="X21" s="21" t="s">
        <v>212</v>
      </c>
      <c r="Y21" s="21">
        <v>-491</v>
      </c>
      <c r="Z21" s="24">
        <f t="shared" si="25"/>
        <v>17488.099999999999</v>
      </c>
      <c r="AA21" s="25">
        <v>7384</v>
      </c>
      <c r="AB21" s="26">
        <v>590.72</v>
      </c>
      <c r="AC21" s="26">
        <v>147.68</v>
      </c>
      <c r="AD21" s="26">
        <v>36.92</v>
      </c>
      <c r="AE21" s="28">
        <v>2690</v>
      </c>
      <c r="AF21" s="25">
        <v>188</v>
      </c>
      <c r="AG21" s="24">
        <f t="shared" si="26"/>
        <v>963.32</v>
      </c>
      <c r="AH21" s="29"/>
      <c r="AI21" s="29"/>
      <c r="AJ21" s="29"/>
      <c r="AK21" s="24">
        <f t="shared" si="2"/>
        <v>16524.78</v>
      </c>
      <c r="AL21" s="25">
        <v>7384</v>
      </c>
      <c r="AM21" s="25">
        <v>2690</v>
      </c>
      <c r="AN21" s="25">
        <f t="shared" si="27"/>
        <v>1181.44</v>
      </c>
      <c r="AO21" s="25">
        <f t="shared" ref="AO21:AO40" si="29">ROUND(AL21*9%,2)</f>
        <v>664.56</v>
      </c>
      <c r="AP21" s="25">
        <f t="shared" si="28"/>
        <v>36.92</v>
      </c>
      <c r="AQ21" s="25">
        <v>14.77</v>
      </c>
      <c r="AR21" s="25"/>
      <c r="AS21" s="25">
        <f t="shared" si="5"/>
        <v>188</v>
      </c>
      <c r="AT21" s="25">
        <f t="shared" si="6"/>
        <v>110.76</v>
      </c>
      <c r="AU21" s="24">
        <f t="shared" si="7"/>
        <v>2196.4500000000003</v>
      </c>
      <c r="AV21" s="24">
        <f>VLOOKUP(D21,[2]布列吉绩效清单!$F$7:$W$27,18,0)</f>
        <v>337</v>
      </c>
      <c r="AW21" s="24">
        <f t="shared" si="8"/>
        <v>20021.55</v>
      </c>
      <c r="AX21" s="37"/>
      <c r="AY21" s="37"/>
      <c r="AZ21" s="38"/>
      <c r="BA21" s="24">
        <v>255</v>
      </c>
      <c r="BB21" s="42">
        <f t="shared" si="12"/>
        <v>20276.55</v>
      </c>
      <c r="BC21" s="24">
        <f t="shared" si="9"/>
        <v>1216.5899999999999</v>
      </c>
      <c r="BD21" s="24">
        <f t="shared" si="10"/>
        <v>21493.14</v>
      </c>
      <c r="BE21" s="34">
        <f t="shared" si="13"/>
        <v>332</v>
      </c>
      <c r="BH21" s="44"/>
    </row>
    <row r="22" spans="1:60" s="3" customFormat="1" ht="15" customHeight="1" x14ac:dyDescent="0.25">
      <c r="A22" s="10">
        <f t="shared" si="11"/>
        <v>20</v>
      </c>
      <c r="B22" s="11">
        <v>2503</v>
      </c>
      <c r="C22" s="11" t="s">
        <v>145</v>
      </c>
      <c r="D22" s="10" t="s">
        <v>146</v>
      </c>
      <c r="E22" s="16" t="s">
        <v>147</v>
      </c>
      <c r="F22" s="17">
        <v>45444</v>
      </c>
      <c r="G22" s="17">
        <v>45808</v>
      </c>
      <c r="H22" s="10"/>
      <c r="I22" s="20" t="s">
        <v>98</v>
      </c>
      <c r="J22" s="21">
        <v>1200</v>
      </c>
      <c r="K22" s="21">
        <v>5477.6100000000006</v>
      </c>
      <c r="L22" s="21">
        <v>2835.2</v>
      </c>
      <c r="M22" s="21"/>
      <c r="N22" s="21"/>
      <c r="O22" s="21"/>
      <c r="P22" s="21"/>
      <c r="Q22" s="21">
        <v>630</v>
      </c>
      <c r="R22" s="21"/>
      <c r="S22" s="21"/>
      <c r="T22" s="21"/>
      <c r="U22" s="21"/>
      <c r="V22" s="21"/>
      <c r="W22" s="21"/>
      <c r="X22" s="21" t="s">
        <v>212</v>
      </c>
      <c r="Y22" s="21">
        <v>-312.83</v>
      </c>
      <c r="Z22" s="24">
        <f t="shared" si="25"/>
        <v>9829.9800000000014</v>
      </c>
      <c r="AA22" s="25">
        <v>7661</v>
      </c>
      <c r="AB22" s="26">
        <v>612.88</v>
      </c>
      <c r="AC22" s="26">
        <v>153.22</v>
      </c>
      <c r="AD22" s="26">
        <v>38.31</v>
      </c>
      <c r="AE22" s="25">
        <v>7661</v>
      </c>
      <c r="AF22" s="25">
        <v>536</v>
      </c>
      <c r="AG22" s="24">
        <f t="shared" si="26"/>
        <v>1340.41</v>
      </c>
      <c r="AH22" s="29"/>
      <c r="AI22" s="29"/>
      <c r="AJ22" s="29"/>
      <c r="AK22" s="24">
        <f t="shared" si="2"/>
        <v>8489.5700000000015</v>
      </c>
      <c r="AL22" s="25">
        <v>7661</v>
      </c>
      <c r="AM22" s="25">
        <v>7661</v>
      </c>
      <c r="AN22" s="25">
        <f t="shared" si="27"/>
        <v>1225.76</v>
      </c>
      <c r="AO22" s="25">
        <v>689.5</v>
      </c>
      <c r="AP22" s="25">
        <f t="shared" si="28"/>
        <v>38.31</v>
      </c>
      <c r="AQ22" s="25">
        <v>15.32</v>
      </c>
      <c r="AR22" s="25"/>
      <c r="AS22" s="25">
        <f t="shared" si="5"/>
        <v>536</v>
      </c>
      <c r="AT22" s="25">
        <f t="shared" si="6"/>
        <v>114.92</v>
      </c>
      <c r="AU22" s="24">
        <f t="shared" si="7"/>
        <v>2619.81</v>
      </c>
      <c r="AV22" s="24">
        <f>VLOOKUP(D22,[2]布列吉绩效清单!$F$7:$W$27,18,0)</f>
        <v>184</v>
      </c>
      <c r="AW22" s="24">
        <f t="shared" si="8"/>
        <v>12633.79</v>
      </c>
      <c r="AX22" s="37"/>
      <c r="AY22" s="37"/>
      <c r="AZ22" s="38"/>
      <c r="BA22" s="24">
        <v>255</v>
      </c>
      <c r="BB22" s="42">
        <f t="shared" si="12"/>
        <v>12888.79</v>
      </c>
      <c r="BC22" s="24">
        <f t="shared" si="9"/>
        <v>773.33</v>
      </c>
      <c r="BD22" s="24">
        <f t="shared" si="10"/>
        <v>13662.12</v>
      </c>
      <c r="BE22" s="34">
        <f t="shared" si="13"/>
        <v>179</v>
      </c>
      <c r="BH22" s="44"/>
    </row>
    <row r="23" spans="1:60" s="3" customFormat="1" ht="15" customHeight="1" x14ac:dyDescent="0.25">
      <c r="A23" s="10">
        <f t="shared" si="11"/>
        <v>21</v>
      </c>
      <c r="B23" s="11">
        <v>2503</v>
      </c>
      <c r="C23" s="11" t="s">
        <v>148</v>
      </c>
      <c r="D23" s="10" t="s">
        <v>149</v>
      </c>
      <c r="E23" s="16" t="s">
        <v>150</v>
      </c>
      <c r="F23" s="17">
        <v>45444</v>
      </c>
      <c r="G23" s="17">
        <v>45808</v>
      </c>
      <c r="H23" s="10"/>
      <c r="I23" s="20" t="s">
        <v>98</v>
      </c>
      <c r="J23" s="21">
        <v>1300</v>
      </c>
      <c r="K23" s="21">
        <v>8238.380000000001</v>
      </c>
      <c r="L23" s="21">
        <v>6064.7</v>
      </c>
      <c r="M23" s="21"/>
      <c r="N23" s="21"/>
      <c r="O23" s="21"/>
      <c r="P23" s="21"/>
      <c r="Q23" s="21">
        <v>630</v>
      </c>
      <c r="R23" s="21"/>
      <c r="S23" s="21"/>
      <c r="T23" s="21"/>
      <c r="U23" s="21"/>
      <c r="V23" s="21"/>
      <c r="W23" s="21"/>
      <c r="X23" s="21" t="s">
        <v>212</v>
      </c>
      <c r="Y23" s="21">
        <v>-75.13</v>
      </c>
      <c r="Z23" s="24">
        <f t="shared" si="25"/>
        <v>16157.950000000003</v>
      </c>
      <c r="AA23" s="25">
        <v>17497</v>
      </c>
      <c r="AB23" s="26">
        <v>1399.76</v>
      </c>
      <c r="AC23" s="26">
        <v>349.94</v>
      </c>
      <c r="AD23" s="26">
        <v>87.49</v>
      </c>
      <c r="AE23" s="25">
        <v>17497</v>
      </c>
      <c r="AF23" s="25">
        <v>1225</v>
      </c>
      <c r="AG23" s="24">
        <f t="shared" si="26"/>
        <v>3062.19</v>
      </c>
      <c r="AH23" s="29"/>
      <c r="AI23" s="29"/>
      <c r="AJ23" s="29"/>
      <c r="AK23" s="24">
        <f t="shared" si="2"/>
        <v>13095.760000000002</v>
      </c>
      <c r="AL23" s="25">
        <v>17497</v>
      </c>
      <c r="AM23" s="25">
        <v>17497</v>
      </c>
      <c r="AN23" s="25">
        <f t="shared" si="27"/>
        <v>2799.52</v>
      </c>
      <c r="AO23" s="25">
        <v>1574.74</v>
      </c>
      <c r="AP23" s="25">
        <f t="shared" si="28"/>
        <v>87.49</v>
      </c>
      <c r="AQ23" s="25">
        <v>34.99</v>
      </c>
      <c r="AR23" s="25"/>
      <c r="AS23" s="25">
        <f t="shared" si="5"/>
        <v>1225</v>
      </c>
      <c r="AT23" s="25">
        <f t="shared" si="6"/>
        <v>262.45999999999998</v>
      </c>
      <c r="AU23" s="24">
        <f t="shared" si="7"/>
        <v>5984.2</v>
      </c>
      <c r="AV23" s="24">
        <f>VLOOKUP(D23,[2]布列吉绩效清单!$F$7:$W$27,18,0)</f>
        <v>311</v>
      </c>
      <c r="AW23" s="24">
        <f t="shared" si="8"/>
        <v>22453.15</v>
      </c>
      <c r="AX23" s="37"/>
      <c r="AY23" s="37"/>
      <c r="AZ23" s="38"/>
      <c r="BA23" s="24">
        <v>255</v>
      </c>
      <c r="BB23" s="42">
        <f t="shared" si="12"/>
        <v>22708.15</v>
      </c>
      <c r="BC23" s="24">
        <f t="shared" si="9"/>
        <v>1362.49</v>
      </c>
      <c r="BD23" s="24">
        <f t="shared" si="10"/>
        <v>24070.639999999999</v>
      </c>
      <c r="BE23" s="34">
        <f t="shared" si="13"/>
        <v>306</v>
      </c>
      <c r="BH23" s="44"/>
    </row>
    <row r="24" spans="1:60" s="3" customFormat="1" ht="15" customHeight="1" x14ac:dyDescent="0.25">
      <c r="A24" s="10">
        <f t="shared" si="11"/>
        <v>22</v>
      </c>
      <c r="B24" s="11">
        <v>2503</v>
      </c>
      <c r="C24" s="11" t="s">
        <v>151</v>
      </c>
      <c r="D24" s="10" t="s">
        <v>152</v>
      </c>
      <c r="E24" s="16" t="s">
        <v>153</v>
      </c>
      <c r="F24" s="17">
        <v>45444</v>
      </c>
      <c r="G24" s="17">
        <v>45808</v>
      </c>
      <c r="H24" s="10"/>
      <c r="I24" s="20" t="s">
        <v>98</v>
      </c>
      <c r="J24" s="21">
        <v>1030</v>
      </c>
      <c r="K24" s="21">
        <v>2872.51</v>
      </c>
      <c r="L24" s="21">
        <v>1658.7</v>
      </c>
      <c r="M24" s="21"/>
      <c r="N24" s="21"/>
      <c r="O24" s="21"/>
      <c r="P24" s="21"/>
      <c r="Q24" s="21">
        <v>630</v>
      </c>
      <c r="R24" s="21"/>
      <c r="S24" s="21"/>
      <c r="T24" s="21"/>
      <c r="U24" s="21"/>
      <c r="V24" s="21"/>
      <c r="W24" s="21"/>
      <c r="X24" s="21" t="s">
        <v>212</v>
      </c>
      <c r="Y24" s="21">
        <v>-332.83</v>
      </c>
      <c r="Z24" s="24">
        <f t="shared" si="25"/>
        <v>5858.38</v>
      </c>
      <c r="AA24" s="25">
        <v>10038</v>
      </c>
      <c r="AB24" s="26">
        <v>803.04</v>
      </c>
      <c r="AC24" s="26">
        <v>200.76</v>
      </c>
      <c r="AD24" s="26">
        <v>50.19</v>
      </c>
      <c r="AE24" s="25">
        <v>10038</v>
      </c>
      <c r="AF24" s="25">
        <v>703</v>
      </c>
      <c r="AG24" s="24">
        <f t="shared" si="26"/>
        <v>1756.99</v>
      </c>
      <c r="AH24" s="29"/>
      <c r="AI24" s="29"/>
      <c r="AJ24" s="29"/>
      <c r="AK24" s="24">
        <f t="shared" si="2"/>
        <v>4101.3900000000003</v>
      </c>
      <c r="AL24" s="25">
        <v>10038</v>
      </c>
      <c r="AM24" s="25">
        <v>10038</v>
      </c>
      <c r="AN24" s="25">
        <f t="shared" si="27"/>
        <v>1606.08</v>
      </c>
      <c r="AO24" s="25">
        <f t="shared" si="29"/>
        <v>903.42</v>
      </c>
      <c r="AP24" s="25">
        <f t="shared" si="28"/>
        <v>50.19</v>
      </c>
      <c r="AQ24" s="25">
        <v>20.079999999999998</v>
      </c>
      <c r="AR24" s="25"/>
      <c r="AS24" s="25">
        <f t="shared" si="5"/>
        <v>703</v>
      </c>
      <c r="AT24" s="25">
        <f t="shared" si="6"/>
        <v>150.57</v>
      </c>
      <c r="AU24" s="24">
        <f t="shared" si="7"/>
        <v>3433.34</v>
      </c>
      <c r="AV24" s="24">
        <f>VLOOKUP(D24,[2]布列吉绩效清单!$F$7:$W$27,18,0)</f>
        <v>105</v>
      </c>
      <c r="AW24" s="24">
        <f t="shared" si="8"/>
        <v>9396.7200000000012</v>
      </c>
      <c r="AX24" s="37">
        <v>1780.28</v>
      </c>
      <c r="AY24" s="37"/>
      <c r="AZ24" s="38" t="s">
        <v>216</v>
      </c>
      <c r="BA24" s="24">
        <v>255</v>
      </c>
      <c r="BB24" s="42">
        <f t="shared" si="12"/>
        <v>11432</v>
      </c>
      <c r="BC24" s="24">
        <f t="shared" si="9"/>
        <v>685.92</v>
      </c>
      <c r="BD24" s="24">
        <f t="shared" si="10"/>
        <v>12117.92</v>
      </c>
      <c r="BE24" s="34">
        <f t="shared" si="13"/>
        <v>100</v>
      </c>
      <c r="BH24" s="44"/>
    </row>
    <row r="25" spans="1:60" s="3" customFormat="1" ht="15" customHeight="1" x14ac:dyDescent="0.25">
      <c r="A25" s="10">
        <f t="shared" si="11"/>
        <v>23</v>
      </c>
      <c r="B25" s="11">
        <v>2503</v>
      </c>
      <c r="C25" s="11" t="s">
        <v>154</v>
      </c>
      <c r="D25" s="14" t="s">
        <v>155</v>
      </c>
      <c r="E25" s="16" t="s">
        <v>156</v>
      </c>
      <c r="F25" s="17">
        <v>45444</v>
      </c>
      <c r="G25" s="17">
        <v>45808</v>
      </c>
      <c r="H25" s="10"/>
      <c r="I25" s="20" t="s">
        <v>98</v>
      </c>
      <c r="J25" s="21">
        <v>900</v>
      </c>
      <c r="K25" s="21">
        <v>6435.41</v>
      </c>
      <c r="L25" s="21">
        <v>2184.4</v>
      </c>
      <c r="M25" s="21"/>
      <c r="N25" s="21"/>
      <c r="O25" s="21"/>
      <c r="P25" s="21"/>
      <c r="Q25" s="21">
        <v>630</v>
      </c>
      <c r="R25" s="21"/>
      <c r="S25" s="21"/>
      <c r="T25" s="21"/>
      <c r="U25" s="21"/>
      <c r="V25" s="21"/>
      <c r="W25" s="21"/>
      <c r="X25" s="21" t="s">
        <v>212</v>
      </c>
      <c r="Y25" s="21">
        <v>-1362.83</v>
      </c>
      <c r="Z25" s="24">
        <f t="shared" si="25"/>
        <v>8786.98</v>
      </c>
      <c r="AA25" s="25">
        <v>7384</v>
      </c>
      <c r="AB25" s="26">
        <v>590.72</v>
      </c>
      <c r="AC25" s="26">
        <v>147.68</v>
      </c>
      <c r="AD25" s="26">
        <v>36.92</v>
      </c>
      <c r="AE25" s="25">
        <v>7375</v>
      </c>
      <c r="AF25" s="25">
        <v>516</v>
      </c>
      <c r="AG25" s="24">
        <f t="shared" si="26"/>
        <v>1291.3200000000002</v>
      </c>
      <c r="AH25" s="29"/>
      <c r="AI25" s="29"/>
      <c r="AJ25" s="29"/>
      <c r="AK25" s="24">
        <f t="shared" si="2"/>
        <v>7495.66</v>
      </c>
      <c r="AL25" s="25">
        <v>7384</v>
      </c>
      <c r="AM25" s="25">
        <v>7375</v>
      </c>
      <c r="AN25" s="25">
        <f t="shared" si="27"/>
        <v>1181.44</v>
      </c>
      <c r="AO25" s="25">
        <v>664.56</v>
      </c>
      <c r="AP25" s="25">
        <f t="shared" si="28"/>
        <v>36.92</v>
      </c>
      <c r="AQ25" s="25">
        <v>14.77</v>
      </c>
      <c r="AR25" s="25"/>
      <c r="AS25" s="25">
        <f t="shared" si="5"/>
        <v>516</v>
      </c>
      <c r="AT25" s="25">
        <f t="shared" si="6"/>
        <v>110.76</v>
      </c>
      <c r="AU25" s="24">
        <f t="shared" si="7"/>
        <v>2524.4500000000003</v>
      </c>
      <c r="AV25" s="24">
        <f>VLOOKUP(D25,[2]布列吉绩效清单!$F$7:$W$27,18,0)</f>
        <v>163</v>
      </c>
      <c r="AW25" s="24">
        <f t="shared" si="8"/>
        <v>11474.43</v>
      </c>
      <c r="AX25" s="37"/>
      <c r="AY25" s="37"/>
      <c r="AZ25" s="38"/>
      <c r="BA25" s="24">
        <v>255</v>
      </c>
      <c r="BB25" s="42">
        <f t="shared" si="12"/>
        <v>11729.43</v>
      </c>
      <c r="BC25" s="24">
        <f t="shared" si="9"/>
        <v>703.77</v>
      </c>
      <c r="BD25" s="24">
        <f t="shared" si="10"/>
        <v>12433.2</v>
      </c>
      <c r="BE25" s="34">
        <f t="shared" si="13"/>
        <v>158</v>
      </c>
      <c r="BH25" s="44"/>
    </row>
    <row r="26" spans="1:60" s="3" customFormat="1" ht="15" customHeight="1" x14ac:dyDescent="0.25">
      <c r="A26" s="10">
        <f t="shared" si="11"/>
        <v>24</v>
      </c>
      <c r="B26" s="11">
        <v>2503</v>
      </c>
      <c r="C26" s="11" t="s">
        <v>157</v>
      </c>
      <c r="D26" s="10" t="s">
        <v>158</v>
      </c>
      <c r="E26" s="16" t="s">
        <v>159</v>
      </c>
      <c r="F26" s="17">
        <v>45444</v>
      </c>
      <c r="G26" s="17">
        <v>45808</v>
      </c>
      <c r="H26" s="10"/>
      <c r="I26" s="20" t="s">
        <v>98</v>
      </c>
      <c r="J26" s="21">
        <v>970</v>
      </c>
      <c r="K26" s="21">
        <v>15690.859999999999</v>
      </c>
      <c r="L26" s="21">
        <v>1436.8</v>
      </c>
      <c r="M26" s="21"/>
      <c r="N26" s="21"/>
      <c r="O26" s="21"/>
      <c r="P26" s="21"/>
      <c r="Q26" s="21">
        <v>630</v>
      </c>
      <c r="R26" s="21"/>
      <c r="S26" s="21"/>
      <c r="T26" s="21"/>
      <c r="U26" s="21"/>
      <c r="V26" s="21"/>
      <c r="W26" s="21"/>
      <c r="X26" s="21" t="s">
        <v>212</v>
      </c>
      <c r="Y26" s="21">
        <v>-984.61</v>
      </c>
      <c r="Z26" s="24">
        <f t="shared" si="25"/>
        <v>17743.05</v>
      </c>
      <c r="AA26" s="25">
        <v>12999</v>
      </c>
      <c r="AB26" s="26">
        <v>1039.92</v>
      </c>
      <c r="AC26" s="26">
        <v>259.98</v>
      </c>
      <c r="AD26" s="26">
        <v>65</v>
      </c>
      <c r="AE26" s="25">
        <v>12999</v>
      </c>
      <c r="AF26" s="25">
        <v>910</v>
      </c>
      <c r="AG26" s="24">
        <f t="shared" si="26"/>
        <v>2274.9</v>
      </c>
      <c r="AH26" s="29"/>
      <c r="AI26" s="29"/>
      <c r="AJ26" s="29"/>
      <c r="AK26" s="24">
        <f t="shared" si="2"/>
        <v>15468.15</v>
      </c>
      <c r="AL26" s="25">
        <v>12999</v>
      </c>
      <c r="AM26" s="25">
        <v>12999</v>
      </c>
      <c r="AN26" s="25">
        <f t="shared" si="27"/>
        <v>2079.84</v>
      </c>
      <c r="AO26" s="25">
        <v>1169.92</v>
      </c>
      <c r="AP26" s="25">
        <f t="shared" si="28"/>
        <v>65</v>
      </c>
      <c r="AQ26" s="25">
        <v>26</v>
      </c>
      <c r="AR26" s="25"/>
      <c r="AS26" s="25">
        <f t="shared" si="5"/>
        <v>910</v>
      </c>
      <c r="AT26" s="25">
        <f t="shared" si="6"/>
        <v>194.99</v>
      </c>
      <c r="AU26" s="24">
        <f t="shared" si="7"/>
        <v>4445.75</v>
      </c>
      <c r="AV26" s="24">
        <f>VLOOKUP(D26,[2]布列吉绩效清单!$F$7:$W$27,18,0)</f>
        <v>342</v>
      </c>
      <c r="AW26" s="24">
        <f t="shared" si="8"/>
        <v>22530.799999999999</v>
      </c>
      <c r="AX26" s="37"/>
      <c r="AY26" s="37"/>
      <c r="AZ26" s="38"/>
      <c r="BA26" s="24">
        <v>255</v>
      </c>
      <c r="BB26" s="42">
        <f t="shared" si="12"/>
        <v>22785.8</v>
      </c>
      <c r="BC26" s="24">
        <f t="shared" si="9"/>
        <v>1367.15</v>
      </c>
      <c r="BD26" s="24">
        <f t="shared" si="10"/>
        <v>24152.95</v>
      </c>
      <c r="BE26" s="34">
        <f t="shared" si="13"/>
        <v>337</v>
      </c>
      <c r="BH26" s="44"/>
    </row>
    <row r="27" spans="1:60" s="3" customFormat="1" ht="15" customHeight="1" x14ac:dyDescent="0.25">
      <c r="A27" s="10">
        <f t="shared" si="11"/>
        <v>25</v>
      </c>
      <c r="B27" s="11">
        <v>2503</v>
      </c>
      <c r="C27" s="11" t="s">
        <v>160</v>
      </c>
      <c r="D27" s="10" t="s">
        <v>161</v>
      </c>
      <c r="E27" s="16" t="s">
        <v>162</v>
      </c>
      <c r="F27" s="17">
        <v>45444</v>
      </c>
      <c r="G27" s="17">
        <v>45808</v>
      </c>
      <c r="H27" s="10"/>
      <c r="I27" s="20" t="s">
        <v>98</v>
      </c>
      <c r="J27" s="21">
        <v>800</v>
      </c>
      <c r="K27" s="21">
        <v>3022.94</v>
      </c>
      <c r="L27" s="21">
        <v>1408.9</v>
      </c>
      <c r="M27" s="21"/>
      <c r="N27" s="21"/>
      <c r="O27" s="21"/>
      <c r="P27" s="21"/>
      <c r="Q27" s="21">
        <v>630</v>
      </c>
      <c r="R27" s="21"/>
      <c r="S27" s="21"/>
      <c r="T27" s="21"/>
      <c r="U27" s="21"/>
      <c r="V27" s="21"/>
      <c r="W27" s="21"/>
      <c r="X27" s="21" t="s">
        <v>212</v>
      </c>
      <c r="Y27" s="21">
        <v>-219.74</v>
      </c>
      <c r="Z27" s="24">
        <f t="shared" si="25"/>
        <v>5642.1</v>
      </c>
      <c r="AA27" s="25">
        <v>7384</v>
      </c>
      <c r="AB27" s="26">
        <v>590.72</v>
      </c>
      <c r="AC27" s="26">
        <v>147.68</v>
      </c>
      <c r="AD27" s="26">
        <v>36.92</v>
      </c>
      <c r="AE27" s="25">
        <v>3607</v>
      </c>
      <c r="AF27" s="25">
        <v>252</v>
      </c>
      <c r="AG27" s="24">
        <f t="shared" si="26"/>
        <v>1027.3200000000002</v>
      </c>
      <c r="AH27" s="29"/>
      <c r="AI27" s="29"/>
      <c r="AJ27" s="29"/>
      <c r="AK27" s="24">
        <f t="shared" si="2"/>
        <v>4614.7800000000007</v>
      </c>
      <c r="AL27" s="25">
        <v>7384</v>
      </c>
      <c r="AM27" s="25">
        <v>3607</v>
      </c>
      <c r="AN27" s="25">
        <f t="shared" si="27"/>
        <v>1181.44</v>
      </c>
      <c r="AO27" s="25">
        <f t="shared" si="29"/>
        <v>664.56</v>
      </c>
      <c r="AP27" s="25">
        <f t="shared" si="28"/>
        <v>36.92</v>
      </c>
      <c r="AQ27" s="25">
        <v>14.77</v>
      </c>
      <c r="AR27" s="25"/>
      <c r="AS27" s="25">
        <f t="shared" si="5"/>
        <v>252</v>
      </c>
      <c r="AT27" s="25">
        <f t="shared" si="6"/>
        <v>110.76</v>
      </c>
      <c r="AU27" s="24">
        <f t="shared" si="7"/>
        <v>2260.4500000000003</v>
      </c>
      <c r="AV27" s="24">
        <f>VLOOKUP(D27,[2]布列吉绩效清单!$F$7:$W$27,18,0)</f>
        <v>100</v>
      </c>
      <c r="AW27" s="24">
        <f t="shared" si="8"/>
        <v>8002.5500000000011</v>
      </c>
      <c r="AX27" s="37"/>
      <c r="AY27" s="37"/>
      <c r="AZ27" s="38"/>
      <c r="BA27" s="24">
        <v>255</v>
      </c>
      <c r="BB27" s="42">
        <f t="shared" si="12"/>
        <v>8257.5499999999993</v>
      </c>
      <c r="BC27" s="24">
        <f t="shared" si="9"/>
        <v>495.45</v>
      </c>
      <c r="BD27" s="24">
        <f t="shared" si="10"/>
        <v>8753</v>
      </c>
      <c r="BE27" s="34">
        <f t="shared" si="13"/>
        <v>95</v>
      </c>
      <c r="BH27" s="44"/>
    </row>
    <row r="28" spans="1:60" s="3" customFormat="1" ht="15" customHeight="1" x14ac:dyDescent="0.25">
      <c r="A28" s="10">
        <f t="shared" si="11"/>
        <v>26</v>
      </c>
      <c r="B28" s="11">
        <v>2503</v>
      </c>
      <c r="C28" s="11" t="s">
        <v>163</v>
      </c>
      <c r="D28" s="10" t="s">
        <v>164</v>
      </c>
      <c r="E28" s="16" t="s">
        <v>165</v>
      </c>
      <c r="F28" s="17">
        <v>45444</v>
      </c>
      <c r="G28" s="17">
        <v>45808</v>
      </c>
      <c r="H28" s="10"/>
      <c r="I28" s="20" t="s">
        <v>98</v>
      </c>
      <c r="J28" s="21">
        <v>1030</v>
      </c>
      <c r="K28" s="21">
        <v>9760.7999999999993</v>
      </c>
      <c r="L28" s="21">
        <v>2010.5</v>
      </c>
      <c r="M28" s="21"/>
      <c r="N28" s="21"/>
      <c r="O28" s="21"/>
      <c r="P28" s="21"/>
      <c r="Q28" s="21">
        <v>630</v>
      </c>
      <c r="R28" s="21"/>
      <c r="S28" s="21"/>
      <c r="T28" s="21"/>
      <c r="U28" s="21"/>
      <c r="V28" s="21"/>
      <c r="W28" s="21"/>
      <c r="X28" s="21" t="s">
        <v>212</v>
      </c>
      <c r="Y28" s="21">
        <v>0</v>
      </c>
      <c r="Z28" s="24">
        <f t="shared" si="25"/>
        <v>13431.3</v>
      </c>
      <c r="AA28" s="25">
        <v>7384</v>
      </c>
      <c r="AB28" s="26">
        <v>590.72</v>
      </c>
      <c r="AC28" s="26">
        <v>147.68</v>
      </c>
      <c r="AD28" s="26">
        <v>36.92</v>
      </c>
      <c r="AE28" s="25">
        <v>6207</v>
      </c>
      <c r="AF28" s="25">
        <v>434</v>
      </c>
      <c r="AG28" s="24">
        <f t="shared" si="26"/>
        <v>1209.3200000000002</v>
      </c>
      <c r="AH28" s="29"/>
      <c r="AI28" s="29"/>
      <c r="AJ28" s="29"/>
      <c r="AK28" s="24">
        <f t="shared" si="2"/>
        <v>12221.98</v>
      </c>
      <c r="AL28" s="25">
        <v>7384</v>
      </c>
      <c r="AM28" s="25">
        <v>6207</v>
      </c>
      <c r="AN28" s="25">
        <f t="shared" si="27"/>
        <v>1181.44</v>
      </c>
      <c r="AO28" s="25">
        <f t="shared" si="29"/>
        <v>664.56</v>
      </c>
      <c r="AP28" s="25">
        <f t="shared" si="28"/>
        <v>36.92</v>
      </c>
      <c r="AQ28" s="25">
        <v>14.77</v>
      </c>
      <c r="AR28" s="25"/>
      <c r="AS28" s="25">
        <f t="shared" si="5"/>
        <v>434</v>
      </c>
      <c r="AT28" s="25">
        <f t="shared" si="6"/>
        <v>110.76</v>
      </c>
      <c r="AU28" s="24">
        <f t="shared" si="7"/>
        <v>2442.4500000000003</v>
      </c>
      <c r="AV28" s="24">
        <f>VLOOKUP(D28,[2]布列吉绩效清单!$F$7:$W$27,18,0)</f>
        <v>256</v>
      </c>
      <c r="AW28" s="24">
        <f t="shared" si="8"/>
        <v>16129.75</v>
      </c>
      <c r="AX28" s="37">
        <v>805.42</v>
      </c>
      <c r="AY28" s="37"/>
      <c r="AZ28" s="38" t="s">
        <v>215</v>
      </c>
      <c r="BA28" s="24">
        <v>255</v>
      </c>
      <c r="BB28" s="42">
        <f t="shared" si="12"/>
        <v>17190.169999999998</v>
      </c>
      <c r="BC28" s="24">
        <f t="shared" si="9"/>
        <v>1031.4100000000001</v>
      </c>
      <c r="BD28" s="24">
        <f t="shared" si="10"/>
        <v>18221.580000000002</v>
      </c>
      <c r="BE28" s="34">
        <f t="shared" si="13"/>
        <v>251</v>
      </c>
      <c r="BH28" s="44"/>
    </row>
    <row r="29" spans="1:60" s="3" customFormat="1" ht="15" customHeight="1" x14ac:dyDescent="0.25">
      <c r="A29" s="10">
        <f t="shared" si="11"/>
        <v>27</v>
      </c>
      <c r="B29" s="11">
        <v>2503</v>
      </c>
      <c r="C29" s="11" t="s">
        <v>166</v>
      </c>
      <c r="D29" s="12" t="s">
        <v>167</v>
      </c>
      <c r="E29" s="16" t="s">
        <v>168</v>
      </c>
      <c r="F29" s="17">
        <v>45444</v>
      </c>
      <c r="G29" s="17">
        <v>45808</v>
      </c>
      <c r="H29" s="10"/>
      <c r="I29" s="20" t="s">
        <v>98</v>
      </c>
      <c r="J29" s="21">
        <v>950</v>
      </c>
      <c r="K29" s="21">
        <v>1887.6</v>
      </c>
      <c r="L29" s="21">
        <v>1239.5</v>
      </c>
      <c r="M29" s="21"/>
      <c r="N29" s="21"/>
      <c r="O29" s="21"/>
      <c r="P29" s="21"/>
      <c r="Q29" s="21">
        <v>630</v>
      </c>
      <c r="R29" s="21"/>
      <c r="S29" s="21"/>
      <c r="T29" s="21"/>
      <c r="U29" s="21"/>
      <c r="V29" s="21"/>
      <c r="W29" s="21"/>
      <c r="X29" s="21" t="s">
        <v>212</v>
      </c>
      <c r="Y29" s="21">
        <v>-93.11</v>
      </c>
      <c r="Z29" s="24">
        <f t="shared" si="25"/>
        <v>4613.9900000000007</v>
      </c>
      <c r="AA29" s="25">
        <v>7384</v>
      </c>
      <c r="AB29" s="26">
        <v>590.72</v>
      </c>
      <c r="AC29" s="26">
        <v>147.68</v>
      </c>
      <c r="AD29" s="26">
        <v>36.92</v>
      </c>
      <c r="AE29" s="25">
        <v>4997</v>
      </c>
      <c r="AF29" s="25">
        <v>350</v>
      </c>
      <c r="AG29" s="24">
        <f t="shared" si="26"/>
        <v>1125.3200000000002</v>
      </c>
      <c r="AH29" s="29"/>
      <c r="AI29" s="29"/>
      <c r="AJ29" s="29"/>
      <c r="AK29" s="24">
        <f t="shared" si="2"/>
        <v>3488.6700000000005</v>
      </c>
      <c r="AL29" s="25">
        <v>7384</v>
      </c>
      <c r="AM29" s="25">
        <v>4997</v>
      </c>
      <c r="AN29" s="25">
        <f t="shared" si="27"/>
        <v>1181.44</v>
      </c>
      <c r="AO29" s="25">
        <f t="shared" si="29"/>
        <v>664.56</v>
      </c>
      <c r="AP29" s="25">
        <f t="shared" si="28"/>
        <v>36.92</v>
      </c>
      <c r="AQ29" s="25">
        <v>14.77</v>
      </c>
      <c r="AR29" s="25"/>
      <c r="AS29" s="25">
        <f t="shared" si="5"/>
        <v>350</v>
      </c>
      <c r="AT29" s="25">
        <f t="shared" si="6"/>
        <v>110.76</v>
      </c>
      <c r="AU29" s="24">
        <f t="shared" si="7"/>
        <v>2358.4500000000003</v>
      </c>
      <c r="AV29" s="24">
        <f>VLOOKUP(D29,[2]布列吉绩效清单!$F$7:$W$27,18,0)</f>
        <v>80</v>
      </c>
      <c r="AW29" s="24">
        <f t="shared" si="8"/>
        <v>7052.4400000000005</v>
      </c>
      <c r="AX29" s="37">
        <v>1148.07</v>
      </c>
      <c r="AY29" s="37"/>
      <c r="AZ29" s="38" t="s">
        <v>215</v>
      </c>
      <c r="BA29" s="24">
        <v>255</v>
      </c>
      <c r="BB29" s="42">
        <f t="shared" si="12"/>
        <v>8455.51</v>
      </c>
      <c r="BC29" s="24">
        <f t="shared" si="9"/>
        <v>507.33</v>
      </c>
      <c r="BD29" s="24">
        <f t="shared" si="10"/>
        <v>8962.84</v>
      </c>
      <c r="BE29" s="34">
        <f t="shared" si="13"/>
        <v>75</v>
      </c>
      <c r="BH29" s="44"/>
    </row>
    <row r="30" spans="1:60" s="3" customFormat="1" ht="15" customHeight="1" x14ac:dyDescent="0.25">
      <c r="A30" s="10">
        <f t="shared" si="11"/>
        <v>28</v>
      </c>
      <c r="B30" s="11">
        <v>2503</v>
      </c>
      <c r="C30" s="11" t="s">
        <v>169</v>
      </c>
      <c r="D30" s="10" t="s">
        <v>170</v>
      </c>
      <c r="E30" s="16" t="s">
        <v>171</v>
      </c>
      <c r="F30" s="17">
        <v>45444</v>
      </c>
      <c r="G30" s="17">
        <v>45808</v>
      </c>
      <c r="H30" s="10"/>
      <c r="I30" s="20" t="s">
        <v>98</v>
      </c>
      <c r="J30" s="21">
        <v>1030</v>
      </c>
      <c r="K30" s="21">
        <v>14481.1</v>
      </c>
      <c r="L30" s="21">
        <v>2710.5</v>
      </c>
      <c r="M30" s="21"/>
      <c r="N30" s="21"/>
      <c r="O30" s="21"/>
      <c r="P30" s="21"/>
      <c r="Q30" s="21">
        <v>630</v>
      </c>
      <c r="R30" s="21"/>
      <c r="S30" s="21"/>
      <c r="T30" s="21"/>
      <c r="U30" s="21"/>
      <c r="V30" s="21"/>
      <c r="W30" s="21"/>
      <c r="X30" s="21" t="s">
        <v>212</v>
      </c>
      <c r="Y30" s="21">
        <v>0</v>
      </c>
      <c r="Z30" s="24">
        <f t="shared" si="25"/>
        <v>18851.599999999999</v>
      </c>
      <c r="AA30" s="25">
        <v>11395</v>
      </c>
      <c r="AB30" s="26">
        <v>911.6</v>
      </c>
      <c r="AC30" s="26">
        <v>227.9</v>
      </c>
      <c r="AD30" s="26">
        <v>56.98</v>
      </c>
      <c r="AE30" s="25">
        <v>11395</v>
      </c>
      <c r="AF30" s="25">
        <v>798</v>
      </c>
      <c r="AG30" s="24">
        <f t="shared" si="26"/>
        <v>1994.48</v>
      </c>
      <c r="AH30" s="29"/>
      <c r="AI30" s="29"/>
      <c r="AJ30" s="29"/>
      <c r="AK30" s="24">
        <f t="shared" si="2"/>
        <v>16857.12</v>
      </c>
      <c r="AL30" s="25">
        <v>11395</v>
      </c>
      <c r="AM30" s="25">
        <v>11395</v>
      </c>
      <c r="AN30" s="25">
        <f t="shared" si="27"/>
        <v>1823.2</v>
      </c>
      <c r="AO30" s="25">
        <v>1025.56</v>
      </c>
      <c r="AP30" s="25">
        <f t="shared" si="28"/>
        <v>56.98</v>
      </c>
      <c r="AQ30" s="25">
        <v>22.79</v>
      </c>
      <c r="AR30" s="25"/>
      <c r="AS30" s="25">
        <f t="shared" si="5"/>
        <v>798</v>
      </c>
      <c r="AT30" s="25">
        <f t="shared" si="6"/>
        <v>170.93</v>
      </c>
      <c r="AU30" s="24">
        <f t="shared" si="7"/>
        <v>3897.46</v>
      </c>
      <c r="AV30" s="24">
        <f>VLOOKUP(D30,[2]布列吉绩效清单!$F$7:$W$27,18,0)</f>
        <v>364</v>
      </c>
      <c r="AW30" s="24">
        <f t="shared" si="8"/>
        <v>23113.059999999998</v>
      </c>
      <c r="AX30" s="37"/>
      <c r="AY30" s="37"/>
      <c r="AZ30" s="38"/>
      <c r="BA30" s="24">
        <v>255</v>
      </c>
      <c r="BB30" s="42">
        <f t="shared" si="12"/>
        <v>23368.06</v>
      </c>
      <c r="BC30" s="24">
        <f t="shared" si="9"/>
        <v>1402.08</v>
      </c>
      <c r="BD30" s="24">
        <f t="shared" si="10"/>
        <v>24770.14</v>
      </c>
      <c r="BE30" s="34">
        <f t="shared" si="13"/>
        <v>359</v>
      </c>
      <c r="BH30" s="44"/>
    </row>
    <row r="31" spans="1:60" s="3" customFormat="1" ht="15" customHeight="1" x14ac:dyDescent="0.25">
      <c r="A31" s="10">
        <f t="shared" si="11"/>
        <v>29</v>
      </c>
      <c r="B31" s="11">
        <v>2503</v>
      </c>
      <c r="C31" s="11" t="s">
        <v>172</v>
      </c>
      <c r="D31" s="10" t="s">
        <v>173</v>
      </c>
      <c r="E31" s="16" t="s">
        <v>174</v>
      </c>
      <c r="F31" s="17">
        <v>45444</v>
      </c>
      <c r="G31" s="17">
        <v>45808</v>
      </c>
      <c r="H31" s="10"/>
      <c r="I31" s="20" t="s">
        <v>98</v>
      </c>
      <c r="J31" s="21">
        <v>1400</v>
      </c>
      <c r="K31" s="21">
        <v>12845.6</v>
      </c>
      <c r="L31" s="21">
        <v>829.5</v>
      </c>
      <c r="M31" s="21"/>
      <c r="N31" s="21"/>
      <c r="O31" s="21"/>
      <c r="P31" s="21"/>
      <c r="Q31" s="21">
        <v>630</v>
      </c>
      <c r="R31" s="21"/>
      <c r="S31" s="21"/>
      <c r="T31" s="21"/>
      <c r="U31" s="21"/>
      <c r="V31" s="21"/>
      <c r="W31" s="21"/>
      <c r="X31" s="21" t="s">
        <v>212</v>
      </c>
      <c r="Y31" s="21">
        <v>-2033.81</v>
      </c>
      <c r="Z31" s="24">
        <f t="shared" si="25"/>
        <v>13671.29</v>
      </c>
      <c r="AA31" s="25">
        <v>7384</v>
      </c>
      <c r="AB31" s="26">
        <v>590.72</v>
      </c>
      <c r="AC31" s="26">
        <v>147.68</v>
      </c>
      <c r="AD31" s="26">
        <v>36.92</v>
      </c>
      <c r="AE31" s="25">
        <v>6844</v>
      </c>
      <c r="AF31" s="25">
        <v>479</v>
      </c>
      <c r="AG31" s="24">
        <f t="shared" si="26"/>
        <v>1254.3200000000002</v>
      </c>
      <c r="AH31" s="29"/>
      <c r="AI31" s="29"/>
      <c r="AJ31" s="29"/>
      <c r="AK31" s="24">
        <f t="shared" si="2"/>
        <v>12416.970000000001</v>
      </c>
      <c r="AL31" s="25">
        <v>7384</v>
      </c>
      <c r="AM31" s="25">
        <v>6844</v>
      </c>
      <c r="AN31" s="25">
        <f t="shared" si="27"/>
        <v>1181.44</v>
      </c>
      <c r="AO31" s="25">
        <f t="shared" si="29"/>
        <v>664.56</v>
      </c>
      <c r="AP31" s="25">
        <f t="shared" si="28"/>
        <v>36.92</v>
      </c>
      <c r="AQ31" s="25">
        <v>14.77</v>
      </c>
      <c r="AR31" s="25"/>
      <c r="AS31" s="25">
        <f t="shared" si="5"/>
        <v>479</v>
      </c>
      <c r="AT31" s="25">
        <f t="shared" si="6"/>
        <v>110.76</v>
      </c>
      <c r="AU31" s="24">
        <f t="shared" si="7"/>
        <v>2487.4500000000003</v>
      </c>
      <c r="AV31" s="24">
        <f>VLOOKUP(D31,[2]布列吉绩效清单!$F$7:$W$27,18,0)</f>
        <v>261</v>
      </c>
      <c r="AW31" s="24">
        <f t="shared" si="8"/>
        <v>16419.740000000002</v>
      </c>
      <c r="AX31" s="37"/>
      <c r="AY31" s="37"/>
      <c r="AZ31" s="38"/>
      <c r="BA31" s="24">
        <v>255</v>
      </c>
      <c r="BB31" s="42">
        <f t="shared" si="12"/>
        <v>16674.740000000002</v>
      </c>
      <c r="BC31" s="24">
        <f t="shared" si="9"/>
        <v>1000.48</v>
      </c>
      <c r="BD31" s="24">
        <f t="shared" si="10"/>
        <v>17675.22</v>
      </c>
      <c r="BE31" s="34">
        <f t="shared" si="13"/>
        <v>256</v>
      </c>
      <c r="BH31" s="44"/>
    </row>
    <row r="32" spans="1:60" s="3" customFormat="1" ht="15" customHeight="1" x14ac:dyDescent="0.25">
      <c r="A32" s="10">
        <f t="shared" si="11"/>
        <v>30</v>
      </c>
      <c r="B32" s="11">
        <v>2503</v>
      </c>
      <c r="C32" s="11" t="s">
        <v>175</v>
      </c>
      <c r="D32" s="10" t="s">
        <v>176</v>
      </c>
      <c r="E32" s="16" t="s">
        <v>177</v>
      </c>
      <c r="F32" s="17">
        <v>45444</v>
      </c>
      <c r="G32" s="17">
        <v>45808</v>
      </c>
      <c r="H32" s="10"/>
      <c r="I32" s="20" t="s">
        <v>98</v>
      </c>
      <c r="J32" s="21">
        <v>1300</v>
      </c>
      <c r="K32" s="21">
        <v>7607.6</v>
      </c>
      <c r="L32" s="21">
        <v>2057.5</v>
      </c>
      <c r="M32" s="21"/>
      <c r="N32" s="21"/>
      <c r="O32" s="21"/>
      <c r="P32" s="21"/>
      <c r="Q32" s="21">
        <v>630</v>
      </c>
      <c r="R32" s="21"/>
      <c r="S32" s="21"/>
      <c r="T32" s="21"/>
      <c r="U32" s="21"/>
      <c r="V32" s="21"/>
      <c r="W32" s="21"/>
      <c r="X32" s="21" t="s">
        <v>212</v>
      </c>
      <c r="Y32" s="21">
        <v>-47.31</v>
      </c>
      <c r="Z32" s="24">
        <f t="shared" si="25"/>
        <v>11547.79</v>
      </c>
      <c r="AA32" s="25">
        <v>7384</v>
      </c>
      <c r="AB32" s="26">
        <v>590.72</v>
      </c>
      <c r="AC32" s="26">
        <v>147.68</v>
      </c>
      <c r="AD32" s="26">
        <v>36.92</v>
      </c>
      <c r="AE32" s="25">
        <v>5131</v>
      </c>
      <c r="AF32" s="25">
        <v>359</v>
      </c>
      <c r="AG32" s="24">
        <f t="shared" si="26"/>
        <v>1134.3200000000002</v>
      </c>
      <c r="AH32" s="29"/>
      <c r="AI32" s="29"/>
      <c r="AJ32" s="29"/>
      <c r="AK32" s="24">
        <f t="shared" si="2"/>
        <v>10413.470000000001</v>
      </c>
      <c r="AL32" s="25">
        <v>7384</v>
      </c>
      <c r="AM32" s="25">
        <v>5131</v>
      </c>
      <c r="AN32" s="25">
        <f t="shared" si="27"/>
        <v>1181.44</v>
      </c>
      <c r="AO32" s="25">
        <f t="shared" si="29"/>
        <v>664.56</v>
      </c>
      <c r="AP32" s="25">
        <f t="shared" si="28"/>
        <v>36.92</v>
      </c>
      <c r="AQ32" s="25">
        <v>14.77</v>
      </c>
      <c r="AR32" s="25"/>
      <c r="AS32" s="25">
        <f t="shared" si="5"/>
        <v>359</v>
      </c>
      <c r="AT32" s="25">
        <f t="shared" si="6"/>
        <v>110.76</v>
      </c>
      <c r="AU32" s="24">
        <f t="shared" si="7"/>
        <v>2367.4500000000003</v>
      </c>
      <c r="AV32" s="24">
        <f>VLOOKUP(D32,[2]布列吉绩效清单!$F$7:$W$27,18,0)</f>
        <v>218</v>
      </c>
      <c r="AW32" s="24">
        <f t="shared" si="8"/>
        <v>14133.240000000002</v>
      </c>
      <c r="AX32" s="37">
        <v>307.32</v>
      </c>
      <c r="AY32" s="37"/>
      <c r="AZ32" s="38" t="s">
        <v>215</v>
      </c>
      <c r="BA32" s="24">
        <v>255</v>
      </c>
      <c r="BB32" s="42">
        <f t="shared" si="12"/>
        <v>14695.56</v>
      </c>
      <c r="BC32" s="24">
        <f t="shared" si="9"/>
        <v>881.73</v>
      </c>
      <c r="BD32" s="24">
        <f t="shared" si="10"/>
        <v>15577.29</v>
      </c>
      <c r="BE32" s="34">
        <f t="shared" si="13"/>
        <v>213</v>
      </c>
      <c r="BH32" s="44"/>
    </row>
    <row r="33" spans="1:60" s="3" customFormat="1" ht="15" customHeight="1" x14ac:dyDescent="0.25">
      <c r="A33" s="10">
        <f t="shared" si="11"/>
        <v>31</v>
      </c>
      <c r="B33" s="11">
        <v>2503</v>
      </c>
      <c r="C33" s="11" t="s">
        <v>178</v>
      </c>
      <c r="D33" s="10" t="s">
        <v>179</v>
      </c>
      <c r="E33" s="16" t="s">
        <v>180</v>
      </c>
      <c r="F33" s="17">
        <v>45444</v>
      </c>
      <c r="G33" s="17">
        <v>45808</v>
      </c>
      <c r="H33" s="10"/>
      <c r="I33" s="20" t="s">
        <v>98</v>
      </c>
      <c r="J33" s="21">
        <v>1030</v>
      </c>
      <c r="K33" s="21">
        <v>5722.6</v>
      </c>
      <c r="L33" s="21">
        <v>1118.5999999999999</v>
      </c>
      <c r="M33" s="21"/>
      <c r="N33" s="21"/>
      <c r="O33" s="21"/>
      <c r="P33" s="21"/>
      <c r="Q33" s="21">
        <v>630</v>
      </c>
      <c r="R33" s="21"/>
      <c r="S33" s="21"/>
      <c r="T33" s="21"/>
      <c r="U33" s="21"/>
      <c r="V33" s="21"/>
      <c r="W33" s="21"/>
      <c r="X33" s="21" t="s">
        <v>212</v>
      </c>
      <c r="Y33" s="21">
        <v>-350</v>
      </c>
      <c r="Z33" s="24">
        <f t="shared" si="25"/>
        <v>8151.2000000000007</v>
      </c>
      <c r="AA33" s="25">
        <v>7384</v>
      </c>
      <c r="AB33" s="26">
        <v>590.72</v>
      </c>
      <c r="AC33" s="26">
        <v>147.68</v>
      </c>
      <c r="AD33" s="26">
        <v>36.92</v>
      </c>
      <c r="AE33" s="25">
        <v>4082</v>
      </c>
      <c r="AF33" s="25">
        <v>286</v>
      </c>
      <c r="AG33" s="24">
        <f t="shared" si="26"/>
        <v>1061.3200000000002</v>
      </c>
      <c r="AH33" s="29"/>
      <c r="AI33" s="29"/>
      <c r="AJ33" s="29"/>
      <c r="AK33" s="24">
        <f t="shared" si="2"/>
        <v>7089.880000000001</v>
      </c>
      <c r="AL33" s="25">
        <v>7384</v>
      </c>
      <c r="AM33" s="25">
        <v>4082</v>
      </c>
      <c r="AN33" s="25">
        <f t="shared" si="27"/>
        <v>1181.44</v>
      </c>
      <c r="AO33" s="25">
        <f t="shared" si="29"/>
        <v>664.56</v>
      </c>
      <c r="AP33" s="25">
        <f t="shared" si="28"/>
        <v>36.92</v>
      </c>
      <c r="AQ33" s="25">
        <v>14.77</v>
      </c>
      <c r="AR33" s="25"/>
      <c r="AS33" s="25">
        <f t="shared" si="5"/>
        <v>286</v>
      </c>
      <c r="AT33" s="25">
        <f t="shared" si="6"/>
        <v>110.76</v>
      </c>
      <c r="AU33" s="24">
        <f t="shared" si="7"/>
        <v>2294.4500000000003</v>
      </c>
      <c r="AV33" s="24">
        <f>VLOOKUP(D33,[2]布列吉绩效清单!$F$7:$W$27,18,0)</f>
        <v>150</v>
      </c>
      <c r="AW33" s="24">
        <f t="shared" si="8"/>
        <v>10595.650000000001</v>
      </c>
      <c r="AX33" s="37"/>
      <c r="AY33" s="37"/>
      <c r="AZ33" s="38"/>
      <c r="BA33" s="24">
        <v>255</v>
      </c>
      <c r="BB33" s="42">
        <f t="shared" si="12"/>
        <v>10850.65</v>
      </c>
      <c r="BC33" s="24">
        <f t="shared" si="9"/>
        <v>651.04</v>
      </c>
      <c r="BD33" s="24">
        <f t="shared" si="10"/>
        <v>11501.69</v>
      </c>
      <c r="BE33" s="34">
        <f t="shared" si="13"/>
        <v>145</v>
      </c>
      <c r="BH33" s="44"/>
    </row>
    <row r="34" spans="1:60" s="3" customFormat="1" ht="14.4" customHeight="1" x14ac:dyDescent="0.25">
      <c r="A34" s="10">
        <f t="shared" si="11"/>
        <v>32</v>
      </c>
      <c r="B34" s="11">
        <v>2503</v>
      </c>
      <c r="C34" s="11" t="s">
        <v>181</v>
      </c>
      <c r="D34" s="10" t="s">
        <v>182</v>
      </c>
      <c r="E34" s="16" t="s">
        <v>183</v>
      </c>
      <c r="F34" s="17">
        <v>45444</v>
      </c>
      <c r="G34" s="17">
        <v>45808</v>
      </c>
      <c r="H34" s="10"/>
      <c r="I34" s="20" t="s">
        <v>98</v>
      </c>
      <c r="J34" s="21">
        <v>950</v>
      </c>
      <c r="K34" s="21">
        <v>7971.6</v>
      </c>
      <c r="L34" s="21">
        <v>1207.4000000000001</v>
      </c>
      <c r="M34" s="21"/>
      <c r="N34" s="21"/>
      <c r="O34" s="21"/>
      <c r="P34" s="21"/>
      <c r="Q34" s="21">
        <v>630</v>
      </c>
      <c r="R34" s="21"/>
      <c r="S34" s="21"/>
      <c r="T34" s="21"/>
      <c r="U34" s="21"/>
      <c r="V34" s="21"/>
      <c r="W34" s="21"/>
      <c r="X34" s="21" t="s">
        <v>212</v>
      </c>
      <c r="Y34" s="21">
        <v>-45</v>
      </c>
      <c r="Z34" s="24">
        <f t="shared" si="25"/>
        <v>10714</v>
      </c>
      <c r="AA34" s="25">
        <v>7384</v>
      </c>
      <c r="AB34" s="26">
        <v>590.72</v>
      </c>
      <c r="AC34" s="26">
        <v>147.68</v>
      </c>
      <c r="AD34" s="26">
        <v>36.92</v>
      </c>
      <c r="AE34" s="25">
        <v>4035</v>
      </c>
      <c r="AF34" s="25">
        <v>282</v>
      </c>
      <c r="AG34" s="24">
        <f t="shared" si="26"/>
        <v>1057.3200000000002</v>
      </c>
      <c r="AH34" s="29"/>
      <c r="AI34" s="29"/>
      <c r="AJ34" s="29"/>
      <c r="AK34" s="24">
        <f t="shared" si="2"/>
        <v>9656.68</v>
      </c>
      <c r="AL34" s="25">
        <v>7384</v>
      </c>
      <c r="AM34" s="25">
        <v>4035</v>
      </c>
      <c r="AN34" s="25">
        <f t="shared" si="27"/>
        <v>1181.44</v>
      </c>
      <c r="AO34" s="25">
        <f t="shared" si="29"/>
        <v>664.56</v>
      </c>
      <c r="AP34" s="25">
        <f t="shared" si="28"/>
        <v>36.92</v>
      </c>
      <c r="AQ34" s="25">
        <v>14.77</v>
      </c>
      <c r="AR34" s="25"/>
      <c r="AS34" s="25">
        <f t="shared" si="5"/>
        <v>282</v>
      </c>
      <c r="AT34" s="25">
        <f t="shared" si="6"/>
        <v>110.76</v>
      </c>
      <c r="AU34" s="24">
        <f t="shared" si="7"/>
        <v>2290.4500000000003</v>
      </c>
      <c r="AV34" s="24">
        <f>VLOOKUP(D34,[2]布列吉绩效清单!$F$7:$W$27,18,0)</f>
        <v>202</v>
      </c>
      <c r="AW34" s="24">
        <f t="shared" si="8"/>
        <v>13206.45</v>
      </c>
      <c r="AX34" s="37"/>
      <c r="AY34" s="37"/>
      <c r="AZ34" s="38"/>
      <c r="BA34" s="24">
        <v>255</v>
      </c>
      <c r="BB34" s="42">
        <f t="shared" si="12"/>
        <v>13461.45</v>
      </c>
      <c r="BC34" s="24">
        <f t="shared" si="9"/>
        <v>807.69</v>
      </c>
      <c r="BD34" s="24">
        <f t="shared" si="10"/>
        <v>14269.14</v>
      </c>
      <c r="BE34" s="34">
        <f t="shared" si="13"/>
        <v>197</v>
      </c>
      <c r="BH34" s="44"/>
    </row>
    <row r="35" spans="1:60" s="3" customFormat="1" ht="15" customHeight="1" x14ac:dyDescent="0.25">
      <c r="A35" s="10">
        <f t="shared" si="11"/>
        <v>33</v>
      </c>
      <c r="B35" s="11">
        <v>2503</v>
      </c>
      <c r="C35" s="11" t="s">
        <v>184</v>
      </c>
      <c r="D35" s="10" t="s">
        <v>185</v>
      </c>
      <c r="E35" s="16" t="s">
        <v>186</v>
      </c>
      <c r="F35" s="17">
        <v>45444</v>
      </c>
      <c r="G35" s="17">
        <v>45808</v>
      </c>
      <c r="H35" s="10"/>
      <c r="I35" s="20" t="s">
        <v>98</v>
      </c>
      <c r="J35" s="21">
        <v>1030</v>
      </c>
      <c r="K35" s="21">
        <v>3594</v>
      </c>
      <c r="L35" s="21">
        <v>785.5</v>
      </c>
      <c r="M35" s="21"/>
      <c r="N35" s="21"/>
      <c r="O35" s="21"/>
      <c r="P35" s="21"/>
      <c r="Q35" s="21">
        <v>369.27</v>
      </c>
      <c r="R35" s="21"/>
      <c r="S35" s="21"/>
      <c r="T35" s="21"/>
      <c r="U35" s="21"/>
      <c r="V35" s="21"/>
      <c r="W35" s="21"/>
      <c r="X35" s="21">
        <v>547.87000000000035</v>
      </c>
      <c r="Y35" s="21">
        <v>-1977.05</v>
      </c>
      <c r="Z35" s="24">
        <f t="shared" si="25"/>
        <v>4349.5900000000011</v>
      </c>
      <c r="AA35" s="25">
        <v>7384</v>
      </c>
      <c r="AB35" s="26">
        <v>590.72</v>
      </c>
      <c r="AC35" s="26">
        <v>147.68</v>
      </c>
      <c r="AD35" s="26">
        <v>36.92</v>
      </c>
      <c r="AE35" s="25">
        <v>7287</v>
      </c>
      <c r="AF35" s="25">
        <v>510</v>
      </c>
      <c r="AG35" s="24">
        <f t="shared" si="26"/>
        <v>1285.3200000000002</v>
      </c>
      <c r="AH35" s="29"/>
      <c r="AI35" s="29"/>
      <c r="AJ35" s="29"/>
      <c r="AK35" s="24">
        <f t="shared" si="2"/>
        <v>3064.2700000000009</v>
      </c>
      <c r="AL35" s="25">
        <v>7384</v>
      </c>
      <c r="AM35" s="25">
        <v>7287</v>
      </c>
      <c r="AN35" s="25">
        <f t="shared" si="27"/>
        <v>1181.44</v>
      </c>
      <c r="AO35" s="25">
        <f t="shared" si="29"/>
        <v>664.56</v>
      </c>
      <c r="AP35" s="25">
        <f t="shared" si="28"/>
        <v>36.92</v>
      </c>
      <c r="AQ35" s="25">
        <v>14.77</v>
      </c>
      <c r="AR35" s="25"/>
      <c r="AS35" s="25">
        <f t="shared" si="5"/>
        <v>510</v>
      </c>
      <c r="AT35" s="25">
        <f t="shared" si="6"/>
        <v>110.76</v>
      </c>
      <c r="AU35" s="24">
        <f t="shared" si="7"/>
        <v>2518.4500000000003</v>
      </c>
      <c r="AV35" s="24">
        <f>VLOOKUP(D35,[2]布列吉绩效清单!$F$7:$W$27,18,0)</f>
        <v>69</v>
      </c>
      <c r="AW35" s="24">
        <f t="shared" si="8"/>
        <v>6937.0400000000009</v>
      </c>
      <c r="AX35" s="37"/>
      <c r="AY35" s="37">
        <f>-X35</f>
        <v>-547.87000000000035</v>
      </c>
      <c r="AZ35" s="45" t="s">
        <v>217</v>
      </c>
      <c r="BA35" s="24">
        <v>255</v>
      </c>
      <c r="BB35" s="42">
        <f t="shared" si="12"/>
        <v>6644.17</v>
      </c>
      <c r="BC35" s="24">
        <f t="shared" si="9"/>
        <v>398.65</v>
      </c>
      <c r="BD35" s="24">
        <f t="shared" si="10"/>
        <v>7042.82</v>
      </c>
      <c r="BE35" s="34">
        <f t="shared" si="13"/>
        <v>64</v>
      </c>
      <c r="BH35" s="44"/>
    </row>
    <row r="36" spans="1:60" s="3" customFormat="1" ht="15" customHeight="1" x14ac:dyDescent="0.25">
      <c r="A36" s="10">
        <f t="shared" si="11"/>
        <v>34</v>
      </c>
      <c r="B36" s="11">
        <v>2503</v>
      </c>
      <c r="C36" s="11" t="s">
        <v>187</v>
      </c>
      <c r="D36" s="10" t="s">
        <v>188</v>
      </c>
      <c r="E36" s="16" t="s">
        <v>189</v>
      </c>
      <c r="F36" s="17">
        <v>45444</v>
      </c>
      <c r="G36" s="17">
        <v>45808</v>
      </c>
      <c r="H36" s="10"/>
      <c r="I36" s="20" t="s">
        <v>98</v>
      </c>
      <c r="J36" s="21">
        <v>1300</v>
      </c>
      <c r="K36" s="21">
        <v>1940</v>
      </c>
      <c r="L36" s="21">
        <v>1010.2</v>
      </c>
      <c r="M36" s="21"/>
      <c r="N36" s="21"/>
      <c r="O36" s="21"/>
      <c r="P36" s="21"/>
      <c r="Q36" s="21">
        <v>630</v>
      </c>
      <c r="R36" s="21"/>
      <c r="S36" s="21"/>
      <c r="T36" s="21"/>
      <c r="U36" s="21"/>
      <c r="V36" s="21"/>
      <c r="W36" s="21"/>
      <c r="X36" s="21">
        <v>1339.9300000000003</v>
      </c>
      <c r="Y36" s="21">
        <v>-1660.81</v>
      </c>
      <c r="Z36" s="24">
        <f t="shared" si="25"/>
        <v>4559.32</v>
      </c>
      <c r="AA36" s="25">
        <v>7384</v>
      </c>
      <c r="AB36" s="26">
        <v>590.72</v>
      </c>
      <c r="AC36" s="26">
        <v>147.68</v>
      </c>
      <c r="AD36" s="26">
        <v>36.92</v>
      </c>
      <c r="AE36" s="25">
        <v>6558</v>
      </c>
      <c r="AF36" s="25">
        <v>459</v>
      </c>
      <c r="AG36" s="24">
        <f t="shared" si="26"/>
        <v>1234.3200000000002</v>
      </c>
      <c r="AH36" s="29"/>
      <c r="AI36" s="29"/>
      <c r="AJ36" s="29"/>
      <c r="AK36" s="24">
        <f t="shared" si="2"/>
        <v>3324.9999999999995</v>
      </c>
      <c r="AL36" s="25">
        <v>7384</v>
      </c>
      <c r="AM36" s="25">
        <v>6558</v>
      </c>
      <c r="AN36" s="25">
        <f t="shared" si="27"/>
        <v>1181.44</v>
      </c>
      <c r="AO36" s="25">
        <f t="shared" si="29"/>
        <v>664.56</v>
      </c>
      <c r="AP36" s="25">
        <f t="shared" si="28"/>
        <v>36.92</v>
      </c>
      <c r="AQ36" s="25">
        <v>14.77</v>
      </c>
      <c r="AR36" s="25"/>
      <c r="AS36" s="25">
        <f t="shared" si="5"/>
        <v>459</v>
      </c>
      <c r="AT36" s="25">
        <f t="shared" si="6"/>
        <v>110.76</v>
      </c>
      <c r="AU36" s="24">
        <f t="shared" si="7"/>
        <v>2467.4500000000003</v>
      </c>
      <c r="AV36" s="24">
        <f>VLOOKUP(D36,[2]布列吉绩效清单!$F$7:$W$27,18,0)</f>
        <v>52</v>
      </c>
      <c r="AW36" s="24">
        <f t="shared" si="8"/>
        <v>7078.77</v>
      </c>
      <c r="AX36" s="37">
        <v>79.48</v>
      </c>
      <c r="AY36" s="37">
        <f>-X36</f>
        <v>-1339.9300000000003</v>
      </c>
      <c r="AZ36" s="38" t="s">
        <v>218</v>
      </c>
      <c r="BA36" s="24">
        <v>255</v>
      </c>
      <c r="BB36" s="42">
        <f>ROUND(AW36+BA36+AY36+AX36,2)</f>
        <v>6073.32</v>
      </c>
      <c r="BC36" s="24">
        <f t="shared" si="9"/>
        <v>364.4</v>
      </c>
      <c r="BD36" s="24">
        <f t="shared" si="10"/>
        <v>6437.72</v>
      </c>
      <c r="BE36" s="34">
        <f t="shared" si="13"/>
        <v>47</v>
      </c>
      <c r="BH36" s="44"/>
    </row>
    <row r="37" spans="1:60" s="3" customFormat="1" ht="15" customHeight="1" x14ac:dyDescent="0.25">
      <c r="A37" s="10">
        <f t="shared" si="11"/>
        <v>35</v>
      </c>
      <c r="B37" s="11">
        <v>2503</v>
      </c>
      <c r="C37" s="11" t="s">
        <v>190</v>
      </c>
      <c r="D37" s="10" t="s">
        <v>191</v>
      </c>
      <c r="E37" s="16" t="s">
        <v>192</v>
      </c>
      <c r="F37" s="17">
        <v>45444</v>
      </c>
      <c r="G37" s="17">
        <v>45808</v>
      </c>
      <c r="H37" s="10"/>
      <c r="I37" s="20" t="s">
        <v>98</v>
      </c>
      <c r="J37" s="21">
        <v>1030</v>
      </c>
      <c r="K37" s="21">
        <v>4966</v>
      </c>
      <c r="L37" s="21">
        <v>1699.5</v>
      </c>
      <c r="M37" s="21"/>
      <c r="N37" s="21"/>
      <c r="O37" s="21"/>
      <c r="P37" s="21"/>
      <c r="Q37" s="21">
        <v>601.03</v>
      </c>
      <c r="R37" s="21"/>
      <c r="S37" s="21"/>
      <c r="T37" s="21"/>
      <c r="U37" s="21"/>
      <c r="V37" s="21"/>
      <c r="W37" s="21"/>
      <c r="X37" s="21" t="s">
        <v>212</v>
      </c>
      <c r="Y37" s="21">
        <v>-62.41</v>
      </c>
      <c r="Z37" s="24">
        <f t="shared" si="25"/>
        <v>8234.1200000000008</v>
      </c>
      <c r="AA37" s="25">
        <v>7399</v>
      </c>
      <c r="AB37" s="26">
        <v>591.91999999999996</v>
      </c>
      <c r="AC37" s="26">
        <v>147.97999999999999</v>
      </c>
      <c r="AD37" s="26">
        <v>37</v>
      </c>
      <c r="AE37" s="25">
        <v>7399</v>
      </c>
      <c r="AF37" s="25">
        <v>518</v>
      </c>
      <c r="AG37" s="24">
        <f t="shared" si="26"/>
        <v>1294.9000000000001</v>
      </c>
      <c r="AH37" s="29"/>
      <c r="AI37" s="29"/>
      <c r="AJ37" s="29"/>
      <c r="AK37" s="24">
        <f t="shared" si="2"/>
        <v>6939.2200000000012</v>
      </c>
      <c r="AL37" s="25">
        <v>7399</v>
      </c>
      <c r="AM37" s="25">
        <v>7399</v>
      </c>
      <c r="AN37" s="25">
        <f t="shared" si="27"/>
        <v>1183.8399999999999</v>
      </c>
      <c r="AO37" s="25">
        <v>665.92</v>
      </c>
      <c r="AP37" s="25">
        <f t="shared" si="28"/>
        <v>37</v>
      </c>
      <c r="AQ37" s="25">
        <v>14.8</v>
      </c>
      <c r="AR37" s="25"/>
      <c r="AS37" s="25">
        <f t="shared" si="5"/>
        <v>518</v>
      </c>
      <c r="AT37" s="25">
        <f t="shared" si="6"/>
        <v>110.99</v>
      </c>
      <c r="AU37" s="24">
        <f t="shared" si="7"/>
        <v>2530.5499999999993</v>
      </c>
      <c r="AV37" s="24">
        <f>VLOOKUP(D37,[2]布列吉绩效清单!$F$7:$W$27,18,0)</f>
        <v>153</v>
      </c>
      <c r="AW37" s="24">
        <f t="shared" si="8"/>
        <v>10917.67</v>
      </c>
      <c r="AX37" s="37"/>
      <c r="AY37" s="37"/>
      <c r="AZ37" s="38"/>
      <c r="BA37" s="24">
        <v>255</v>
      </c>
      <c r="BB37" s="42">
        <f t="shared" si="12"/>
        <v>11172.67</v>
      </c>
      <c r="BC37" s="24">
        <f t="shared" si="9"/>
        <v>670.36</v>
      </c>
      <c r="BD37" s="24">
        <f t="shared" si="10"/>
        <v>11843.03</v>
      </c>
      <c r="BE37" s="34">
        <f t="shared" si="13"/>
        <v>148</v>
      </c>
      <c r="BH37" s="44"/>
    </row>
    <row r="38" spans="1:60" s="3" customFormat="1" ht="15" customHeight="1" x14ac:dyDescent="0.25">
      <c r="A38" s="10">
        <f t="shared" si="11"/>
        <v>36</v>
      </c>
      <c r="B38" s="11">
        <v>2503</v>
      </c>
      <c r="C38" s="11" t="s">
        <v>193</v>
      </c>
      <c r="D38" s="10" t="s">
        <v>194</v>
      </c>
      <c r="E38" s="16" t="s">
        <v>195</v>
      </c>
      <c r="F38" s="17">
        <v>45444</v>
      </c>
      <c r="G38" s="17">
        <v>45808</v>
      </c>
      <c r="H38" s="10"/>
      <c r="I38" s="20" t="s">
        <v>98</v>
      </c>
      <c r="J38" s="21">
        <v>1030</v>
      </c>
      <c r="K38" s="21">
        <v>4450.3999999999996</v>
      </c>
      <c r="L38" s="21">
        <v>1290</v>
      </c>
      <c r="M38" s="21"/>
      <c r="N38" s="21"/>
      <c r="O38" s="21"/>
      <c r="P38" s="21"/>
      <c r="Q38" s="21">
        <v>630</v>
      </c>
      <c r="R38" s="21"/>
      <c r="S38" s="21"/>
      <c r="T38" s="21"/>
      <c r="U38" s="21"/>
      <c r="V38" s="21"/>
      <c r="W38" s="21"/>
      <c r="X38" s="21" t="s">
        <v>212</v>
      </c>
      <c r="Y38" s="21">
        <v>-365.05</v>
      </c>
      <c r="Z38" s="24">
        <f t="shared" si="25"/>
        <v>7035.3499999999995</v>
      </c>
      <c r="AA38" s="25">
        <v>7384</v>
      </c>
      <c r="AB38" s="26">
        <v>590.72</v>
      </c>
      <c r="AC38" s="26">
        <v>147.68</v>
      </c>
      <c r="AD38" s="26">
        <v>36.92</v>
      </c>
      <c r="AE38" s="25">
        <v>7155</v>
      </c>
      <c r="AF38" s="25">
        <v>501</v>
      </c>
      <c r="AG38" s="24">
        <f t="shared" si="26"/>
        <v>1276.3200000000002</v>
      </c>
      <c r="AH38" s="29"/>
      <c r="AI38" s="29"/>
      <c r="AJ38" s="29"/>
      <c r="AK38" s="24">
        <f t="shared" si="2"/>
        <v>5759.0299999999988</v>
      </c>
      <c r="AL38" s="25">
        <v>7384</v>
      </c>
      <c r="AM38" s="25">
        <v>7155</v>
      </c>
      <c r="AN38" s="25">
        <f t="shared" si="27"/>
        <v>1181.44</v>
      </c>
      <c r="AO38" s="25">
        <f t="shared" si="29"/>
        <v>664.56</v>
      </c>
      <c r="AP38" s="25">
        <f t="shared" si="28"/>
        <v>36.92</v>
      </c>
      <c r="AQ38" s="25">
        <v>14.77</v>
      </c>
      <c r="AR38" s="25"/>
      <c r="AS38" s="25">
        <f t="shared" si="5"/>
        <v>501</v>
      </c>
      <c r="AT38" s="25">
        <f t="shared" si="6"/>
        <v>110.76</v>
      </c>
      <c r="AU38" s="24">
        <f t="shared" si="7"/>
        <v>2509.4500000000003</v>
      </c>
      <c r="AV38" s="24">
        <f>VLOOKUP(D38,[2]布列吉绩效清单!$F$7:$W$27,18,0)</f>
        <v>128</v>
      </c>
      <c r="AW38" s="24">
        <f t="shared" si="8"/>
        <v>9672.7999999999993</v>
      </c>
      <c r="AX38" s="37"/>
      <c r="AY38" s="37"/>
      <c r="AZ38" s="38"/>
      <c r="BA38" s="24">
        <v>255</v>
      </c>
      <c r="BB38" s="42">
        <f t="shared" si="12"/>
        <v>9927.7999999999993</v>
      </c>
      <c r="BC38" s="24">
        <f t="shared" si="9"/>
        <v>595.66999999999996</v>
      </c>
      <c r="BD38" s="24">
        <f t="shared" si="10"/>
        <v>10523.47</v>
      </c>
      <c r="BE38" s="34">
        <f t="shared" si="13"/>
        <v>123</v>
      </c>
      <c r="BH38" s="44"/>
    </row>
    <row r="39" spans="1:60" s="3" customFormat="1" ht="15" customHeight="1" x14ac:dyDescent="0.25">
      <c r="A39" s="10">
        <f t="shared" si="11"/>
        <v>37</v>
      </c>
      <c r="B39" s="11">
        <v>2503</v>
      </c>
      <c r="C39" s="11" t="s">
        <v>196</v>
      </c>
      <c r="D39" s="10" t="s">
        <v>197</v>
      </c>
      <c r="E39" s="16" t="s">
        <v>198</v>
      </c>
      <c r="F39" s="17">
        <v>45444</v>
      </c>
      <c r="G39" s="17">
        <v>45808</v>
      </c>
      <c r="H39" s="10"/>
      <c r="I39" s="20" t="s">
        <v>98</v>
      </c>
      <c r="J39" s="21">
        <v>1300</v>
      </c>
      <c r="K39" s="21">
        <v>8232</v>
      </c>
      <c r="L39" s="21">
        <v>1615.7</v>
      </c>
      <c r="M39" s="21"/>
      <c r="N39" s="21"/>
      <c r="O39" s="21"/>
      <c r="P39" s="21"/>
      <c r="Q39" s="21">
        <v>630</v>
      </c>
      <c r="R39" s="21"/>
      <c r="S39" s="21"/>
      <c r="T39" s="21"/>
      <c r="U39" s="21"/>
      <c r="V39" s="21"/>
      <c r="W39" s="21"/>
      <c r="X39" s="21" t="s">
        <v>212</v>
      </c>
      <c r="Y39" s="21">
        <v>-1700</v>
      </c>
      <c r="Z39" s="24">
        <f t="shared" si="25"/>
        <v>10077.700000000001</v>
      </c>
      <c r="AA39" s="25">
        <v>13189</v>
      </c>
      <c r="AB39" s="26">
        <v>1055.1199999999999</v>
      </c>
      <c r="AC39" s="26">
        <v>263.77999999999997</v>
      </c>
      <c r="AD39" s="26">
        <v>65.95</v>
      </c>
      <c r="AE39" s="25">
        <v>13189</v>
      </c>
      <c r="AF39" s="25">
        <v>923</v>
      </c>
      <c r="AG39" s="24">
        <f t="shared" si="26"/>
        <v>2307.85</v>
      </c>
      <c r="AH39" s="29"/>
      <c r="AI39" s="29"/>
      <c r="AJ39" s="29"/>
      <c r="AK39" s="24">
        <f t="shared" si="2"/>
        <v>7769.85</v>
      </c>
      <c r="AL39" s="25">
        <v>13189</v>
      </c>
      <c r="AM39" s="25">
        <v>13189</v>
      </c>
      <c r="AN39" s="25">
        <f t="shared" si="27"/>
        <v>2110.2399999999998</v>
      </c>
      <c r="AO39" s="25">
        <v>1187.02</v>
      </c>
      <c r="AP39" s="25">
        <f t="shared" si="28"/>
        <v>65.95</v>
      </c>
      <c r="AQ39" s="25">
        <v>26.38</v>
      </c>
      <c r="AR39" s="25"/>
      <c r="AS39" s="25">
        <f t="shared" si="5"/>
        <v>923</v>
      </c>
      <c r="AT39" s="25">
        <f t="shared" si="6"/>
        <v>197.84</v>
      </c>
      <c r="AU39" s="24">
        <f t="shared" si="7"/>
        <v>4510.43</v>
      </c>
      <c r="AV39" s="24">
        <f>VLOOKUP(D39,[2]布列吉绩效清单!$F$7:$W$27,18,0)</f>
        <v>189</v>
      </c>
      <c r="AW39" s="24">
        <f t="shared" si="8"/>
        <v>14777.130000000001</v>
      </c>
      <c r="AX39" s="37"/>
      <c r="AY39" s="37"/>
      <c r="AZ39" s="38"/>
      <c r="BA39" s="24">
        <v>255</v>
      </c>
      <c r="BB39" s="42">
        <f t="shared" si="12"/>
        <v>15032.13</v>
      </c>
      <c r="BC39" s="24">
        <f t="shared" si="9"/>
        <v>901.93</v>
      </c>
      <c r="BD39" s="24">
        <f t="shared" si="10"/>
        <v>15934.06</v>
      </c>
      <c r="BE39" s="34">
        <f t="shared" si="13"/>
        <v>184</v>
      </c>
      <c r="BH39" s="44"/>
    </row>
    <row r="40" spans="1:60" s="3" customFormat="1" ht="15" customHeight="1" x14ac:dyDescent="0.25">
      <c r="A40" s="10">
        <f t="shared" si="11"/>
        <v>38</v>
      </c>
      <c r="B40" s="11">
        <v>2503</v>
      </c>
      <c r="C40" s="11" t="s">
        <v>199</v>
      </c>
      <c r="D40" s="15" t="s">
        <v>200</v>
      </c>
      <c r="E40" s="16" t="s">
        <v>201</v>
      </c>
      <c r="F40" s="17">
        <v>45444</v>
      </c>
      <c r="G40" s="17">
        <v>45808</v>
      </c>
      <c r="H40" s="10"/>
      <c r="I40" s="20" t="s">
        <v>98</v>
      </c>
      <c r="J40" s="21">
        <v>1080</v>
      </c>
      <c r="K40" s="21">
        <v>0</v>
      </c>
      <c r="L40" s="21">
        <v>3656.7</v>
      </c>
      <c r="M40" s="21"/>
      <c r="N40" s="21"/>
      <c r="O40" s="21"/>
      <c r="P40" s="21"/>
      <c r="Q40" s="21">
        <v>0</v>
      </c>
      <c r="R40" s="21"/>
      <c r="S40" s="21"/>
      <c r="T40" s="21"/>
      <c r="U40" s="21"/>
      <c r="V40" s="21"/>
      <c r="W40" s="21"/>
      <c r="X40" s="21" t="s">
        <v>212</v>
      </c>
      <c r="Y40" s="21">
        <v>0</v>
      </c>
      <c r="Z40" s="24">
        <f t="shared" si="25"/>
        <v>4736.7</v>
      </c>
      <c r="AA40" s="25">
        <v>9758</v>
      </c>
      <c r="AB40" s="26">
        <v>780.64</v>
      </c>
      <c r="AC40" s="26">
        <v>195.16</v>
      </c>
      <c r="AD40" s="26">
        <v>48.79</v>
      </c>
      <c r="AE40" s="25">
        <v>9758</v>
      </c>
      <c r="AF40" s="25">
        <v>683</v>
      </c>
      <c r="AG40" s="24">
        <f t="shared" si="26"/>
        <v>1707.59</v>
      </c>
      <c r="AH40" s="29"/>
      <c r="AI40" s="29"/>
      <c r="AJ40" s="29"/>
      <c r="AK40" s="24">
        <f t="shared" si="2"/>
        <v>3029.1099999999997</v>
      </c>
      <c r="AL40" s="25">
        <v>9758</v>
      </c>
      <c r="AM40" s="25">
        <v>9758</v>
      </c>
      <c r="AN40" s="25">
        <f t="shared" si="27"/>
        <v>1561.28</v>
      </c>
      <c r="AO40" s="25">
        <f t="shared" si="29"/>
        <v>878.22</v>
      </c>
      <c r="AP40" s="25">
        <f t="shared" si="28"/>
        <v>48.79</v>
      </c>
      <c r="AQ40" s="25">
        <v>19.52</v>
      </c>
      <c r="AR40" s="25"/>
      <c r="AS40" s="25">
        <f t="shared" si="5"/>
        <v>683</v>
      </c>
      <c r="AT40" s="25">
        <f t="shared" si="6"/>
        <v>146.37</v>
      </c>
      <c r="AU40" s="24">
        <f t="shared" si="7"/>
        <v>3337.18</v>
      </c>
      <c r="AV40" s="24">
        <f>VLOOKUP(D40,[2]布列吉绩效清单!$F$7:$W$27,18,0)</f>
        <v>95</v>
      </c>
      <c r="AW40" s="24">
        <f t="shared" si="8"/>
        <v>8168.8799999999992</v>
      </c>
      <c r="AX40" s="37"/>
      <c r="AY40" s="37"/>
      <c r="AZ40" s="38"/>
      <c r="BA40" s="24">
        <v>60</v>
      </c>
      <c r="BB40" s="42">
        <f>ROUND(AW40+BA40+AY40+AX40,2)</f>
        <v>8228.8799999999992</v>
      </c>
      <c r="BC40" s="24">
        <f t="shared" si="9"/>
        <v>493.73</v>
      </c>
      <c r="BD40" s="24">
        <f t="shared" si="10"/>
        <v>8722.61</v>
      </c>
      <c r="BE40" s="34">
        <f t="shared" si="13"/>
        <v>90</v>
      </c>
      <c r="BH40" s="44"/>
    </row>
    <row r="41" spans="1:60" ht="15" customHeight="1" x14ac:dyDescent="0.25"/>
    <row r="42" spans="1:60" ht="15" customHeight="1" x14ac:dyDescent="0.25"/>
    <row r="43" spans="1:60" ht="15" customHeight="1" x14ac:dyDescent="0.25">
      <c r="A43" s="4" t="s">
        <v>202</v>
      </c>
      <c r="Z43" s="27">
        <f>SUBTOTAL(9,Z3:Z19)</f>
        <v>125627.56</v>
      </c>
      <c r="AG43" s="27">
        <f>SUBTOTAL(9,AG3:AG19)</f>
        <v>29511.48</v>
      </c>
      <c r="AK43" s="27">
        <f>SUBTOTAL(9,AK3:AK19)</f>
        <v>96116.079999999987</v>
      </c>
      <c r="AU43" s="31">
        <f>SUBTOTAL(9,AU3:AU19)</f>
        <v>58058.179999999986</v>
      </c>
      <c r="AV43" s="31">
        <f>SUBTOTAL(9,AV3:AV19)</f>
        <v>2298</v>
      </c>
      <c r="AW43" s="31">
        <f>SUBTOTAL(9,AW3:AW19)</f>
        <v>185983.74000000002</v>
      </c>
      <c r="AX43" s="40">
        <f>SUBTOTAL(9,AX3:AX16)</f>
        <v>0</v>
      </c>
      <c r="AY43" s="40">
        <f>SUBTOTAL(9,AY3:AY16)</f>
        <v>0</v>
      </c>
      <c r="BA43" s="27">
        <f>SUBTOTAL(9,BA3:BA19)</f>
        <v>4335</v>
      </c>
      <c r="BB43" s="43">
        <f>SUBTOTAL(9,BB3:BB19)</f>
        <v>190318.74000000002</v>
      </c>
      <c r="BC43" s="27">
        <f>SUBTOTAL(9,BC3:BC19)</f>
        <v>11419.13</v>
      </c>
      <c r="BD43" s="27">
        <f>SUBTOTAL(9,BD3:BD19)</f>
        <v>201737.87</v>
      </c>
      <c r="BE43" s="27">
        <f>SUBTOTAL(9,BE3:BE19)</f>
        <v>2213</v>
      </c>
    </row>
    <row r="44" spans="1:60" ht="15" customHeight="1" x14ac:dyDescent="0.25">
      <c r="A44" s="4" t="s">
        <v>203</v>
      </c>
      <c r="Z44" s="27">
        <f>SUBTOTAL(9,Z20:Z40)</f>
        <v>215188.29000000007</v>
      </c>
      <c r="AG44" s="27">
        <f>SUBTOTAL(9,AG20:AG40)</f>
        <v>31389.499999999996</v>
      </c>
      <c r="AK44" s="27">
        <f>SUBTOTAL(9,AK20:AK40)</f>
        <v>183798.78999999998</v>
      </c>
      <c r="AU44" s="31">
        <f>SUBTOTAL(9,AU20:AU40)</f>
        <v>62857.949999999983</v>
      </c>
      <c r="AV44" s="31">
        <f>SUBTOTAL(9,AV20:AV40)</f>
        <v>4021</v>
      </c>
      <c r="AW44" s="31">
        <f>SUBTOTAL(9,AW20:AW40)</f>
        <v>282067.24</v>
      </c>
      <c r="AX44" s="40">
        <f>SUBTOTAL(9,AX20:AX40)</f>
        <v>4120.57</v>
      </c>
      <c r="AY44" s="40">
        <f>SUBTOTAL(9,AY20:AY40)</f>
        <v>-1887.8000000000006</v>
      </c>
      <c r="AZ44" s="27"/>
      <c r="BA44" s="27">
        <f>SUBTOTAL(9,BA20:BA40)</f>
        <v>5160</v>
      </c>
      <c r="BB44" s="43">
        <f>SUBTOTAL(9,BB20:BB40)</f>
        <v>289460.01000000007</v>
      </c>
      <c r="BC44" s="27">
        <f>SUBTOTAL(9,BC20:BC40)</f>
        <v>17367.599999999999</v>
      </c>
      <c r="BD44" s="27">
        <f>SUBTOTAL(9,BD20:BD40)</f>
        <v>306827.61</v>
      </c>
      <c r="BE44" s="27">
        <f>SUBTOTAL(9,BE20:BE40)</f>
        <v>3916</v>
      </c>
    </row>
    <row r="45" spans="1:60" ht="15" customHeight="1" x14ac:dyDescent="0.25">
      <c r="A45" s="4" t="s">
        <v>41</v>
      </c>
      <c r="Z45" s="27">
        <f>Z44+Z43</f>
        <v>340815.85000000009</v>
      </c>
      <c r="AG45" s="30">
        <f>AG44+AG43</f>
        <v>60900.979999999996</v>
      </c>
      <c r="AK45" s="27">
        <f>AK44+AK43</f>
        <v>279914.87</v>
      </c>
      <c r="AU45" s="32">
        <f>SUM(AU3:AU40)</f>
        <v>120916.12999999995</v>
      </c>
      <c r="AV45" s="31">
        <f>AV44+AV43</f>
        <v>6319</v>
      </c>
      <c r="AW45" s="31">
        <f>AW44+AW43</f>
        <v>468050.98</v>
      </c>
      <c r="AX45" s="40">
        <f>AX43+AX44</f>
        <v>4120.57</v>
      </c>
      <c r="AY45" s="40">
        <f>AY43+AY44</f>
        <v>-1887.8000000000006</v>
      </c>
      <c r="BA45" s="27">
        <f>BA44+BA43</f>
        <v>9495</v>
      </c>
      <c r="BB45" s="43">
        <f>BB44+BB43</f>
        <v>479778.75000000012</v>
      </c>
      <c r="BC45" s="27">
        <f>BC44+BC43</f>
        <v>28786.729999999996</v>
      </c>
      <c r="BD45" s="27">
        <f>BD44+BD43</f>
        <v>508565.48</v>
      </c>
      <c r="BE45" s="27">
        <f>BE44+BE43</f>
        <v>6129</v>
      </c>
    </row>
    <row r="46" spans="1:60" ht="15" customHeight="1" x14ac:dyDescent="0.25">
      <c r="Z46" s="27"/>
      <c r="AG46" s="30"/>
      <c r="AK46" s="27"/>
      <c r="AU46" s="30"/>
      <c r="AV46" s="27"/>
      <c r="AW46" s="27"/>
      <c r="BA46" s="27"/>
      <c r="BB46" s="43"/>
      <c r="BC46" s="27"/>
      <c r="BD46" s="27"/>
      <c r="BE46" s="27"/>
    </row>
    <row r="47" spans="1:60" ht="23.4" x14ac:dyDescent="0.25">
      <c r="A47" s="105" t="s">
        <v>214</v>
      </c>
      <c r="B47" s="105"/>
      <c r="C47" s="105"/>
      <c r="D47" s="105"/>
      <c r="E47" s="105"/>
    </row>
    <row r="48" spans="1:60" s="3" customFormat="1" ht="15" customHeight="1" x14ac:dyDescent="0.25">
      <c r="A48" s="10">
        <f t="shared" ref="A48:A49" si="30">ROW()-2</f>
        <v>46</v>
      </c>
      <c r="B48" s="11">
        <v>2503</v>
      </c>
      <c r="C48" s="11" t="s">
        <v>184</v>
      </c>
      <c r="D48" s="10" t="s">
        <v>185</v>
      </c>
      <c r="E48" s="16" t="s">
        <v>186</v>
      </c>
      <c r="F48" s="17">
        <v>45444</v>
      </c>
      <c r="G48" s="17">
        <v>45808</v>
      </c>
      <c r="H48" s="10"/>
      <c r="I48" s="20" t="s">
        <v>98</v>
      </c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4">
        <f t="shared" ref="Z48:Z49" si="31">SUM(J48:Y48)</f>
        <v>0</v>
      </c>
      <c r="AA48" s="25"/>
      <c r="AB48" s="26"/>
      <c r="AC48" s="26"/>
      <c r="AD48" s="26"/>
      <c r="AE48" s="25"/>
      <c r="AF48" s="25"/>
      <c r="AG48" s="24">
        <f t="shared" ref="AG48:AG49" si="32">AB48+AC48+AD48+AF48</f>
        <v>0</v>
      </c>
      <c r="AH48" s="29"/>
      <c r="AI48" s="29"/>
      <c r="AJ48" s="29"/>
      <c r="AK48" s="24">
        <f t="shared" ref="AK48:AK49" si="33">Z48-AG48-AH48</f>
        <v>0</v>
      </c>
      <c r="AL48" s="25"/>
      <c r="AM48" s="25"/>
      <c r="AN48" s="25"/>
      <c r="AO48" s="25"/>
      <c r="AP48" s="25"/>
      <c r="AQ48" s="25"/>
      <c r="AR48" s="25"/>
      <c r="AS48" s="25"/>
      <c r="AT48" s="25"/>
      <c r="AU48" s="24"/>
      <c r="AV48" s="24"/>
      <c r="AW48" s="24"/>
      <c r="AX48" s="37"/>
      <c r="AY48" s="37">
        <v>-547.87000000000035</v>
      </c>
      <c r="AZ48" s="38"/>
      <c r="BA48" s="24"/>
      <c r="BB48" s="42"/>
      <c r="BC48" s="24"/>
      <c r="BD48" s="24"/>
      <c r="BE48" s="34"/>
      <c r="BH48" s="44"/>
    </row>
    <row r="49" spans="1:60" s="3" customFormat="1" ht="15" customHeight="1" x14ac:dyDescent="0.25">
      <c r="A49" s="10">
        <f t="shared" si="30"/>
        <v>47</v>
      </c>
      <c r="B49" s="11">
        <v>2503</v>
      </c>
      <c r="C49" s="11" t="s">
        <v>187</v>
      </c>
      <c r="D49" s="10" t="s">
        <v>188</v>
      </c>
      <c r="E49" s="16" t="s">
        <v>189</v>
      </c>
      <c r="F49" s="17">
        <v>45444</v>
      </c>
      <c r="G49" s="17">
        <v>45808</v>
      </c>
      <c r="H49" s="10"/>
      <c r="I49" s="20" t="s">
        <v>98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4">
        <f t="shared" si="31"/>
        <v>0</v>
      </c>
      <c r="AA49" s="25"/>
      <c r="AB49" s="26"/>
      <c r="AC49" s="26"/>
      <c r="AD49" s="26"/>
      <c r="AE49" s="25"/>
      <c r="AF49" s="25"/>
      <c r="AG49" s="24">
        <f t="shared" si="32"/>
        <v>0</v>
      </c>
      <c r="AH49" s="29"/>
      <c r="AI49" s="29"/>
      <c r="AJ49" s="29"/>
      <c r="AK49" s="24">
        <f t="shared" si="33"/>
        <v>0</v>
      </c>
      <c r="AL49" s="25"/>
      <c r="AM49" s="25"/>
      <c r="AN49" s="25"/>
      <c r="AO49" s="25"/>
      <c r="AP49" s="25"/>
      <c r="AQ49" s="25"/>
      <c r="AR49" s="25"/>
      <c r="AS49" s="25"/>
      <c r="AT49" s="25"/>
      <c r="AU49" s="24"/>
      <c r="AV49" s="24"/>
      <c r="AW49" s="24"/>
      <c r="AX49" s="37"/>
      <c r="AY49" s="37">
        <v>-1339.9300000000003</v>
      </c>
      <c r="AZ49" s="38" t="s">
        <v>204</v>
      </c>
      <c r="BA49" s="24"/>
      <c r="BB49" s="42"/>
      <c r="BC49" s="24"/>
      <c r="BD49" s="24"/>
      <c r="BE49" s="34"/>
      <c r="BH49" s="44"/>
    </row>
    <row r="50" spans="1:60" x14ac:dyDescent="0.25">
      <c r="AY50" s="47">
        <f>SUM(AY48:AY49)</f>
        <v>-1887.8000000000006</v>
      </c>
    </row>
  </sheetData>
  <autoFilter ref="A1:BH40" xr:uid="{00000000-0009-0000-0000-000000000000}"/>
  <mergeCells count="2">
    <mergeCell ref="M1:Y1"/>
    <mergeCell ref="A47:E47"/>
  </mergeCells>
  <phoneticPr fontId="13" type="noConversion"/>
  <conditionalFormatting sqref="C1">
    <cfRule type="duplicateValues" dxfId="20" priority="31"/>
    <cfRule type="duplicateValues" dxfId="19" priority="32"/>
    <cfRule type="duplicateValues" dxfId="18" priority="33"/>
    <cfRule type="duplicateValues" dxfId="17" priority="34"/>
    <cfRule type="duplicateValues" dxfId="16" priority="35"/>
    <cfRule type="duplicateValues" dxfId="15" priority="36"/>
  </conditionalFormatting>
  <conditionalFormatting sqref="D1">
    <cfRule type="duplicateValues" dxfId="14" priority="40"/>
    <cfRule type="duplicateValues" dxfId="13" priority="41"/>
    <cfRule type="duplicateValues" dxfId="12" priority="42"/>
    <cfRule type="duplicateValues" dxfId="11" priority="43"/>
    <cfRule type="duplicateValues" dxfId="10" priority="44"/>
    <cfRule type="duplicateValues" dxfId="9" priority="45"/>
  </conditionalFormatting>
  <conditionalFormatting sqref="C2">
    <cfRule type="duplicateValues" dxfId="8" priority="28"/>
    <cfRule type="duplicateValues" dxfId="7" priority="29"/>
    <cfRule type="duplicateValues" dxfId="6" priority="30"/>
  </conditionalFormatting>
  <conditionalFormatting sqref="D2">
    <cfRule type="duplicateValues" dxfId="5" priority="37"/>
    <cfRule type="duplicateValues" dxfId="4" priority="38"/>
    <cfRule type="duplicateValues" dxfId="3" priority="39"/>
  </conditionalFormatting>
  <conditionalFormatting sqref="AL3:AL13 AL20:AL40">
    <cfRule type="cellIs" dxfId="2" priority="27" operator="lessThan">
      <formula>7384</formula>
    </cfRule>
  </conditionalFormatting>
  <conditionalFormatting sqref="AL14:AL16">
    <cfRule type="cellIs" dxfId="1" priority="26" operator="lessThan">
      <formula>7384</formula>
    </cfRule>
  </conditionalFormatting>
  <conditionalFormatting sqref="AL48:AL49">
    <cfRule type="cellIs" dxfId="0" priority="1" operator="lessThan">
      <formula>7384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9887B-8513-4F1C-9818-272A71F2AB90}">
  <dimension ref="A1:J20"/>
  <sheetViews>
    <sheetView workbookViewId="0">
      <selection activeCell="A29" sqref="A29"/>
    </sheetView>
  </sheetViews>
  <sheetFormatPr defaultRowHeight="13.8" x14ac:dyDescent="0.25"/>
  <cols>
    <col min="1" max="1" width="21.6640625" customWidth="1"/>
    <col min="2" max="2" width="17.88671875" customWidth="1"/>
    <col min="3" max="3" width="20.33203125" customWidth="1"/>
    <col min="4" max="4" width="16.88671875" customWidth="1"/>
    <col min="5" max="5" width="25.33203125" customWidth="1"/>
    <col min="6" max="6" width="23.6640625" customWidth="1"/>
    <col min="7" max="8" width="19.77734375" customWidth="1"/>
    <col min="9" max="9" width="19.33203125" customWidth="1"/>
    <col min="10" max="10" width="11.77734375" customWidth="1"/>
  </cols>
  <sheetData>
    <row r="1" spans="1:10" x14ac:dyDescent="0.25">
      <c r="A1" s="91" t="s">
        <v>370</v>
      </c>
      <c r="B1" s="92" t="s">
        <v>371</v>
      </c>
      <c r="C1" s="92" t="s">
        <v>372</v>
      </c>
      <c r="D1" s="92">
        <v>155</v>
      </c>
      <c r="E1" s="92" t="s">
        <v>373</v>
      </c>
      <c r="F1" s="92" t="s">
        <v>382</v>
      </c>
      <c r="G1" s="92" t="s">
        <v>214</v>
      </c>
      <c r="H1" s="92" t="s">
        <v>374</v>
      </c>
      <c r="I1" s="92" t="s">
        <v>375</v>
      </c>
      <c r="J1" s="93" t="s">
        <v>376</v>
      </c>
    </row>
    <row r="2" spans="1:10" x14ac:dyDescent="0.25">
      <c r="A2" s="91" t="s">
        <v>231</v>
      </c>
      <c r="B2" s="92">
        <f>'202503'!BC45</f>
        <v>28786.729999999996</v>
      </c>
      <c r="C2" s="92">
        <f>系统!E54</f>
        <v>31678.160000000003</v>
      </c>
      <c r="D2" s="92">
        <f>155*37</f>
        <v>5735</v>
      </c>
      <c r="E2" s="92"/>
      <c r="F2" s="92"/>
      <c r="G2" s="92"/>
      <c r="H2" s="92"/>
      <c r="I2" s="92">
        <f>SUM(C2:G2)</f>
        <v>37413.160000000003</v>
      </c>
      <c r="J2" s="94">
        <f t="shared" ref="J2:J10" si="0">B2-C2</f>
        <v>-2891.4300000000076</v>
      </c>
    </row>
    <row r="3" spans="1:10" x14ac:dyDescent="0.25">
      <c r="A3" s="91" t="s">
        <v>377</v>
      </c>
      <c r="B3" s="92">
        <f>'202503'!BA45</f>
        <v>9495</v>
      </c>
      <c r="C3" s="92">
        <v>0</v>
      </c>
      <c r="D3" s="92"/>
      <c r="E3" s="92"/>
      <c r="F3" s="92"/>
      <c r="G3" s="92"/>
      <c r="H3" s="92"/>
      <c r="I3" s="92">
        <f>SUM(C3:G3)</f>
        <v>0</v>
      </c>
      <c r="J3" s="94">
        <f t="shared" si="0"/>
        <v>9495</v>
      </c>
    </row>
    <row r="4" spans="1:10" x14ac:dyDescent="0.25">
      <c r="A4" s="91" t="s">
        <v>378</v>
      </c>
      <c r="B4" s="92">
        <f>'202503'!AG45</f>
        <v>60900.979999999996</v>
      </c>
      <c r="C4" s="92">
        <f>系统!V54</f>
        <v>60900.979999999996</v>
      </c>
      <c r="D4" s="92"/>
      <c r="E4" s="92"/>
      <c r="F4" s="92"/>
      <c r="G4" s="92"/>
      <c r="H4" s="92"/>
      <c r="I4" s="92">
        <f>SUM(C4:G4)</f>
        <v>60900.979999999996</v>
      </c>
      <c r="J4" s="94">
        <f t="shared" si="0"/>
        <v>0</v>
      </c>
    </row>
    <row r="5" spans="1:10" x14ac:dyDescent="0.25">
      <c r="A5" s="91" t="s">
        <v>379</v>
      </c>
      <c r="B5" s="92">
        <f>'202503'!AU45</f>
        <v>120916.12999999995</v>
      </c>
      <c r="C5" s="92">
        <f>系统!O54</f>
        <v>120916.12999999996</v>
      </c>
      <c r="D5" s="92"/>
      <c r="E5" s="95">
        <f>B10</f>
        <v>4120.57</v>
      </c>
      <c r="F5" s="92"/>
      <c r="G5" s="92"/>
      <c r="H5" s="92"/>
      <c r="I5" s="92">
        <f>SUM(C5:E5)</f>
        <v>125036.69999999995</v>
      </c>
      <c r="J5" s="94">
        <f t="shared" si="0"/>
        <v>0</v>
      </c>
    </row>
    <row r="6" spans="1:10" x14ac:dyDescent="0.25">
      <c r="A6" s="91" t="s">
        <v>380</v>
      </c>
      <c r="B6" s="92"/>
      <c r="C6" s="92"/>
      <c r="D6" s="92"/>
      <c r="E6" s="92"/>
      <c r="F6" s="92"/>
      <c r="G6" s="92"/>
      <c r="H6" s="92"/>
      <c r="I6" s="92">
        <f t="shared" ref="I6:I10" si="1">SUM(C6:G6)</f>
        <v>0</v>
      </c>
      <c r="J6" s="94">
        <f t="shared" si="0"/>
        <v>0</v>
      </c>
    </row>
    <row r="7" spans="1:10" x14ac:dyDescent="0.25">
      <c r="A7" s="91" t="s">
        <v>381</v>
      </c>
      <c r="B7" s="92">
        <f>'202503'!Z45-'202503'!AG45</f>
        <v>279914.87000000011</v>
      </c>
      <c r="C7" s="92">
        <f>系统!W54</f>
        <v>279724.87</v>
      </c>
      <c r="D7" s="92">
        <f>38*5</f>
        <v>190</v>
      </c>
      <c r="E7" s="92"/>
      <c r="F7" s="92"/>
      <c r="G7" s="92"/>
      <c r="H7" s="92"/>
      <c r="I7" s="92">
        <f t="shared" si="1"/>
        <v>279914.87</v>
      </c>
      <c r="J7" s="94">
        <f t="shared" si="0"/>
        <v>190.00000000011642</v>
      </c>
    </row>
    <row r="8" spans="1:10" x14ac:dyDescent="0.25">
      <c r="A8" s="91" t="s">
        <v>388</v>
      </c>
      <c r="B8" s="92">
        <f>'202503'!AY45</f>
        <v>-1887.8000000000006</v>
      </c>
      <c r="C8" s="92"/>
      <c r="D8" s="92"/>
      <c r="E8" s="96"/>
      <c r="F8" s="96"/>
      <c r="G8" s="97"/>
      <c r="H8" s="97"/>
      <c r="I8" s="92">
        <f t="shared" si="1"/>
        <v>0</v>
      </c>
      <c r="J8" s="94">
        <f t="shared" si="0"/>
        <v>-1887.8000000000006</v>
      </c>
    </row>
    <row r="9" spans="1:10" x14ac:dyDescent="0.25">
      <c r="A9" s="91" t="s">
        <v>382</v>
      </c>
      <c r="B9" s="92">
        <f>'202503'!AV45</f>
        <v>6319</v>
      </c>
      <c r="C9" s="92"/>
      <c r="D9" s="92"/>
      <c r="E9" s="92"/>
      <c r="F9" s="92">
        <f>B9</f>
        <v>6319</v>
      </c>
      <c r="G9" s="97">
        <f>B8</f>
        <v>-1887.8000000000006</v>
      </c>
      <c r="H9" s="97"/>
      <c r="I9" s="92">
        <f t="shared" si="1"/>
        <v>4431.1999999999989</v>
      </c>
      <c r="J9" s="94">
        <f t="shared" si="0"/>
        <v>6319</v>
      </c>
    </row>
    <row r="10" spans="1:10" x14ac:dyDescent="0.25">
      <c r="A10" s="91" t="s">
        <v>211</v>
      </c>
      <c r="B10" s="92">
        <f>'202503'!AX45</f>
        <v>4120.57</v>
      </c>
      <c r="C10" s="92"/>
      <c r="D10" s="92"/>
      <c r="E10" s="92"/>
      <c r="F10" s="92"/>
      <c r="G10" s="92"/>
      <c r="H10" s="92"/>
      <c r="I10" s="92">
        <f t="shared" si="1"/>
        <v>0</v>
      </c>
      <c r="J10" s="94">
        <f t="shared" si="0"/>
        <v>4120.57</v>
      </c>
    </row>
    <row r="11" spans="1:10" x14ac:dyDescent="0.25">
      <c r="A11" s="98" t="s">
        <v>383</v>
      </c>
      <c r="B11" s="99">
        <f>SUM(B2:B10)</f>
        <v>508565.4800000001</v>
      </c>
      <c r="C11" s="99">
        <f>SUM(C2:C10)</f>
        <v>493220.13999999996</v>
      </c>
      <c r="D11" s="99">
        <f>SUM(D2:D10)</f>
        <v>5925</v>
      </c>
      <c r="E11" s="99">
        <f>E5</f>
        <v>4120.57</v>
      </c>
      <c r="F11" s="99">
        <f>F9</f>
        <v>6319</v>
      </c>
      <c r="G11" s="99">
        <f>G9</f>
        <v>-1887.8000000000006</v>
      </c>
      <c r="H11" s="99">
        <f>H9</f>
        <v>0</v>
      </c>
      <c r="I11" s="99">
        <f>SUM(C11:H11)</f>
        <v>507696.91</v>
      </c>
    </row>
    <row r="12" spans="1:10" x14ac:dyDescent="0.25">
      <c r="A12" s="91" t="s">
        <v>384</v>
      </c>
      <c r="B12" s="92"/>
      <c r="C12" s="92"/>
      <c r="D12" s="92"/>
      <c r="E12" s="92"/>
      <c r="F12" s="92"/>
      <c r="G12" s="92"/>
      <c r="H12" s="92"/>
      <c r="I12" s="92"/>
    </row>
    <row r="13" spans="1:10" x14ac:dyDescent="0.25">
      <c r="A13" s="91" t="s">
        <v>40</v>
      </c>
      <c r="B13" s="92"/>
      <c r="C13" s="92"/>
      <c r="D13" s="92">
        <f>ROUND((D11+D12)*6%,2)</f>
        <v>355.5</v>
      </c>
      <c r="E13" s="92">
        <f>ROUND((E11+E12)*6%,2)</f>
        <v>247.23</v>
      </c>
      <c r="F13" s="92">
        <f>ROUND((F11+F12)*6%,2)</f>
        <v>379.14</v>
      </c>
      <c r="G13" s="92">
        <f>ROUND((G11+G12)*6%,2)</f>
        <v>-113.27</v>
      </c>
      <c r="H13" s="92">
        <f>ROUND((H11+H12)*6%,2)</f>
        <v>0</v>
      </c>
      <c r="I13" s="92">
        <f>SUM(C13:G13)</f>
        <v>868.6</v>
      </c>
    </row>
    <row r="14" spans="1:10" x14ac:dyDescent="0.25">
      <c r="A14" s="100" t="s">
        <v>41</v>
      </c>
      <c r="B14" s="101">
        <f>SUM(B11:B13)</f>
        <v>508565.4800000001</v>
      </c>
      <c r="C14" s="101">
        <f t="shared" ref="C14" si="2">SUM(C11:C13)</f>
        <v>493220.13999999996</v>
      </c>
      <c r="D14" s="101">
        <f>SUM(D11:D13)</f>
        <v>6280.5</v>
      </c>
      <c r="E14" s="101">
        <f>E11+E13</f>
        <v>4367.7999999999993</v>
      </c>
      <c r="F14" s="101">
        <f>SUM(F11:F13)</f>
        <v>6698.14</v>
      </c>
      <c r="G14" s="101">
        <f>SUM(G11:G13)</f>
        <v>-2001.0700000000006</v>
      </c>
      <c r="H14" s="101">
        <f>SUM(H11:H13)</f>
        <v>0</v>
      </c>
      <c r="I14" s="101">
        <f>SUM(C14:H14)</f>
        <v>508565.50999999995</v>
      </c>
    </row>
    <row r="15" spans="1:10" x14ac:dyDescent="0.25">
      <c r="A15" s="100" t="s">
        <v>385</v>
      </c>
      <c r="B15" s="101"/>
      <c r="C15" s="101"/>
      <c r="D15" s="101"/>
      <c r="E15" s="101"/>
      <c r="F15" s="101"/>
      <c r="G15" s="101"/>
      <c r="H15" s="101"/>
      <c r="I15" s="101">
        <f>B14</f>
        <v>508565.4800000001</v>
      </c>
    </row>
    <row r="16" spans="1:10" x14ac:dyDescent="0.25">
      <c r="A16" s="91" t="s">
        <v>386</v>
      </c>
      <c r="B16" s="92"/>
      <c r="C16" s="92"/>
      <c r="D16" s="92"/>
      <c r="E16" s="92"/>
      <c r="F16" s="92"/>
      <c r="G16" s="92"/>
      <c r="H16" s="92"/>
      <c r="I16" s="92">
        <f>I15-I14</f>
        <v>-2.9999999853316694E-2</v>
      </c>
    </row>
    <row r="17" spans="1:9" x14ac:dyDescent="0.25">
      <c r="A17" s="91" t="s">
        <v>387</v>
      </c>
      <c r="B17" s="92"/>
      <c r="C17" s="92"/>
      <c r="D17" s="92"/>
      <c r="E17" s="92"/>
      <c r="F17" s="92"/>
      <c r="G17" s="92"/>
      <c r="H17" s="92"/>
      <c r="I17" s="92">
        <f>ROUND(I16/1.06,2)</f>
        <v>-0.03</v>
      </c>
    </row>
    <row r="19" spans="1:9" x14ac:dyDescent="0.25">
      <c r="C19" s="94"/>
      <c r="D19" s="94"/>
    </row>
    <row r="20" spans="1:9" x14ac:dyDescent="0.25">
      <c r="B20" s="94"/>
    </row>
  </sheetData>
  <phoneticPr fontId="13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D7CB4-E337-4B8F-9802-F0B37E4FD92F}">
  <dimension ref="A1:AE106"/>
  <sheetViews>
    <sheetView topLeftCell="A57" workbookViewId="0">
      <selection activeCell="E13" sqref="E13"/>
    </sheetView>
  </sheetViews>
  <sheetFormatPr defaultRowHeight="13.8" x14ac:dyDescent="0.25"/>
  <cols>
    <col min="1" max="4" width="8.88671875" style="49"/>
    <col min="5" max="24" width="8.88671875" style="50"/>
    <col min="25" max="25" width="10.21875" style="50" bestFit="1" customWidth="1"/>
    <col min="26" max="27" width="8.88671875" style="49"/>
    <col min="28" max="28" width="15.77734375" style="49" customWidth="1"/>
    <col min="29" max="29" width="8.88671875" style="50"/>
    <col min="30" max="30" width="8.88671875" style="49"/>
    <col min="31" max="31" width="8.88671875" style="50"/>
    <col min="32" max="16384" width="8.88671875" style="49"/>
  </cols>
  <sheetData>
    <row r="1" spans="1:31" x14ac:dyDescent="0.25">
      <c r="A1" s="48" t="s">
        <v>219</v>
      </c>
    </row>
    <row r="2" spans="1:31" x14ac:dyDescent="0.25">
      <c r="A2" s="48" t="s">
        <v>220</v>
      </c>
    </row>
    <row r="3" spans="1:31" x14ac:dyDescent="0.25">
      <c r="B3" s="48" t="s">
        <v>221</v>
      </c>
    </row>
    <row r="6" spans="1:31" ht="20.399999999999999" x14ac:dyDescent="0.25">
      <c r="D6" s="51" t="s">
        <v>222</v>
      </c>
    </row>
    <row r="7" spans="1:31" ht="20.399999999999999" x14ac:dyDescent="0.25">
      <c r="C7" s="51" t="s">
        <v>223</v>
      </c>
    </row>
    <row r="9" spans="1:31" ht="20.399999999999999" x14ac:dyDescent="0.25">
      <c r="E9" s="52" t="s">
        <v>224</v>
      </c>
    </row>
    <row r="10" spans="1:31" ht="20.399999999999999" x14ac:dyDescent="0.25">
      <c r="E10" s="52" t="s">
        <v>225</v>
      </c>
    </row>
    <row r="11" spans="1:31" ht="15.6" x14ac:dyDescent="0.25">
      <c r="E11" s="53" t="s">
        <v>226</v>
      </c>
    </row>
    <row r="13" spans="1:31" s="55" customFormat="1" ht="13.2" x14ac:dyDescent="0.25">
      <c r="A13" s="54" t="s">
        <v>227</v>
      </c>
      <c r="E13" s="56"/>
      <c r="F13" s="56"/>
      <c r="G13" s="56"/>
      <c r="H13" s="56"/>
      <c r="I13" s="56"/>
      <c r="J13" s="57" t="s">
        <v>228</v>
      </c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AC13" s="56"/>
      <c r="AE13" s="56"/>
    </row>
    <row r="14" spans="1:31" s="58" customFormat="1" ht="60" customHeight="1" x14ac:dyDescent="0.15">
      <c r="A14" s="58" t="s">
        <v>0</v>
      </c>
      <c r="B14" s="58" t="s">
        <v>3</v>
      </c>
      <c r="C14" s="58" t="s">
        <v>229</v>
      </c>
      <c r="D14" s="58" t="s">
        <v>230</v>
      </c>
      <c r="E14" s="59" t="s">
        <v>231</v>
      </c>
      <c r="F14" s="59" t="s">
        <v>232</v>
      </c>
      <c r="G14" s="59" t="s">
        <v>233</v>
      </c>
      <c r="H14" s="108" t="s">
        <v>234</v>
      </c>
      <c r="I14" s="109"/>
      <c r="J14" s="109"/>
      <c r="K14" s="109"/>
      <c r="L14" s="109"/>
      <c r="M14" s="110"/>
      <c r="N14" s="60" t="s">
        <v>235</v>
      </c>
      <c r="O14" s="59" t="s">
        <v>236</v>
      </c>
      <c r="P14" s="108" t="s">
        <v>237</v>
      </c>
      <c r="Q14" s="109"/>
      <c r="R14" s="109"/>
      <c r="S14" s="109"/>
      <c r="T14" s="110"/>
      <c r="U14" s="60" t="s">
        <v>238</v>
      </c>
      <c r="V14" s="59" t="s">
        <v>239</v>
      </c>
      <c r="W14" s="59" t="s">
        <v>240</v>
      </c>
      <c r="X14" s="59" t="s">
        <v>241</v>
      </c>
      <c r="Y14" s="61" t="s">
        <v>41</v>
      </c>
      <c r="Z14" s="58" t="s">
        <v>242</v>
      </c>
      <c r="AA14" s="58" t="s">
        <v>243</v>
      </c>
      <c r="AB14" s="58" t="s">
        <v>244</v>
      </c>
      <c r="AC14" s="59" t="s">
        <v>245</v>
      </c>
      <c r="AD14" s="58" t="s">
        <v>246</v>
      </c>
      <c r="AE14" s="59" t="s">
        <v>40</v>
      </c>
    </row>
    <row r="15" spans="1:31" s="62" customFormat="1" ht="60" customHeight="1" x14ac:dyDescent="0.25">
      <c r="A15" s="62" t="s">
        <v>247</v>
      </c>
      <c r="B15" s="62" t="s">
        <v>46</v>
      </c>
      <c r="C15" s="62" t="s">
        <v>248</v>
      </c>
      <c r="D15" s="62" t="s">
        <v>249</v>
      </c>
      <c r="E15" s="63" t="s">
        <v>250</v>
      </c>
      <c r="F15" s="63" t="s">
        <v>251</v>
      </c>
      <c r="G15" s="63" t="s">
        <v>252</v>
      </c>
      <c r="H15" s="64" t="s">
        <v>253</v>
      </c>
      <c r="I15" s="64" t="s">
        <v>254</v>
      </c>
      <c r="J15" s="64" t="s">
        <v>255</v>
      </c>
      <c r="K15" s="64" t="s">
        <v>256</v>
      </c>
      <c r="L15" s="64" t="s">
        <v>257</v>
      </c>
      <c r="M15" s="64" t="s">
        <v>258</v>
      </c>
      <c r="N15" s="64" t="s">
        <v>259</v>
      </c>
      <c r="O15" s="63" t="s">
        <v>260</v>
      </c>
      <c r="P15" s="64" t="s">
        <v>253</v>
      </c>
      <c r="Q15" s="64" t="s">
        <v>254</v>
      </c>
      <c r="R15" s="64" t="s">
        <v>255</v>
      </c>
      <c r="S15" s="64" t="s">
        <v>256</v>
      </c>
      <c r="T15" s="64" t="s">
        <v>257</v>
      </c>
      <c r="U15" s="64" t="s">
        <v>259</v>
      </c>
      <c r="V15" s="63" t="s">
        <v>261</v>
      </c>
      <c r="W15" s="63" t="s">
        <v>262</v>
      </c>
      <c r="X15" s="63" t="s">
        <v>263</v>
      </c>
      <c r="Y15" s="65" t="s">
        <v>92</v>
      </c>
      <c r="Z15" s="62" t="s">
        <v>264</v>
      </c>
      <c r="AA15" s="62" t="s">
        <v>265</v>
      </c>
      <c r="AB15" s="62" t="s">
        <v>266</v>
      </c>
      <c r="AC15" s="63" t="s">
        <v>267</v>
      </c>
      <c r="AD15" s="62" t="s">
        <v>268</v>
      </c>
      <c r="AE15" s="63" t="s">
        <v>93</v>
      </c>
    </row>
    <row r="16" spans="1:31" s="66" customFormat="1" ht="11.4" x14ac:dyDescent="0.25">
      <c r="A16" s="66">
        <v>1</v>
      </c>
      <c r="B16" s="66" t="s">
        <v>107</v>
      </c>
      <c r="C16" s="66" t="s">
        <v>269</v>
      </c>
      <c r="D16" s="66" t="s">
        <v>270</v>
      </c>
      <c r="E16" s="67">
        <v>812.73</v>
      </c>
      <c r="F16" s="67">
        <v>11367</v>
      </c>
      <c r="G16" s="67">
        <v>11367</v>
      </c>
      <c r="H16" s="67">
        <v>1818.72</v>
      </c>
      <c r="I16" s="67">
        <v>1023.04</v>
      </c>
      <c r="J16" s="67">
        <v>56.84</v>
      </c>
      <c r="K16" s="67">
        <v>22.73</v>
      </c>
      <c r="L16" s="67"/>
      <c r="M16" s="67">
        <v>170.51</v>
      </c>
      <c r="N16" s="67">
        <v>796</v>
      </c>
      <c r="O16" s="67">
        <f t="shared" ref="O16:O53" si="0">SUM(H16:N16)</f>
        <v>3887.84</v>
      </c>
      <c r="P16" s="67">
        <v>909.36</v>
      </c>
      <c r="Q16" s="67">
        <v>227.34</v>
      </c>
      <c r="R16" s="67">
        <v>56.84</v>
      </c>
      <c r="S16" s="67"/>
      <c r="T16" s="67"/>
      <c r="U16" s="67">
        <v>796</v>
      </c>
      <c r="V16" s="67">
        <f t="shared" ref="V16:V53" si="1">SUM(P16:U16)</f>
        <v>1989.54</v>
      </c>
      <c r="W16" s="67">
        <v>5901.56</v>
      </c>
      <c r="X16" s="67"/>
      <c r="Y16" s="68">
        <f t="shared" ref="Y16:Y52" si="2">SUM(E16,O16,V16:X16)</f>
        <v>12591.67</v>
      </c>
      <c r="AA16" s="66" t="s">
        <v>271</v>
      </c>
      <c r="AB16" s="66" t="s">
        <v>108</v>
      </c>
      <c r="AC16" s="69">
        <v>11878.95</v>
      </c>
      <c r="AD16" s="66" t="s">
        <v>272</v>
      </c>
      <c r="AE16" s="69">
        <v>712.72</v>
      </c>
    </row>
    <row r="17" spans="1:31" s="66" customFormat="1" ht="11.4" x14ac:dyDescent="0.25">
      <c r="A17" s="66">
        <v>2</v>
      </c>
      <c r="B17" s="66" t="s">
        <v>176</v>
      </c>
      <c r="C17" s="66" t="s">
        <v>269</v>
      </c>
      <c r="D17" s="66" t="s">
        <v>270</v>
      </c>
      <c r="E17" s="67">
        <v>940.62</v>
      </c>
      <c r="F17" s="67">
        <v>7384</v>
      </c>
      <c r="G17" s="67">
        <v>5131</v>
      </c>
      <c r="H17" s="67">
        <v>1181.44</v>
      </c>
      <c r="I17" s="67">
        <v>664.56</v>
      </c>
      <c r="J17" s="67">
        <v>36.92</v>
      </c>
      <c r="K17" s="67">
        <v>14.77</v>
      </c>
      <c r="L17" s="67"/>
      <c r="M17" s="67">
        <v>110.76</v>
      </c>
      <c r="N17" s="67">
        <v>359</v>
      </c>
      <c r="O17" s="67">
        <f t="shared" si="0"/>
        <v>2367.4499999999998</v>
      </c>
      <c r="P17" s="67">
        <v>590.72</v>
      </c>
      <c r="Q17" s="67">
        <v>147.68</v>
      </c>
      <c r="R17" s="67">
        <v>36.92</v>
      </c>
      <c r="S17" s="67"/>
      <c r="T17" s="67"/>
      <c r="U17" s="67">
        <v>359</v>
      </c>
      <c r="V17" s="67">
        <f t="shared" si="1"/>
        <v>1134.3200000000002</v>
      </c>
      <c r="W17" s="67">
        <v>10408.469999999999</v>
      </c>
      <c r="X17" s="67"/>
      <c r="Y17" s="68">
        <f t="shared" si="2"/>
        <v>14850.859999999999</v>
      </c>
      <c r="AA17" s="66" t="s">
        <v>273</v>
      </c>
      <c r="AB17" s="66" t="s">
        <v>177</v>
      </c>
      <c r="AC17" s="69">
        <v>14010.23</v>
      </c>
      <c r="AD17" s="66" t="s">
        <v>272</v>
      </c>
      <c r="AE17" s="69">
        <v>840.63</v>
      </c>
    </row>
    <row r="18" spans="1:31" s="66" customFormat="1" ht="11.4" x14ac:dyDescent="0.25">
      <c r="A18" s="66">
        <v>3</v>
      </c>
      <c r="B18" s="66" t="s">
        <v>113</v>
      </c>
      <c r="C18" s="66" t="s">
        <v>269</v>
      </c>
      <c r="D18" s="66" t="s">
        <v>270</v>
      </c>
      <c r="E18" s="67">
        <v>699.94</v>
      </c>
      <c r="F18" s="67">
        <v>7963</v>
      </c>
      <c r="G18" s="67">
        <v>7963</v>
      </c>
      <c r="H18" s="67">
        <v>1274.08</v>
      </c>
      <c r="I18" s="67">
        <v>716.68</v>
      </c>
      <c r="J18" s="67">
        <v>39.82</v>
      </c>
      <c r="K18" s="67">
        <v>15.93</v>
      </c>
      <c r="L18" s="67"/>
      <c r="M18" s="67">
        <v>119.45</v>
      </c>
      <c r="N18" s="67">
        <v>557</v>
      </c>
      <c r="O18" s="67">
        <f t="shared" si="0"/>
        <v>2722.9599999999996</v>
      </c>
      <c r="P18" s="67">
        <v>637.04</v>
      </c>
      <c r="Q18" s="67">
        <v>159.26</v>
      </c>
      <c r="R18" s="67">
        <v>39.82</v>
      </c>
      <c r="S18" s="67"/>
      <c r="T18" s="67"/>
      <c r="U18" s="67">
        <v>557</v>
      </c>
      <c r="V18" s="67">
        <f t="shared" si="1"/>
        <v>1393.12</v>
      </c>
      <c r="W18" s="67">
        <v>5782.98</v>
      </c>
      <c r="X18" s="67"/>
      <c r="Y18" s="68">
        <f t="shared" si="2"/>
        <v>10599</v>
      </c>
      <c r="AA18" s="66" t="s">
        <v>274</v>
      </c>
      <c r="AB18" s="66" t="s">
        <v>114</v>
      </c>
      <c r="AC18" s="69">
        <v>9999.0499999999993</v>
      </c>
      <c r="AD18" s="66" t="s">
        <v>272</v>
      </c>
      <c r="AE18" s="69">
        <v>599.95000000000005</v>
      </c>
    </row>
    <row r="19" spans="1:31" s="66" customFormat="1" ht="11.4" x14ac:dyDescent="0.25">
      <c r="A19" s="66">
        <v>4</v>
      </c>
      <c r="B19" s="66" t="s">
        <v>197</v>
      </c>
      <c r="C19" s="66" t="s">
        <v>269</v>
      </c>
      <c r="D19" s="66" t="s">
        <v>270</v>
      </c>
      <c r="E19" s="67">
        <v>980.99</v>
      </c>
      <c r="F19" s="67">
        <v>13189</v>
      </c>
      <c r="G19" s="67">
        <v>13189</v>
      </c>
      <c r="H19" s="67">
        <v>2110.2399999999998</v>
      </c>
      <c r="I19" s="67">
        <v>1187.02</v>
      </c>
      <c r="J19" s="67">
        <v>65.95</v>
      </c>
      <c r="K19" s="67">
        <v>26.38</v>
      </c>
      <c r="L19" s="67"/>
      <c r="M19" s="67">
        <v>197.84</v>
      </c>
      <c r="N19" s="67">
        <v>923</v>
      </c>
      <c r="O19" s="67">
        <f t="shared" si="0"/>
        <v>4510.43</v>
      </c>
      <c r="P19" s="67">
        <v>1055.1199999999999</v>
      </c>
      <c r="Q19" s="67">
        <v>263.77999999999997</v>
      </c>
      <c r="R19" s="67">
        <v>65.95</v>
      </c>
      <c r="S19" s="67"/>
      <c r="T19" s="67"/>
      <c r="U19" s="67">
        <v>923</v>
      </c>
      <c r="V19" s="67">
        <f t="shared" si="1"/>
        <v>2307.85</v>
      </c>
      <c r="W19" s="67">
        <v>7764.85</v>
      </c>
      <c r="X19" s="67"/>
      <c r="Y19" s="68">
        <f t="shared" si="2"/>
        <v>15564.12</v>
      </c>
      <c r="AA19" s="66" t="s">
        <v>275</v>
      </c>
      <c r="AB19" s="66" t="s">
        <v>198</v>
      </c>
      <c r="AC19" s="69">
        <v>14683.13</v>
      </c>
      <c r="AD19" s="66" t="s">
        <v>272</v>
      </c>
      <c r="AE19" s="69">
        <v>880.99</v>
      </c>
    </row>
    <row r="20" spans="1:31" s="66" customFormat="1" ht="11.4" x14ac:dyDescent="0.25">
      <c r="A20" s="66">
        <v>5</v>
      </c>
      <c r="B20" s="66" t="s">
        <v>101</v>
      </c>
      <c r="C20" s="66" t="s">
        <v>269</v>
      </c>
      <c r="D20" s="66" t="s">
        <v>270</v>
      </c>
      <c r="E20" s="67">
        <v>740.18</v>
      </c>
      <c r="F20" s="67">
        <v>10363</v>
      </c>
      <c r="G20" s="67">
        <v>10363</v>
      </c>
      <c r="H20" s="67">
        <v>1658.08</v>
      </c>
      <c r="I20" s="67">
        <v>932.68</v>
      </c>
      <c r="J20" s="67">
        <v>51.82</v>
      </c>
      <c r="K20" s="67">
        <v>20.73</v>
      </c>
      <c r="L20" s="67"/>
      <c r="M20" s="67">
        <v>155.44999999999999</v>
      </c>
      <c r="N20" s="67">
        <v>725</v>
      </c>
      <c r="O20" s="67">
        <f t="shared" si="0"/>
        <v>3543.7599999999998</v>
      </c>
      <c r="P20" s="67">
        <v>829.04</v>
      </c>
      <c r="Q20" s="67">
        <v>207.26</v>
      </c>
      <c r="R20" s="67">
        <v>51.82</v>
      </c>
      <c r="S20" s="67"/>
      <c r="T20" s="67"/>
      <c r="U20" s="67">
        <v>725</v>
      </c>
      <c r="V20" s="67">
        <f t="shared" si="1"/>
        <v>1813.12</v>
      </c>
      <c r="W20" s="67">
        <v>5212.88</v>
      </c>
      <c r="X20" s="67"/>
      <c r="Y20" s="68">
        <f t="shared" si="2"/>
        <v>11309.939999999999</v>
      </c>
      <c r="AA20" s="66" t="s">
        <v>276</v>
      </c>
      <c r="AB20" s="66" t="s">
        <v>102</v>
      </c>
      <c r="AC20" s="69">
        <v>10669.76</v>
      </c>
      <c r="AD20" s="66" t="s">
        <v>272</v>
      </c>
      <c r="AE20" s="69">
        <v>640.17999999999995</v>
      </c>
    </row>
    <row r="21" spans="1:31" s="66" customFormat="1" ht="11.4" x14ac:dyDescent="0.25">
      <c r="A21" s="66">
        <v>6</v>
      </c>
      <c r="B21" s="66" t="s">
        <v>185</v>
      </c>
      <c r="C21" s="66" t="s">
        <v>269</v>
      </c>
      <c r="D21" s="66" t="s">
        <v>270</v>
      </c>
      <c r="E21" s="67">
        <v>517.78</v>
      </c>
      <c r="F21" s="67">
        <v>7384</v>
      </c>
      <c r="G21" s="67">
        <v>7287</v>
      </c>
      <c r="H21" s="67">
        <v>1181.44</v>
      </c>
      <c r="I21" s="67">
        <v>664.56</v>
      </c>
      <c r="J21" s="67">
        <v>36.92</v>
      </c>
      <c r="K21" s="67">
        <v>14.77</v>
      </c>
      <c r="L21" s="67"/>
      <c r="M21" s="67">
        <v>110.76</v>
      </c>
      <c r="N21" s="67">
        <v>510</v>
      </c>
      <c r="O21" s="67">
        <f t="shared" si="0"/>
        <v>2518.4499999999998</v>
      </c>
      <c r="P21" s="67">
        <v>590.72</v>
      </c>
      <c r="Q21" s="67">
        <v>147.68</v>
      </c>
      <c r="R21" s="67">
        <v>36.92</v>
      </c>
      <c r="S21" s="67"/>
      <c r="T21" s="67"/>
      <c r="U21" s="67">
        <v>510</v>
      </c>
      <c r="V21" s="67">
        <f t="shared" si="1"/>
        <v>1285.3200000000002</v>
      </c>
      <c r="W21" s="67">
        <v>3059.27</v>
      </c>
      <c r="X21" s="67"/>
      <c r="Y21" s="68">
        <f t="shared" si="2"/>
        <v>7380.82</v>
      </c>
      <c r="AA21" s="66" t="s">
        <v>277</v>
      </c>
      <c r="AB21" s="66" t="s">
        <v>186</v>
      </c>
      <c r="AC21" s="69">
        <v>6963.03</v>
      </c>
      <c r="AD21" s="66" t="s">
        <v>272</v>
      </c>
      <c r="AE21" s="69">
        <v>417.79</v>
      </c>
    </row>
    <row r="22" spans="1:31" s="66" customFormat="1" ht="11.4" x14ac:dyDescent="0.25">
      <c r="A22" s="66">
        <v>7</v>
      </c>
      <c r="B22" s="66" t="s">
        <v>152</v>
      </c>
      <c r="C22" s="66" t="s">
        <v>269</v>
      </c>
      <c r="D22" s="66" t="s">
        <v>270</v>
      </c>
      <c r="E22" s="67">
        <v>663.2</v>
      </c>
      <c r="F22" s="67">
        <v>10038</v>
      </c>
      <c r="G22" s="67">
        <v>10038</v>
      </c>
      <c r="H22" s="67">
        <v>1606.08</v>
      </c>
      <c r="I22" s="67">
        <v>903.42</v>
      </c>
      <c r="J22" s="67">
        <v>50.19</v>
      </c>
      <c r="K22" s="67">
        <v>20.079999999999998</v>
      </c>
      <c r="L22" s="67"/>
      <c r="M22" s="67">
        <v>150.57</v>
      </c>
      <c r="N22" s="67">
        <v>703</v>
      </c>
      <c r="O22" s="67">
        <f t="shared" si="0"/>
        <v>3433.34</v>
      </c>
      <c r="P22" s="67">
        <v>803.04</v>
      </c>
      <c r="Q22" s="67">
        <v>200.76</v>
      </c>
      <c r="R22" s="67">
        <v>50.19</v>
      </c>
      <c r="S22" s="67"/>
      <c r="T22" s="67"/>
      <c r="U22" s="67">
        <v>703</v>
      </c>
      <c r="V22" s="67">
        <f t="shared" si="1"/>
        <v>1756.99</v>
      </c>
      <c r="W22" s="67">
        <v>4096.3900000000003</v>
      </c>
      <c r="X22" s="67"/>
      <c r="Y22" s="68">
        <f t="shared" si="2"/>
        <v>9949.92</v>
      </c>
      <c r="AA22" s="66" t="s">
        <v>278</v>
      </c>
      <c r="AB22" s="66" t="s">
        <v>153</v>
      </c>
      <c r="AC22" s="69">
        <v>9386.73</v>
      </c>
      <c r="AD22" s="66" t="s">
        <v>272</v>
      </c>
      <c r="AE22" s="69">
        <v>563.19000000000005</v>
      </c>
    </row>
    <row r="23" spans="1:31" s="66" customFormat="1" ht="11.4" x14ac:dyDescent="0.25">
      <c r="A23" s="66">
        <v>8</v>
      </c>
      <c r="B23" s="66" t="s">
        <v>119</v>
      </c>
      <c r="C23" s="66" t="s">
        <v>269</v>
      </c>
      <c r="D23" s="66" t="s">
        <v>270</v>
      </c>
      <c r="E23" s="67">
        <v>539.25</v>
      </c>
      <c r="F23" s="67">
        <v>7546</v>
      </c>
      <c r="G23" s="67">
        <v>7546</v>
      </c>
      <c r="H23" s="67">
        <v>1207.3599999999999</v>
      </c>
      <c r="I23" s="67">
        <v>679.14</v>
      </c>
      <c r="J23" s="67">
        <v>37.729999999999997</v>
      </c>
      <c r="K23" s="67">
        <v>15.09</v>
      </c>
      <c r="L23" s="67"/>
      <c r="M23" s="67">
        <v>113.19</v>
      </c>
      <c r="N23" s="67">
        <v>528</v>
      </c>
      <c r="O23" s="67">
        <f t="shared" si="0"/>
        <v>2580.5099999999998</v>
      </c>
      <c r="P23" s="67">
        <v>603.67999999999995</v>
      </c>
      <c r="Q23" s="67">
        <v>150.91999999999999</v>
      </c>
      <c r="R23" s="67">
        <v>37.729999999999997</v>
      </c>
      <c r="S23" s="67"/>
      <c r="T23" s="67"/>
      <c r="U23" s="67">
        <v>528</v>
      </c>
      <c r="V23" s="67">
        <f t="shared" si="1"/>
        <v>1320.33</v>
      </c>
      <c r="W23" s="67">
        <v>3320</v>
      </c>
      <c r="X23" s="67"/>
      <c r="Y23" s="68">
        <f t="shared" si="2"/>
        <v>7760.09</v>
      </c>
      <c r="AA23" s="66" t="s">
        <v>279</v>
      </c>
      <c r="AB23" s="66" t="s">
        <v>120</v>
      </c>
      <c r="AC23" s="69">
        <v>7320.84</v>
      </c>
      <c r="AD23" s="66" t="s">
        <v>272</v>
      </c>
      <c r="AE23" s="69">
        <v>439.25</v>
      </c>
    </row>
    <row r="24" spans="1:31" s="66" customFormat="1" ht="11.4" x14ac:dyDescent="0.25">
      <c r="A24" s="66">
        <v>9</v>
      </c>
      <c r="B24" s="66" t="s">
        <v>173</v>
      </c>
      <c r="C24" s="66" t="s">
        <v>269</v>
      </c>
      <c r="D24" s="66" t="s">
        <v>270</v>
      </c>
      <c r="E24" s="67">
        <v>1075.23</v>
      </c>
      <c r="F24" s="67">
        <v>7384</v>
      </c>
      <c r="G24" s="67">
        <v>6844</v>
      </c>
      <c r="H24" s="67">
        <v>1181.44</v>
      </c>
      <c r="I24" s="67">
        <v>664.56</v>
      </c>
      <c r="J24" s="67">
        <v>36.92</v>
      </c>
      <c r="K24" s="67">
        <v>14.77</v>
      </c>
      <c r="L24" s="67"/>
      <c r="M24" s="67">
        <v>110.76</v>
      </c>
      <c r="N24" s="67">
        <v>479</v>
      </c>
      <c r="O24" s="67">
        <f t="shared" si="0"/>
        <v>2487.4499999999998</v>
      </c>
      <c r="P24" s="67">
        <v>590.72</v>
      </c>
      <c r="Q24" s="67">
        <v>147.68</v>
      </c>
      <c r="R24" s="67">
        <v>36.92</v>
      </c>
      <c r="S24" s="67"/>
      <c r="T24" s="67"/>
      <c r="U24" s="67">
        <v>479</v>
      </c>
      <c r="V24" s="67">
        <f t="shared" si="1"/>
        <v>1254.3200000000002</v>
      </c>
      <c r="W24" s="67">
        <v>12411.97</v>
      </c>
      <c r="X24" s="67"/>
      <c r="Y24" s="68">
        <f t="shared" si="2"/>
        <v>17228.97</v>
      </c>
      <c r="AA24" s="66" t="s">
        <v>280</v>
      </c>
      <c r="AB24" s="66" t="s">
        <v>174</v>
      </c>
      <c r="AC24" s="69">
        <v>16253.73</v>
      </c>
      <c r="AD24" s="66" t="s">
        <v>272</v>
      </c>
      <c r="AE24" s="69">
        <v>975.24</v>
      </c>
    </row>
    <row r="25" spans="1:31" s="66" customFormat="1" ht="11.4" x14ac:dyDescent="0.25">
      <c r="A25" s="66">
        <v>10</v>
      </c>
      <c r="B25" s="66" t="s">
        <v>122</v>
      </c>
      <c r="C25" s="66" t="s">
        <v>269</v>
      </c>
      <c r="D25" s="66" t="s">
        <v>270</v>
      </c>
      <c r="E25" s="67">
        <v>613.88</v>
      </c>
      <c r="F25" s="67">
        <v>7594</v>
      </c>
      <c r="G25" s="67">
        <v>7594</v>
      </c>
      <c r="H25" s="67">
        <v>1215.04</v>
      </c>
      <c r="I25" s="67">
        <v>683.46</v>
      </c>
      <c r="J25" s="67">
        <v>37.97</v>
      </c>
      <c r="K25" s="67">
        <v>15.19</v>
      </c>
      <c r="L25" s="67"/>
      <c r="M25" s="67">
        <v>113.91</v>
      </c>
      <c r="N25" s="67">
        <v>532</v>
      </c>
      <c r="O25" s="67">
        <f t="shared" si="0"/>
        <v>2597.5700000000002</v>
      </c>
      <c r="P25" s="67">
        <v>607.52</v>
      </c>
      <c r="Q25" s="67">
        <v>151.88</v>
      </c>
      <c r="R25" s="67">
        <v>37.97</v>
      </c>
      <c r="S25" s="67"/>
      <c r="T25" s="67"/>
      <c r="U25" s="67">
        <v>532</v>
      </c>
      <c r="V25" s="67">
        <f t="shared" si="1"/>
        <v>1329.37</v>
      </c>
      <c r="W25" s="67">
        <v>4537.7299999999996</v>
      </c>
      <c r="X25" s="67"/>
      <c r="Y25" s="68">
        <f t="shared" si="2"/>
        <v>9078.5499999999993</v>
      </c>
      <c r="AA25" s="66" t="s">
        <v>281</v>
      </c>
      <c r="AB25" s="66" t="s">
        <v>123</v>
      </c>
      <c r="AC25" s="69">
        <v>8564.68</v>
      </c>
      <c r="AD25" s="66" t="s">
        <v>272</v>
      </c>
      <c r="AE25" s="69">
        <v>513.87</v>
      </c>
    </row>
    <row r="26" spans="1:31" s="66" customFormat="1" ht="11.4" x14ac:dyDescent="0.25">
      <c r="A26" s="66">
        <v>11</v>
      </c>
      <c r="B26" s="66" t="s">
        <v>205</v>
      </c>
      <c r="C26" s="66" t="s">
        <v>269</v>
      </c>
      <c r="D26" s="70" t="s">
        <v>282</v>
      </c>
      <c r="E26" s="67">
        <v>516.6</v>
      </c>
      <c r="F26" s="67">
        <v>7384</v>
      </c>
      <c r="G26" s="67">
        <v>5000</v>
      </c>
      <c r="H26" s="67">
        <v>1181.44</v>
      </c>
      <c r="I26" s="67">
        <v>664.56</v>
      </c>
      <c r="J26" s="67">
        <v>36.92</v>
      </c>
      <c r="K26" s="67">
        <v>14.77</v>
      </c>
      <c r="L26" s="67"/>
      <c r="M26" s="67">
        <v>110.76</v>
      </c>
      <c r="N26" s="67">
        <v>350</v>
      </c>
      <c r="O26" s="67">
        <f t="shared" si="0"/>
        <v>2358.4499999999998</v>
      </c>
      <c r="P26" s="67">
        <v>590.72</v>
      </c>
      <c r="Q26" s="67">
        <v>147.68</v>
      </c>
      <c r="R26" s="67">
        <v>36.92</v>
      </c>
      <c r="S26" s="67"/>
      <c r="T26" s="67"/>
      <c r="U26" s="67">
        <v>350</v>
      </c>
      <c r="V26" s="67">
        <f t="shared" si="1"/>
        <v>1125.3200000000002</v>
      </c>
      <c r="W26" s="67">
        <v>3359.48</v>
      </c>
      <c r="X26" s="67"/>
      <c r="Y26" s="68">
        <f t="shared" si="2"/>
        <v>7359.85</v>
      </c>
      <c r="AA26" s="66" t="s">
        <v>283</v>
      </c>
      <c r="AB26" s="66" t="s">
        <v>284</v>
      </c>
      <c r="AC26" s="69">
        <v>6943.24</v>
      </c>
      <c r="AD26" s="66" t="s">
        <v>272</v>
      </c>
      <c r="AE26" s="69">
        <v>416.61</v>
      </c>
    </row>
    <row r="27" spans="1:31" s="66" customFormat="1" ht="11.4" x14ac:dyDescent="0.25">
      <c r="A27" s="66">
        <v>12</v>
      </c>
      <c r="B27" s="66" t="s">
        <v>125</v>
      </c>
      <c r="C27" s="66" t="s">
        <v>269</v>
      </c>
      <c r="D27" s="66" t="s">
        <v>270</v>
      </c>
      <c r="E27" s="67">
        <v>1065.51</v>
      </c>
      <c r="F27" s="67">
        <v>11264</v>
      </c>
      <c r="G27" s="67">
        <v>11264</v>
      </c>
      <c r="H27" s="67">
        <v>1802.24</v>
      </c>
      <c r="I27" s="67">
        <v>1013.76</v>
      </c>
      <c r="J27" s="67">
        <v>56.32</v>
      </c>
      <c r="K27" s="67">
        <v>22.53</v>
      </c>
      <c r="L27" s="67"/>
      <c r="M27" s="67">
        <v>168.96</v>
      </c>
      <c r="N27" s="67">
        <v>788</v>
      </c>
      <c r="O27" s="67">
        <f t="shared" si="0"/>
        <v>3851.8100000000004</v>
      </c>
      <c r="P27" s="67">
        <v>901.12</v>
      </c>
      <c r="Q27" s="67">
        <v>225.28</v>
      </c>
      <c r="R27" s="67">
        <v>56.32</v>
      </c>
      <c r="S27" s="67"/>
      <c r="T27" s="67"/>
      <c r="U27" s="67">
        <v>788</v>
      </c>
      <c r="V27" s="67">
        <f t="shared" si="1"/>
        <v>1970.72</v>
      </c>
      <c r="W27" s="67">
        <v>10169.379999999999</v>
      </c>
      <c r="X27" s="67"/>
      <c r="Y27" s="68">
        <f t="shared" si="2"/>
        <v>17057.419999999998</v>
      </c>
      <c r="AA27" s="66" t="s">
        <v>285</v>
      </c>
      <c r="AB27" s="66" t="s">
        <v>126</v>
      </c>
      <c r="AC27" s="69">
        <v>16091.9</v>
      </c>
      <c r="AD27" s="66" t="s">
        <v>272</v>
      </c>
      <c r="AE27" s="69">
        <v>965.52</v>
      </c>
    </row>
    <row r="28" spans="1:31" s="66" customFormat="1" ht="11.4" x14ac:dyDescent="0.25">
      <c r="A28" s="66">
        <v>13</v>
      </c>
      <c r="B28" s="66" t="s">
        <v>104</v>
      </c>
      <c r="C28" s="66" t="s">
        <v>269</v>
      </c>
      <c r="D28" s="66" t="s">
        <v>270</v>
      </c>
      <c r="E28" s="67">
        <v>707.29</v>
      </c>
      <c r="F28" s="67">
        <v>11829</v>
      </c>
      <c r="G28" s="67">
        <v>11829</v>
      </c>
      <c r="H28" s="67">
        <v>1892.64</v>
      </c>
      <c r="I28" s="67">
        <v>1064.6199999999999</v>
      </c>
      <c r="J28" s="67">
        <v>59.15</v>
      </c>
      <c r="K28" s="67">
        <v>23.66</v>
      </c>
      <c r="L28" s="67"/>
      <c r="M28" s="67">
        <v>177.44</v>
      </c>
      <c r="N28" s="67">
        <v>828</v>
      </c>
      <c r="O28" s="67">
        <f t="shared" si="0"/>
        <v>4045.51</v>
      </c>
      <c r="P28" s="67">
        <v>946.32</v>
      </c>
      <c r="Q28" s="67">
        <v>236.58</v>
      </c>
      <c r="R28" s="67">
        <v>59.15</v>
      </c>
      <c r="S28" s="67"/>
      <c r="T28" s="67"/>
      <c r="U28" s="67">
        <v>828</v>
      </c>
      <c r="V28" s="67">
        <f t="shared" si="1"/>
        <v>2070.0500000000002</v>
      </c>
      <c r="W28" s="67">
        <v>3905.95</v>
      </c>
      <c r="X28" s="67"/>
      <c r="Y28" s="68">
        <f t="shared" si="2"/>
        <v>10728.8</v>
      </c>
      <c r="AA28" s="66" t="s">
        <v>286</v>
      </c>
      <c r="AB28" s="66" t="s">
        <v>105</v>
      </c>
      <c r="AC28" s="69">
        <v>10121.5</v>
      </c>
      <c r="AD28" s="66" t="s">
        <v>272</v>
      </c>
      <c r="AE28" s="69">
        <v>607.29999999999995</v>
      </c>
    </row>
    <row r="29" spans="1:31" s="66" customFormat="1" ht="11.4" x14ac:dyDescent="0.25">
      <c r="A29" s="66">
        <v>14</v>
      </c>
      <c r="B29" s="66" t="s">
        <v>116</v>
      </c>
      <c r="C29" s="66" t="s">
        <v>269</v>
      </c>
      <c r="D29" s="66" t="s">
        <v>270</v>
      </c>
      <c r="E29" s="67">
        <v>658.39</v>
      </c>
      <c r="F29" s="67">
        <v>11386</v>
      </c>
      <c r="G29" s="67">
        <v>11386</v>
      </c>
      <c r="H29" s="67">
        <v>1821.76</v>
      </c>
      <c r="I29" s="67">
        <v>1024.74</v>
      </c>
      <c r="J29" s="67">
        <v>56.93</v>
      </c>
      <c r="K29" s="67">
        <v>22.77</v>
      </c>
      <c r="L29" s="67"/>
      <c r="M29" s="67">
        <v>170.79</v>
      </c>
      <c r="N29" s="67">
        <v>797</v>
      </c>
      <c r="O29" s="67">
        <f t="shared" si="0"/>
        <v>3893.99</v>
      </c>
      <c r="P29" s="67">
        <v>910.88</v>
      </c>
      <c r="Q29" s="67">
        <v>227.72</v>
      </c>
      <c r="R29" s="67">
        <v>56.93</v>
      </c>
      <c r="S29" s="67"/>
      <c r="T29" s="67"/>
      <c r="U29" s="67">
        <v>797</v>
      </c>
      <c r="V29" s="67">
        <f t="shared" si="1"/>
        <v>1992.53</v>
      </c>
      <c r="W29" s="67">
        <v>3320</v>
      </c>
      <c r="X29" s="67"/>
      <c r="Y29" s="68">
        <f t="shared" si="2"/>
        <v>9864.91</v>
      </c>
      <c r="AA29" s="66" t="s">
        <v>287</v>
      </c>
      <c r="AB29" s="66" t="s">
        <v>117</v>
      </c>
      <c r="AC29" s="69">
        <v>9306.51</v>
      </c>
      <c r="AD29" s="66" t="s">
        <v>272</v>
      </c>
      <c r="AE29" s="69">
        <v>558.4</v>
      </c>
    </row>
    <row r="30" spans="1:31" s="66" customFormat="1" ht="11.4" x14ac:dyDescent="0.25">
      <c r="A30" s="66">
        <v>15</v>
      </c>
      <c r="B30" s="66" t="s">
        <v>146</v>
      </c>
      <c r="C30" s="66" t="s">
        <v>269</v>
      </c>
      <c r="D30" s="66" t="s">
        <v>270</v>
      </c>
      <c r="E30" s="67">
        <v>852.68000000000006</v>
      </c>
      <c r="F30" s="67">
        <v>7661</v>
      </c>
      <c r="G30" s="67">
        <v>7661</v>
      </c>
      <c r="H30" s="67">
        <v>1225.76</v>
      </c>
      <c r="I30" s="67">
        <v>689.5</v>
      </c>
      <c r="J30" s="67">
        <v>38.31</v>
      </c>
      <c r="K30" s="67">
        <v>15.32</v>
      </c>
      <c r="L30" s="67"/>
      <c r="M30" s="67">
        <v>114.92</v>
      </c>
      <c r="N30" s="67">
        <v>536</v>
      </c>
      <c r="O30" s="67">
        <f t="shared" si="0"/>
        <v>2619.81</v>
      </c>
      <c r="P30" s="67">
        <v>612.88</v>
      </c>
      <c r="Q30" s="67">
        <v>153.22</v>
      </c>
      <c r="R30" s="67">
        <v>38.31</v>
      </c>
      <c r="S30" s="67"/>
      <c r="T30" s="67"/>
      <c r="U30" s="67">
        <v>536</v>
      </c>
      <c r="V30" s="67">
        <f t="shared" si="1"/>
        <v>1340.41</v>
      </c>
      <c r="W30" s="67">
        <v>8484.57</v>
      </c>
      <c r="X30" s="67"/>
      <c r="Y30" s="68">
        <f t="shared" si="2"/>
        <v>13297.47</v>
      </c>
      <c r="AA30" s="66" t="s">
        <v>288</v>
      </c>
      <c r="AB30" s="66" t="s">
        <v>147</v>
      </c>
      <c r="AC30" s="69">
        <v>12544.78</v>
      </c>
      <c r="AD30" s="66" t="s">
        <v>272</v>
      </c>
      <c r="AE30" s="69">
        <v>752.69</v>
      </c>
    </row>
    <row r="31" spans="1:31" s="66" customFormat="1" ht="11.4" x14ac:dyDescent="0.25">
      <c r="A31" s="66">
        <v>16</v>
      </c>
      <c r="B31" s="66" t="s">
        <v>155</v>
      </c>
      <c r="C31" s="66" t="s">
        <v>269</v>
      </c>
      <c r="D31" s="66" t="s">
        <v>270</v>
      </c>
      <c r="E31" s="67">
        <v>784.39</v>
      </c>
      <c r="F31" s="67">
        <v>7384</v>
      </c>
      <c r="G31" s="67">
        <v>7375</v>
      </c>
      <c r="H31" s="67">
        <v>1181.44</v>
      </c>
      <c r="I31" s="67">
        <v>664.56</v>
      </c>
      <c r="J31" s="67">
        <v>36.92</v>
      </c>
      <c r="K31" s="67">
        <v>14.77</v>
      </c>
      <c r="L31" s="67"/>
      <c r="M31" s="67">
        <v>110.76</v>
      </c>
      <c r="N31" s="67">
        <v>516</v>
      </c>
      <c r="O31" s="67">
        <f t="shared" si="0"/>
        <v>2524.4499999999998</v>
      </c>
      <c r="P31" s="67">
        <v>590.72</v>
      </c>
      <c r="Q31" s="67">
        <v>147.68</v>
      </c>
      <c r="R31" s="67">
        <v>36.92</v>
      </c>
      <c r="S31" s="67"/>
      <c r="T31" s="67"/>
      <c r="U31" s="67">
        <v>516</v>
      </c>
      <c r="V31" s="67">
        <f t="shared" si="1"/>
        <v>1291.3200000000002</v>
      </c>
      <c r="W31" s="67">
        <v>7490.66</v>
      </c>
      <c r="X31" s="67"/>
      <c r="Y31" s="68">
        <f t="shared" si="2"/>
        <v>12090.82</v>
      </c>
      <c r="AA31" s="66" t="s">
        <v>289</v>
      </c>
      <c r="AB31" s="66" t="s">
        <v>156</v>
      </c>
      <c r="AC31" s="69">
        <v>11406.42</v>
      </c>
      <c r="AD31" s="66" t="s">
        <v>272</v>
      </c>
      <c r="AE31" s="69">
        <v>684.4</v>
      </c>
    </row>
    <row r="32" spans="1:31" s="66" customFormat="1" ht="11.4" x14ac:dyDescent="0.25">
      <c r="A32" s="66">
        <v>17</v>
      </c>
      <c r="B32" s="66" t="s">
        <v>128</v>
      </c>
      <c r="C32" s="66" t="s">
        <v>269</v>
      </c>
      <c r="D32" s="66" t="s">
        <v>270</v>
      </c>
      <c r="E32" s="67">
        <v>1182.3</v>
      </c>
      <c r="F32" s="67">
        <v>11463</v>
      </c>
      <c r="G32" s="67">
        <v>11463</v>
      </c>
      <c r="H32" s="67">
        <v>1834.08</v>
      </c>
      <c r="I32" s="67">
        <v>1031.68</v>
      </c>
      <c r="J32" s="67">
        <v>57.32</v>
      </c>
      <c r="K32" s="67">
        <v>22.93</v>
      </c>
      <c r="L32" s="67"/>
      <c r="M32" s="67">
        <v>171.95</v>
      </c>
      <c r="N32" s="67">
        <v>802</v>
      </c>
      <c r="O32" s="67">
        <f t="shared" si="0"/>
        <v>3919.96</v>
      </c>
      <c r="P32" s="67">
        <v>917.04</v>
      </c>
      <c r="Q32" s="67">
        <v>229.26</v>
      </c>
      <c r="R32" s="67">
        <v>57.32</v>
      </c>
      <c r="S32" s="67"/>
      <c r="T32" s="67"/>
      <c r="U32" s="67">
        <v>802</v>
      </c>
      <c r="V32" s="67">
        <f t="shared" si="1"/>
        <v>2005.62</v>
      </c>
      <c r="W32" s="67">
        <v>12012.78</v>
      </c>
      <c r="X32" s="67"/>
      <c r="Y32" s="68">
        <f t="shared" si="2"/>
        <v>19120.66</v>
      </c>
      <c r="AA32" s="66" t="s">
        <v>290</v>
      </c>
      <c r="AB32" s="66" t="s">
        <v>129</v>
      </c>
      <c r="AC32" s="69">
        <v>18038.349999999999</v>
      </c>
      <c r="AD32" s="66" t="s">
        <v>272</v>
      </c>
      <c r="AE32" s="69">
        <v>1082.31</v>
      </c>
    </row>
    <row r="33" spans="1:31" s="66" customFormat="1" ht="11.4" x14ac:dyDescent="0.25">
      <c r="A33" s="66">
        <v>18</v>
      </c>
      <c r="B33" s="66" t="s">
        <v>143</v>
      </c>
      <c r="C33" s="66" t="s">
        <v>269</v>
      </c>
      <c r="D33" s="66" t="s">
        <v>291</v>
      </c>
      <c r="E33" s="67">
        <v>1286.78</v>
      </c>
      <c r="F33" s="67">
        <v>7384</v>
      </c>
      <c r="G33" s="67">
        <v>2690</v>
      </c>
      <c r="H33" s="67">
        <v>1181.44</v>
      </c>
      <c r="I33" s="67">
        <v>664.56</v>
      </c>
      <c r="J33" s="67">
        <v>36.92</v>
      </c>
      <c r="K33" s="67">
        <v>14.77</v>
      </c>
      <c r="L33" s="67"/>
      <c r="M33" s="67">
        <v>110.76</v>
      </c>
      <c r="N33" s="67">
        <v>188</v>
      </c>
      <c r="O33" s="67">
        <f t="shared" si="0"/>
        <v>2196.4499999999998</v>
      </c>
      <c r="P33" s="67">
        <v>590.72</v>
      </c>
      <c r="Q33" s="67">
        <v>147.68</v>
      </c>
      <c r="R33" s="67">
        <v>36.92</v>
      </c>
      <c r="S33" s="67"/>
      <c r="T33" s="67"/>
      <c r="U33" s="67">
        <v>188</v>
      </c>
      <c r="V33" s="67">
        <f t="shared" si="1"/>
        <v>963.32</v>
      </c>
      <c r="W33" s="67">
        <v>16519.78</v>
      </c>
      <c r="X33" s="67"/>
      <c r="Y33" s="68">
        <f t="shared" si="2"/>
        <v>20966.329999999998</v>
      </c>
      <c r="AA33" s="66" t="s">
        <v>292</v>
      </c>
      <c r="AB33" s="66" t="s">
        <v>144</v>
      </c>
      <c r="AC33" s="69">
        <v>19779.54</v>
      </c>
      <c r="AD33" s="66" t="s">
        <v>272</v>
      </c>
      <c r="AE33" s="69">
        <v>1186.79</v>
      </c>
    </row>
    <row r="34" spans="1:31" s="66" customFormat="1" ht="11.4" x14ac:dyDescent="0.25">
      <c r="A34" s="66">
        <v>19</v>
      </c>
      <c r="B34" s="66" t="s">
        <v>164</v>
      </c>
      <c r="C34" s="66" t="s">
        <v>269</v>
      </c>
      <c r="D34" s="66" t="s">
        <v>270</v>
      </c>
      <c r="E34" s="67">
        <v>1058.1299999999999</v>
      </c>
      <c r="F34" s="67">
        <v>7384</v>
      </c>
      <c r="G34" s="67">
        <v>6207</v>
      </c>
      <c r="H34" s="67">
        <v>1181.44</v>
      </c>
      <c r="I34" s="67">
        <v>664.56</v>
      </c>
      <c r="J34" s="67">
        <v>36.92</v>
      </c>
      <c r="K34" s="67">
        <v>14.77</v>
      </c>
      <c r="L34" s="67"/>
      <c r="M34" s="67">
        <v>110.76</v>
      </c>
      <c r="N34" s="67">
        <v>434</v>
      </c>
      <c r="O34" s="67">
        <f t="shared" si="0"/>
        <v>2442.4499999999998</v>
      </c>
      <c r="P34" s="67">
        <v>590.72</v>
      </c>
      <c r="Q34" s="67">
        <v>147.68</v>
      </c>
      <c r="R34" s="67">
        <v>36.92</v>
      </c>
      <c r="S34" s="67"/>
      <c r="T34" s="67"/>
      <c r="U34" s="67">
        <v>434</v>
      </c>
      <c r="V34" s="67">
        <f t="shared" si="1"/>
        <v>1209.3200000000002</v>
      </c>
      <c r="W34" s="67">
        <v>12216.98</v>
      </c>
      <c r="X34" s="67"/>
      <c r="Y34" s="68">
        <f t="shared" si="2"/>
        <v>16926.879999999997</v>
      </c>
      <c r="AA34" s="66" t="s">
        <v>293</v>
      </c>
      <c r="AB34" s="66" t="s">
        <v>165</v>
      </c>
      <c r="AC34" s="69">
        <v>15968.74</v>
      </c>
      <c r="AD34" s="66" t="s">
        <v>272</v>
      </c>
      <c r="AE34" s="69">
        <v>958.14</v>
      </c>
    </row>
    <row r="35" spans="1:31" s="66" customFormat="1" ht="11.4" x14ac:dyDescent="0.25">
      <c r="A35" s="66">
        <v>20</v>
      </c>
      <c r="B35" s="66" t="s">
        <v>134</v>
      </c>
      <c r="C35" s="66" t="s">
        <v>269</v>
      </c>
      <c r="D35" s="66" t="s">
        <v>270</v>
      </c>
      <c r="E35" s="67">
        <v>686.18999999999994</v>
      </c>
      <c r="F35" s="67">
        <v>8179</v>
      </c>
      <c r="G35" s="67">
        <v>8179</v>
      </c>
      <c r="H35" s="67">
        <v>1308.6400000000001</v>
      </c>
      <c r="I35" s="67">
        <v>736.12</v>
      </c>
      <c r="J35" s="67">
        <v>40.9</v>
      </c>
      <c r="K35" s="67">
        <v>16.36</v>
      </c>
      <c r="L35" s="67"/>
      <c r="M35" s="67">
        <v>122.69</v>
      </c>
      <c r="N35" s="67">
        <v>573</v>
      </c>
      <c r="O35" s="67">
        <f t="shared" si="0"/>
        <v>2797.7100000000005</v>
      </c>
      <c r="P35" s="67">
        <v>654.32000000000005</v>
      </c>
      <c r="Q35" s="67">
        <v>163.58000000000001</v>
      </c>
      <c r="R35" s="67">
        <v>40.9</v>
      </c>
      <c r="S35" s="67"/>
      <c r="T35" s="67"/>
      <c r="U35" s="67">
        <v>573</v>
      </c>
      <c r="V35" s="67">
        <f t="shared" si="1"/>
        <v>1431.8000000000002</v>
      </c>
      <c r="W35" s="67">
        <v>5440.4</v>
      </c>
      <c r="X35" s="67"/>
      <c r="Y35" s="68">
        <f t="shared" si="2"/>
        <v>10356.1</v>
      </c>
      <c r="AA35" s="66" t="s">
        <v>294</v>
      </c>
      <c r="AB35" s="66" t="s">
        <v>135</v>
      </c>
      <c r="AC35" s="69">
        <v>9769.92</v>
      </c>
      <c r="AD35" s="66" t="s">
        <v>272</v>
      </c>
      <c r="AE35" s="69">
        <v>586.17999999999995</v>
      </c>
    </row>
    <row r="36" spans="1:31" s="66" customFormat="1" ht="11.4" x14ac:dyDescent="0.25">
      <c r="A36" s="66">
        <v>21</v>
      </c>
      <c r="B36" s="66" t="s">
        <v>207</v>
      </c>
      <c r="C36" s="66" t="s">
        <v>269</v>
      </c>
      <c r="D36" s="70" t="s">
        <v>282</v>
      </c>
      <c r="E36" s="67">
        <v>843.31</v>
      </c>
      <c r="F36" s="67">
        <v>14476.16</v>
      </c>
      <c r="G36" s="67">
        <v>14476.16</v>
      </c>
      <c r="H36" s="67">
        <v>2316.19</v>
      </c>
      <c r="I36" s="67">
        <v>1302.8499999999999</v>
      </c>
      <c r="J36" s="67">
        <v>72.38</v>
      </c>
      <c r="K36" s="67">
        <v>28.95</v>
      </c>
      <c r="L36" s="67"/>
      <c r="M36" s="67">
        <v>217.14</v>
      </c>
      <c r="N36" s="67">
        <v>1013</v>
      </c>
      <c r="O36" s="67">
        <f t="shared" si="0"/>
        <v>4950.51</v>
      </c>
      <c r="P36" s="67">
        <v>1158.0899999999999</v>
      </c>
      <c r="Q36" s="67">
        <v>289.52</v>
      </c>
      <c r="R36" s="67">
        <v>72.38</v>
      </c>
      <c r="S36" s="67"/>
      <c r="T36" s="67"/>
      <c r="U36" s="67">
        <v>1013</v>
      </c>
      <c r="V36" s="67">
        <f t="shared" si="1"/>
        <v>2532.9899999999998</v>
      </c>
      <c r="W36" s="67">
        <v>4805.01</v>
      </c>
      <c r="X36" s="67"/>
      <c r="Y36" s="68">
        <f t="shared" si="2"/>
        <v>13131.82</v>
      </c>
      <c r="AA36" s="66" t="s">
        <v>295</v>
      </c>
      <c r="AB36" s="66" t="s">
        <v>296</v>
      </c>
      <c r="AC36" s="69">
        <v>12388.51</v>
      </c>
      <c r="AD36" s="66" t="s">
        <v>272</v>
      </c>
      <c r="AE36" s="69">
        <v>743.31</v>
      </c>
    </row>
    <row r="37" spans="1:31" s="66" customFormat="1" ht="11.4" x14ac:dyDescent="0.25">
      <c r="A37" s="66">
        <v>22</v>
      </c>
      <c r="B37" s="66" t="s">
        <v>191</v>
      </c>
      <c r="C37" s="66" t="s">
        <v>269</v>
      </c>
      <c r="D37" s="66" t="s">
        <v>270</v>
      </c>
      <c r="E37" s="67">
        <v>751.58</v>
      </c>
      <c r="F37" s="67">
        <v>7399</v>
      </c>
      <c r="G37" s="67">
        <v>7399</v>
      </c>
      <c r="H37" s="67">
        <v>1183.8399999999999</v>
      </c>
      <c r="I37" s="67">
        <v>665.92</v>
      </c>
      <c r="J37" s="67">
        <v>37</v>
      </c>
      <c r="K37" s="67">
        <v>14.8</v>
      </c>
      <c r="L37" s="67"/>
      <c r="M37" s="67">
        <v>110.99</v>
      </c>
      <c r="N37" s="67">
        <v>518</v>
      </c>
      <c r="O37" s="67">
        <f t="shared" si="0"/>
        <v>2530.5499999999997</v>
      </c>
      <c r="P37" s="67">
        <v>591.91999999999996</v>
      </c>
      <c r="Q37" s="67">
        <v>147.97999999999999</v>
      </c>
      <c r="R37" s="67">
        <v>37</v>
      </c>
      <c r="S37" s="67"/>
      <c r="T37" s="67"/>
      <c r="U37" s="67">
        <v>518</v>
      </c>
      <c r="V37" s="67">
        <f t="shared" si="1"/>
        <v>1294.9000000000001</v>
      </c>
      <c r="W37" s="67">
        <v>6934.22</v>
      </c>
      <c r="X37" s="67"/>
      <c r="Y37" s="68">
        <f t="shared" si="2"/>
        <v>11511.25</v>
      </c>
      <c r="AA37" s="66" t="s">
        <v>297</v>
      </c>
      <c r="AB37" s="66" t="s">
        <v>192</v>
      </c>
      <c r="AC37" s="69">
        <v>10859.66</v>
      </c>
      <c r="AD37" s="66" t="s">
        <v>272</v>
      </c>
      <c r="AE37" s="69">
        <v>651.59</v>
      </c>
    </row>
    <row r="38" spans="1:31" s="66" customFormat="1" ht="11.4" x14ac:dyDescent="0.25">
      <c r="A38" s="66">
        <v>23</v>
      </c>
      <c r="B38" s="66" t="s">
        <v>194</v>
      </c>
      <c r="C38" s="66" t="s">
        <v>269</v>
      </c>
      <c r="D38" s="66" t="s">
        <v>270</v>
      </c>
      <c r="E38" s="67">
        <v>678.39</v>
      </c>
      <c r="F38" s="67">
        <v>7384</v>
      </c>
      <c r="G38" s="67">
        <v>7155</v>
      </c>
      <c r="H38" s="67">
        <v>1181.44</v>
      </c>
      <c r="I38" s="67">
        <v>664.56</v>
      </c>
      <c r="J38" s="67">
        <v>36.92</v>
      </c>
      <c r="K38" s="67">
        <v>14.77</v>
      </c>
      <c r="L38" s="67"/>
      <c r="M38" s="67">
        <v>110.76</v>
      </c>
      <c r="N38" s="67">
        <v>501</v>
      </c>
      <c r="O38" s="67">
        <f t="shared" si="0"/>
        <v>2509.4499999999998</v>
      </c>
      <c r="P38" s="67">
        <v>590.72</v>
      </c>
      <c r="Q38" s="67">
        <v>147.68</v>
      </c>
      <c r="R38" s="67">
        <v>36.92</v>
      </c>
      <c r="S38" s="67"/>
      <c r="T38" s="67"/>
      <c r="U38" s="67">
        <v>501</v>
      </c>
      <c r="V38" s="67">
        <f t="shared" si="1"/>
        <v>1276.3200000000002</v>
      </c>
      <c r="W38" s="67">
        <v>5754.03</v>
      </c>
      <c r="X38" s="67"/>
      <c r="Y38" s="68">
        <f t="shared" si="2"/>
        <v>10218.189999999999</v>
      </c>
      <c r="AA38" s="66" t="s">
        <v>298</v>
      </c>
      <c r="AB38" s="66" t="s">
        <v>195</v>
      </c>
      <c r="AC38" s="69">
        <v>9639.7900000000009</v>
      </c>
      <c r="AD38" s="66" t="s">
        <v>272</v>
      </c>
      <c r="AE38" s="69">
        <v>578.4</v>
      </c>
    </row>
    <row r="39" spans="1:31" s="66" customFormat="1" ht="11.4" x14ac:dyDescent="0.25">
      <c r="A39" s="66">
        <v>24</v>
      </c>
      <c r="B39" s="66" t="s">
        <v>161</v>
      </c>
      <c r="C39" s="66" t="s">
        <v>269</v>
      </c>
      <c r="D39" s="66" t="s">
        <v>270</v>
      </c>
      <c r="E39" s="67">
        <v>579.86</v>
      </c>
      <c r="F39" s="67">
        <v>7384</v>
      </c>
      <c r="G39" s="67">
        <v>3607</v>
      </c>
      <c r="H39" s="67">
        <v>1181.44</v>
      </c>
      <c r="I39" s="67">
        <v>664.56</v>
      </c>
      <c r="J39" s="67">
        <v>36.92</v>
      </c>
      <c r="K39" s="67">
        <v>14.77</v>
      </c>
      <c r="L39" s="67"/>
      <c r="M39" s="67">
        <v>110.76</v>
      </c>
      <c r="N39" s="67">
        <v>252</v>
      </c>
      <c r="O39" s="67">
        <f t="shared" si="0"/>
        <v>2260.4499999999998</v>
      </c>
      <c r="P39" s="67">
        <v>590.72</v>
      </c>
      <c r="Q39" s="67">
        <v>147.68</v>
      </c>
      <c r="R39" s="67">
        <v>36.92</v>
      </c>
      <c r="S39" s="67"/>
      <c r="T39" s="67"/>
      <c r="U39" s="67">
        <v>252</v>
      </c>
      <c r="V39" s="67">
        <f t="shared" si="1"/>
        <v>1027.3200000000002</v>
      </c>
      <c r="W39" s="67">
        <v>4609.78</v>
      </c>
      <c r="X39" s="67"/>
      <c r="Y39" s="68">
        <f t="shared" si="2"/>
        <v>8477.41</v>
      </c>
      <c r="AA39" s="66" t="s">
        <v>299</v>
      </c>
      <c r="AB39" s="66" t="s">
        <v>162</v>
      </c>
      <c r="AC39" s="69">
        <v>7997.54</v>
      </c>
      <c r="AD39" s="66" t="s">
        <v>272</v>
      </c>
      <c r="AE39" s="69">
        <v>479.87</v>
      </c>
    </row>
    <row r="40" spans="1:31" s="66" customFormat="1" ht="11.4" x14ac:dyDescent="0.25">
      <c r="A40" s="66">
        <v>25</v>
      </c>
      <c r="B40" s="66" t="s">
        <v>140</v>
      </c>
      <c r="C40" s="66" t="s">
        <v>269</v>
      </c>
      <c r="D40" s="66" t="s">
        <v>300</v>
      </c>
      <c r="E40" s="67">
        <v>1131.08</v>
      </c>
      <c r="F40" s="67">
        <v>9889</v>
      </c>
      <c r="G40" s="67">
        <v>9889</v>
      </c>
      <c r="H40" s="67">
        <v>1582.24</v>
      </c>
      <c r="I40" s="67">
        <v>890.02</v>
      </c>
      <c r="J40" s="67">
        <v>49.45</v>
      </c>
      <c r="K40" s="67">
        <v>19.78</v>
      </c>
      <c r="L40" s="67"/>
      <c r="M40" s="67">
        <v>148.34</v>
      </c>
      <c r="N40" s="67">
        <v>692</v>
      </c>
      <c r="O40" s="67">
        <f t="shared" si="0"/>
        <v>3381.8300000000004</v>
      </c>
      <c r="P40" s="67">
        <v>791.12</v>
      </c>
      <c r="Q40" s="67">
        <v>197.78</v>
      </c>
      <c r="R40" s="67">
        <v>49.45</v>
      </c>
      <c r="S40" s="67"/>
      <c r="T40" s="67"/>
      <c r="U40" s="67">
        <v>692</v>
      </c>
      <c r="V40" s="67">
        <f t="shared" si="1"/>
        <v>1730.35</v>
      </c>
      <c r="W40" s="67">
        <v>11972.45</v>
      </c>
      <c r="X40" s="67"/>
      <c r="Y40" s="68">
        <f t="shared" si="2"/>
        <v>18215.71</v>
      </c>
      <c r="AA40" s="66" t="s">
        <v>301</v>
      </c>
      <c r="AB40" s="66" t="s">
        <v>141</v>
      </c>
      <c r="AC40" s="69">
        <v>17184.62</v>
      </c>
      <c r="AD40" s="66" t="s">
        <v>272</v>
      </c>
      <c r="AE40" s="69">
        <v>1031.0899999999999</v>
      </c>
    </row>
    <row r="41" spans="1:31" s="66" customFormat="1" ht="11.4" x14ac:dyDescent="0.25">
      <c r="A41" s="66">
        <v>26</v>
      </c>
      <c r="B41" s="66" t="s">
        <v>188</v>
      </c>
      <c r="C41" s="66" t="s">
        <v>269</v>
      </c>
      <c r="D41" s="66" t="s">
        <v>270</v>
      </c>
      <c r="E41" s="67">
        <v>527.30999999999995</v>
      </c>
      <c r="F41" s="67">
        <v>7384</v>
      </c>
      <c r="G41" s="67">
        <v>6558</v>
      </c>
      <c r="H41" s="67">
        <v>1181.44</v>
      </c>
      <c r="I41" s="67">
        <v>664.56</v>
      </c>
      <c r="J41" s="67">
        <v>36.92</v>
      </c>
      <c r="K41" s="67">
        <v>14.77</v>
      </c>
      <c r="L41" s="67"/>
      <c r="M41" s="67">
        <v>110.76</v>
      </c>
      <c r="N41" s="67">
        <v>459</v>
      </c>
      <c r="O41" s="67">
        <f t="shared" si="0"/>
        <v>2467.4499999999998</v>
      </c>
      <c r="P41" s="67">
        <v>590.72</v>
      </c>
      <c r="Q41" s="67">
        <v>147.68</v>
      </c>
      <c r="R41" s="67">
        <v>36.92</v>
      </c>
      <c r="S41" s="67"/>
      <c r="T41" s="67"/>
      <c r="U41" s="67">
        <v>459</v>
      </c>
      <c r="V41" s="67">
        <f t="shared" si="1"/>
        <v>1234.3200000000002</v>
      </c>
      <c r="W41" s="67">
        <v>3320</v>
      </c>
      <c r="X41" s="67"/>
      <c r="Y41" s="68">
        <f t="shared" si="2"/>
        <v>7549.08</v>
      </c>
      <c r="AA41" s="66" t="s">
        <v>302</v>
      </c>
      <c r="AB41" s="66" t="s">
        <v>189</v>
      </c>
      <c r="AC41" s="69">
        <v>7121.76</v>
      </c>
      <c r="AD41" s="66" t="s">
        <v>272</v>
      </c>
      <c r="AE41" s="69">
        <v>427.32</v>
      </c>
    </row>
    <row r="42" spans="1:31" s="66" customFormat="1" ht="11.4" x14ac:dyDescent="0.25">
      <c r="A42" s="66">
        <v>27</v>
      </c>
      <c r="B42" s="66" t="s">
        <v>131</v>
      </c>
      <c r="C42" s="66" t="s">
        <v>269</v>
      </c>
      <c r="D42" s="66" t="s">
        <v>270</v>
      </c>
      <c r="E42" s="67">
        <v>703.74</v>
      </c>
      <c r="F42" s="67">
        <v>7384</v>
      </c>
      <c r="G42" s="67">
        <v>6573</v>
      </c>
      <c r="H42" s="67">
        <v>1181.44</v>
      </c>
      <c r="I42" s="67">
        <v>664.56</v>
      </c>
      <c r="J42" s="67">
        <v>36.92</v>
      </c>
      <c r="K42" s="67">
        <v>14.77</v>
      </c>
      <c r="L42" s="67"/>
      <c r="M42" s="67">
        <v>110.76</v>
      </c>
      <c r="N42" s="67">
        <v>460</v>
      </c>
      <c r="O42" s="67">
        <f t="shared" si="0"/>
        <v>2468.4499999999998</v>
      </c>
      <c r="P42" s="67">
        <v>590.72</v>
      </c>
      <c r="Q42" s="67">
        <v>147.68</v>
      </c>
      <c r="R42" s="67">
        <v>36.92</v>
      </c>
      <c r="S42" s="67"/>
      <c r="T42" s="67"/>
      <c r="U42" s="67">
        <v>460</v>
      </c>
      <c r="V42" s="67">
        <f t="shared" si="1"/>
        <v>1235.3200000000002</v>
      </c>
      <c r="W42" s="67">
        <v>6258.48</v>
      </c>
      <c r="X42" s="67"/>
      <c r="Y42" s="68">
        <f t="shared" si="2"/>
        <v>10665.99</v>
      </c>
      <c r="AA42" s="66" t="s">
        <v>303</v>
      </c>
      <c r="AB42" s="66" t="s">
        <v>132</v>
      </c>
      <c r="AC42" s="69">
        <v>10062.24</v>
      </c>
      <c r="AD42" s="66" t="s">
        <v>272</v>
      </c>
      <c r="AE42" s="69">
        <v>603.75</v>
      </c>
    </row>
    <row r="43" spans="1:31" s="66" customFormat="1" ht="11.4" x14ac:dyDescent="0.25">
      <c r="A43" s="66">
        <v>28</v>
      </c>
      <c r="B43" s="66" t="s">
        <v>110</v>
      </c>
      <c r="C43" s="66" t="s">
        <v>269</v>
      </c>
      <c r="D43" s="66" t="s">
        <v>270</v>
      </c>
      <c r="E43" s="67">
        <v>793.7</v>
      </c>
      <c r="F43" s="67">
        <v>11730</v>
      </c>
      <c r="G43" s="67">
        <v>11730</v>
      </c>
      <c r="H43" s="67">
        <v>1876.8</v>
      </c>
      <c r="I43" s="67">
        <v>1055.7</v>
      </c>
      <c r="J43" s="67">
        <v>58.65</v>
      </c>
      <c r="K43" s="67">
        <v>23.46</v>
      </c>
      <c r="L43" s="67"/>
      <c r="M43" s="67">
        <v>175.95</v>
      </c>
      <c r="N43" s="67">
        <v>821</v>
      </c>
      <c r="O43" s="67">
        <f t="shared" si="0"/>
        <v>4011.56</v>
      </c>
      <c r="P43" s="67">
        <v>938.4</v>
      </c>
      <c r="Q43" s="67">
        <v>234.6</v>
      </c>
      <c r="R43" s="67">
        <v>58.65</v>
      </c>
      <c r="S43" s="67"/>
      <c r="T43" s="67"/>
      <c r="U43" s="67">
        <v>821</v>
      </c>
      <c r="V43" s="67">
        <f t="shared" si="1"/>
        <v>2052.65</v>
      </c>
      <c r="W43" s="67">
        <v>5397.45</v>
      </c>
      <c r="X43" s="67"/>
      <c r="Y43" s="68">
        <f t="shared" si="2"/>
        <v>12255.36</v>
      </c>
      <c r="AA43" s="66" t="s">
        <v>304</v>
      </c>
      <c r="AB43" s="66" t="s">
        <v>111</v>
      </c>
      <c r="AC43" s="69">
        <v>11561.65</v>
      </c>
      <c r="AD43" s="66" t="s">
        <v>272</v>
      </c>
      <c r="AE43" s="69">
        <v>693.71</v>
      </c>
    </row>
    <row r="44" spans="1:31" s="66" customFormat="1" ht="11.4" x14ac:dyDescent="0.25">
      <c r="A44" s="66">
        <v>29</v>
      </c>
      <c r="B44" s="66" t="s">
        <v>182</v>
      </c>
      <c r="C44" s="66" t="s">
        <v>269</v>
      </c>
      <c r="D44" s="66" t="s">
        <v>270</v>
      </c>
      <c r="E44" s="67">
        <v>885.97</v>
      </c>
      <c r="F44" s="67">
        <v>7384</v>
      </c>
      <c r="G44" s="67">
        <v>4035</v>
      </c>
      <c r="H44" s="67">
        <v>1181.44</v>
      </c>
      <c r="I44" s="67">
        <v>664.56</v>
      </c>
      <c r="J44" s="67">
        <v>36.92</v>
      </c>
      <c r="K44" s="67">
        <v>14.77</v>
      </c>
      <c r="L44" s="67"/>
      <c r="M44" s="67">
        <v>110.76</v>
      </c>
      <c r="N44" s="67">
        <v>282</v>
      </c>
      <c r="O44" s="67">
        <f t="shared" si="0"/>
        <v>2290.4499999999998</v>
      </c>
      <c r="P44" s="67">
        <v>590.72</v>
      </c>
      <c r="Q44" s="67">
        <v>147.68</v>
      </c>
      <c r="R44" s="67">
        <v>36.92</v>
      </c>
      <c r="S44" s="67"/>
      <c r="T44" s="67"/>
      <c r="U44" s="67">
        <v>282</v>
      </c>
      <c r="V44" s="67">
        <f t="shared" si="1"/>
        <v>1057.3200000000002</v>
      </c>
      <c r="W44" s="67">
        <v>9651.68</v>
      </c>
      <c r="X44" s="67"/>
      <c r="Y44" s="68">
        <f t="shared" si="2"/>
        <v>13885.42</v>
      </c>
      <c r="AA44" s="66" t="s">
        <v>305</v>
      </c>
      <c r="AB44" s="66" t="s">
        <v>183</v>
      </c>
      <c r="AC44" s="69">
        <v>13099.44</v>
      </c>
      <c r="AD44" s="66" t="s">
        <v>272</v>
      </c>
      <c r="AE44" s="69">
        <v>785.98</v>
      </c>
    </row>
    <row r="45" spans="1:31" s="66" customFormat="1" ht="11.4" x14ac:dyDescent="0.25">
      <c r="A45" s="66">
        <v>30</v>
      </c>
      <c r="B45" s="66" t="s">
        <v>149</v>
      </c>
      <c r="C45" s="66" t="s">
        <v>269</v>
      </c>
      <c r="D45" s="66" t="s">
        <v>270</v>
      </c>
      <c r="E45" s="67">
        <v>1434.23</v>
      </c>
      <c r="F45" s="67">
        <v>17497</v>
      </c>
      <c r="G45" s="67">
        <v>17497</v>
      </c>
      <c r="H45" s="67">
        <v>2799.52</v>
      </c>
      <c r="I45" s="67">
        <v>1574.74</v>
      </c>
      <c r="J45" s="67">
        <v>87.49</v>
      </c>
      <c r="K45" s="67">
        <v>34.99</v>
      </c>
      <c r="L45" s="67"/>
      <c r="M45" s="67">
        <v>262.45999999999998</v>
      </c>
      <c r="N45" s="67">
        <v>1225</v>
      </c>
      <c r="O45" s="67">
        <f t="shared" si="0"/>
        <v>5984.2</v>
      </c>
      <c r="P45" s="67">
        <v>1399.76</v>
      </c>
      <c r="Q45" s="67">
        <v>349.94</v>
      </c>
      <c r="R45" s="67">
        <v>87.49</v>
      </c>
      <c r="S45" s="67"/>
      <c r="T45" s="67"/>
      <c r="U45" s="67">
        <v>1225</v>
      </c>
      <c r="V45" s="67">
        <f t="shared" si="1"/>
        <v>3062.19</v>
      </c>
      <c r="W45" s="67">
        <v>13090.76</v>
      </c>
      <c r="X45" s="67"/>
      <c r="Y45" s="68">
        <f t="shared" si="2"/>
        <v>23571.38</v>
      </c>
      <c r="AA45" s="66" t="s">
        <v>306</v>
      </c>
      <c r="AB45" s="66" t="s">
        <v>150</v>
      </c>
      <c r="AC45" s="69">
        <v>22237.14</v>
      </c>
      <c r="AD45" s="66" t="s">
        <v>272</v>
      </c>
      <c r="AE45" s="69">
        <v>1334.24</v>
      </c>
    </row>
    <row r="46" spans="1:31" s="66" customFormat="1" ht="11.4" x14ac:dyDescent="0.25">
      <c r="A46" s="66">
        <v>31</v>
      </c>
      <c r="B46" s="66" t="s">
        <v>179</v>
      </c>
      <c r="C46" s="66" t="s">
        <v>269</v>
      </c>
      <c r="D46" s="66" t="s">
        <v>270</v>
      </c>
      <c r="E46" s="67">
        <v>732.44</v>
      </c>
      <c r="F46" s="67">
        <v>7384</v>
      </c>
      <c r="G46" s="67">
        <v>4082</v>
      </c>
      <c r="H46" s="67">
        <v>1181.44</v>
      </c>
      <c r="I46" s="67">
        <v>664.56</v>
      </c>
      <c r="J46" s="67">
        <v>36.92</v>
      </c>
      <c r="K46" s="67">
        <v>14.77</v>
      </c>
      <c r="L46" s="67"/>
      <c r="M46" s="67">
        <v>110.76</v>
      </c>
      <c r="N46" s="67">
        <v>286</v>
      </c>
      <c r="O46" s="67">
        <f t="shared" si="0"/>
        <v>2294.4499999999998</v>
      </c>
      <c r="P46" s="67">
        <v>590.72</v>
      </c>
      <c r="Q46" s="67">
        <v>147.68</v>
      </c>
      <c r="R46" s="67">
        <v>36.92</v>
      </c>
      <c r="S46" s="67"/>
      <c r="T46" s="67"/>
      <c r="U46" s="67">
        <v>286</v>
      </c>
      <c r="V46" s="67">
        <f t="shared" si="1"/>
        <v>1061.3200000000002</v>
      </c>
      <c r="W46" s="67">
        <v>7084.88</v>
      </c>
      <c r="X46" s="67"/>
      <c r="Y46" s="68">
        <f t="shared" si="2"/>
        <v>11173.09</v>
      </c>
      <c r="AA46" s="66" t="s">
        <v>307</v>
      </c>
      <c r="AB46" s="66" t="s">
        <v>180</v>
      </c>
      <c r="AC46" s="69">
        <v>10540.64</v>
      </c>
      <c r="AD46" s="66" t="s">
        <v>272</v>
      </c>
      <c r="AE46" s="69">
        <v>632.45000000000005</v>
      </c>
    </row>
    <row r="47" spans="1:31" s="66" customFormat="1" ht="11.4" x14ac:dyDescent="0.25">
      <c r="A47" s="66">
        <v>32</v>
      </c>
      <c r="B47" s="66" t="s">
        <v>170</v>
      </c>
      <c r="C47" s="66" t="s">
        <v>269</v>
      </c>
      <c r="D47" s="66" t="s">
        <v>270</v>
      </c>
      <c r="E47" s="67">
        <v>1470.65</v>
      </c>
      <c r="F47" s="67">
        <v>11395</v>
      </c>
      <c r="G47" s="67">
        <v>11395</v>
      </c>
      <c r="H47" s="67">
        <v>1823.2</v>
      </c>
      <c r="I47" s="67">
        <v>1025.56</v>
      </c>
      <c r="J47" s="67">
        <v>56.98</v>
      </c>
      <c r="K47" s="67">
        <v>22.79</v>
      </c>
      <c r="L47" s="67"/>
      <c r="M47" s="67">
        <v>170.93</v>
      </c>
      <c r="N47" s="67">
        <v>798</v>
      </c>
      <c r="O47" s="67">
        <f t="shared" si="0"/>
        <v>3897.46</v>
      </c>
      <c r="P47" s="67">
        <v>911.6</v>
      </c>
      <c r="Q47" s="67">
        <v>227.9</v>
      </c>
      <c r="R47" s="67">
        <v>56.98</v>
      </c>
      <c r="S47" s="67"/>
      <c r="T47" s="67"/>
      <c r="U47" s="67">
        <v>798</v>
      </c>
      <c r="V47" s="67">
        <f t="shared" si="1"/>
        <v>1994.48</v>
      </c>
      <c r="W47" s="67">
        <v>16852.12</v>
      </c>
      <c r="X47" s="67"/>
      <c r="Y47" s="68">
        <f t="shared" si="2"/>
        <v>24214.71</v>
      </c>
      <c r="AA47" s="66" t="s">
        <v>308</v>
      </c>
      <c r="AB47" s="66" t="s">
        <v>171</v>
      </c>
      <c r="AC47" s="69">
        <v>22844.06</v>
      </c>
      <c r="AD47" s="66" t="s">
        <v>272</v>
      </c>
      <c r="AE47" s="69">
        <v>1370.65</v>
      </c>
    </row>
    <row r="48" spans="1:31" s="66" customFormat="1" ht="11.4" x14ac:dyDescent="0.25">
      <c r="A48" s="66">
        <v>33</v>
      </c>
      <c r="B48" s="66" t="s">
        <v>137</v>
      </c>
      <c r="C48" s="66" t="s">
        <v>269</v>
      </c>
      <c r="D48" s="66" t="s">
        <v>270</v>
      </c>
      <c r="E48" s="67">
        <v>598.38</v>
      </c>
      <c r="F48" s="67">
        <v>7384</v>
      </c>
      <c r="G48" s="67">
        <v>4848</v>
      </c>
      <c r="H48" s="67">
        <v>1181.44</v>
      </c>
      <c r="I48" s="67">
        <v>664.56</v>
      </c>
      <c r="J48" s="67">
        <v>36.92</v>
      </c>
      <c r="K48" s="67">
        <v>14.77</v>
      </c>
      <c r="L48" s="67"/>
      <c r="M48" s="67">
        <v>110.76</v>
      </c>
      <c r="N48" s="67">
        <v>339</v>
      </c>
      <c r="O48" s="67">
        <f t="shared" si="0"/>
        <v>2347.4499999999998</v>
      </c>
      <c r="P48" s="67">
        <v>590.72</v>
      </c>
      <c r="Q48" s="67">
        <v>147.68</v>
      </c>
      <c r="R48" s="67">
        <v>36.92</v>
      </c>
      <c r="S48" s="67"/>
      <c r="T48" s="67"/>
      <c r="U48" s="67">
        <v>339</v>
      </c>
      <c r="V48" s="67">
        <f t="shared" si="1"/>
        <v>1114.3200000000002</v>
      </c>
      <c r="W48" s="67">
        <v>4744.4799999999996</v>
      </c>
      <c r="X48" s="67"/>
      <c r="Y48" s="68">
        <f t="shared" si="2"/>
        <v>8804.6299999999992</v>
      </c>
      <c r="AA48" s="66" t="s">
        <v>309</v>
      </c>
      <c r="AB48" s="66" t="s">
        <v>138</v>
      </c>
      <c r="AC48" s="69">
        <v>8306.24</v>
      </c>
      <c r="AD48" s="66" t="s">
        <v>272</v>
      </c>
      <c r="AE48" s="69">
        <v>498.39</v>
      </c>
    </row>
    <row r="49" spans="1:31" s="66" customFormat="1" ht="11.4" x14ac:dyDescent="0.25">
      <c r="A49" s="66">
        <v>34</v>
      </c>
      <c r="B49" s="66" t="s">
        <v>96</v>
      </c>
      <c r="C49" s="66" t="s">
        <v>269</v>
      </c>
      <c r="D49" s="66" t="s">
        <v>270</v>
      </c>
      <c r="E49" s="67">
        <v>991.78</v>
      </c>
      <c r="F49" s="67">
        <v>13804</v>
      </c>
      <c r="G49" s="67">
        <v>13804</v>
      </c>
      <c r="H49" s="67">
        <v>2208.64</v>
      </c>
      <c r="I49" s="67">
        <v>1242.3599999999999</v>
      </c>
      <c r="J49" s="67">
        <v>69.02</v>
      </c>
      <c r="K49" s="67">
        <v>27.61</v>
      </c>
      <c r="L49" s="67"/>
      <c r="M49" s="67">
        <v>207.06</v>
      </c>
      <c r="N49" s="67">
        <v>966</v>
      </c>
      <c r="O49" s="67">
        <f t="shared" si="0"/>
        <v>4720.6900000000005</v>
      </c>
      <c r="P49" s="67">
        <v>1104.32</v>
      </c>
      <c r="Q49" s="67">
        <v>276.08</v>
      </c>
      <c r="R49" s="67">
        <v>69.02</v>
      </c>
      <c r="S49" s="67"/>
      <c r="T49" s="67"/>
      <c r="U49" s="67">
        <v>966</v>
      </c>
      <c r="V49" s="67">
        <f t="shared" si="1"/>
        <v>2415.42</v>
      </c>
      <c r="W49" s="67">
        <v>7626.78</v>
      </c>
      <c r="X49" s="67"/>
      <c r="Y49" s="68">
        <f t="shared" si="2"/>
        <v>15754.67</v>
      </c>
      <c r="AA49" s="66" t="s">
        <v>310</v>
      </c>
      <c r="AB49" s="66" t="s">
        <v>97</v>
      </c>
      <c r="AC49" s="69">
        <v>14862.9</v>
      </c>
      <c r="AD49" s="66" t="s">
        <v>272</v>
      </c>
      <c r="AE49" s="69">
        <v>891.77</v>
      </c>
    </row>
    <row r="50" spans="1:31" s="66" customFormat="1" ht="11.4" x14ac:dyDescent="0.25">
      <c r="A50" s="66">
        <v>35</v>
      </c>
      <c r="B50" s="66" t="s">
        <v>209</v>
      </c>
      <c r="C50" s="66" t="s">
        <v>269</v>
      </c>
      <c r="D50" s="70" t="s">
        <v>282</v>
      </c>
      <c r="E50" s="67">
        <v>664.86</v>
      </c>
      <c r="F50" s="67">
        <v>9821.49</v>
      </c>
      <c r="G50" s="67">
        <v>9821.49</v>
      </c>
      <c r="H50" s="67">
        <v>1571.44</v>
      </c>
      <c r="I50" s="67">
        <v>883.94</v>
      </c>
      <c r="J50" s="67">
        <v>49.11</v>
      </c>
      <c r="K50" s="67">
        <v>19.64</v>
      </c>
      <c r="L50" s="67"/>
      <c r="M50" s="67">
        <v>147.32</v>
      </c>
      <c r="N50" s="67">
        <v>688</v>
      </c>
      <c r="O50" s="67">
        <f t="shared" si="0"/>
        <v>3359.4500000000003</v>
      </c>
      <c r="P50" s="67">
        <v>785.72</v>
      </c>
      <c r="Q50" s="67">
        <v>196.43</v>
      </c>
      <c r="R50" s="67">
        <v>49.11</v>
      </c>
      <c r="S50" s="67"/>
      <c r="T50" s="67"/>
      <c r="U50" s="67">
        <v>688</v>
      </c>
      <c r="V50" s="67">
        <f t="shared" si="1"/>
        <v>1719.26</v>
      </c>
      <c r="W50" s="67">
        <v>4235.74</v>
      </c>
      <c r="X50" s="67"/>
      <c r="Y50" s="68">
        <f t="shared" si="2"/>
        <v>9979.3100000000013</v>
      </c>
      <c r="AA50" s="66" t="s">
        <v>311</v>
      </c>
      <c r="AB50" s="66" t="s">
        <v>312</v>
      </c>
      <c r="AC50" s="69">
        <v>9414.43</v>
      </c>
      <c r="AD50" s="66" t="s">
        <v>272</v>
      </c>
      <c r="AE50" s="69">
        <v>564.88</v>
      </c>
    </row>
    <row r="51" spans="1:31" s="66" customFormat="1" ht="11.4" x14ac:dyDescent="0.25">
      <c r="A51" s="66">
        <v>36</v>
      </c>
      <c r="B51" s="66" t="s">
        <v>158</v>
      </c>
      <c r="C51" s="66" t="s">
        <v>269</v>
      </c>
      <c r="D51" s="66" t="s">
        <v>270</v>
      </c>
      <c r="E51" s="67">
        <v>1437.03</v>
      </c>
      <c r="F51" s="67">
        <v>12999</v>
      </c>
      <c r="G51" s="67">
        <v>12999</v>
      </c>
      <c r="H51" s="67">
        <v>2079.84</v>
      </c>
      <c r="I51" s="67">
        <v>1169.92</v>
      </c>
      <c r="J51" s="67">
        <v>65</v>
      </c>
      <c r="K51" s="67">
        <v>26</v>
      </c>
      <c r="L51" s="67"/>
      <c r="M51" s="67">
        <v>194.99</v>
      </c>
      <c r="N51" s="67">
        <v>910</v>
      </c>
      <c r="O51" s="67">
        <f t="shared" si="0"/>
        <v>4445.75</v>
      </c>
      <c r="P51" s="67">
        <v>1039.92</v>
      </c>
      <c r="Q51" s="67">
        <v>259.98</v>
      </c>
      <c r="R51" s="67">
        <v>65</v>
      </c>
      <c r="S51" s="67"/>
      <c r="T51" s="67"/>
      <c r="U51" s="67">
        <v>910</v>
      </c>
      <c r="V51" s="67">
        <f t="shared" si="1"/>
        <v>2274.9</v>
      </c>
      <c r="W51" s="67">
        <v>15463.15</v>
      </c>
      <c r="X51" s="67"/>
      <c r="Y51" s="68">
        <f t="shared" si="2"/>
        <v>23620.83</v>
      </c>
      <c r="AA51" s="66" t="s">
        <v>313</v>
      </c>
      <c r="AB51" s="66" t="s">
        <v>159</v>
      </c>
      <c r="AC51" s="69">
        <v>22283.79</v>
      </c>
      <c r="AD51" s="66" t="s">
        <v>272</v>
      </c>
      <c r="AE51" s="69">
        <v>1337.04</v>
      </c>
    </row>
    <row r="52" spans="1:31" s="66" customFormat="1" ht="11.4" x14ac:dyDescent="0.25">
      <c r="A52" s="66">
        <v>37</v>
      </c>
      <c r="B52" s="66" t="s">
        <v>200</v>
      </c>
      <c r="C52" s="66" t="s">
        <v>269</v>
      </c>
      <c r="D52" s="66" t="s">
        <v>270</v>
      </c>
      <c r="E52" s="67">
        <v>547.74</v>
      </c>
      <c r="F52" s="67">
        <v>9758</v>
      </c>
      <c r="G52" s="67">
        <v>9758</v>
      </c>
      <c r="H52" s="67">
        <v>1561.28</v>
      </c>
      <c r="I52" s="67">
        <v>878.22</v>
      </c>
      <c r="J52" s="67">
        <v>48.79</v>
      </c>
      <c r="K52" s="67">
        <v>19.52</v>
      </c>
      <c r="L52" s="67"/>
      <c r="M52" s="67">
        <v>146.37</v>
      </c>
      <c r="N52" s="67">
        <v>683</v>
      </c>
      <c r="O52" s="67">
        <f t="shared" si="0"/>
        <v>3337.18</v>
      </c>
      <c r="P52" s="67">
        <v>780.64</v>
      </c>
      <c r="Q52" s="67">
        <v>195.16</v>
      </c>
      <c r="R52" s="67">
        <v>48.79</v>
      </c>
      <c r="S52" s="67"/>
      <c r="T52" s="67"/>
      <c r="U52" s="67">
        <v>683</v>
      </c>
      <c r="V52" s="67">
        <f t="shared" si="1"/>
        <v>1707.59</v>
      </c>
      <c r="W52" s="67">
        <v>3024.11</v>
      </c>
      <c r="X52" s="67"/>
      <c r="Y52" s="68">
        <f t="shared" si="2"/>
        <v>8616.6200000000008</v>
      </c>
      <c r="AA52" s="66" t="s">
        <v>314</v>
      </c>
      <c r="AB52" s="66" t="s">
        <v>201</v>
      </c>
      <c r="AC52" s="69">
        <v>8128.88</v>
      </c>
      <c r="AD52" s="66" t="s">
        <v>272</v>
      </c>
      <c r="AE52" s="69">
        <v>487.74</v>
      </c>
    </row>
    <row r="53" spans="1:31" s="66" customFormat="1" ht="11.4" x14ac:dyDescent="0.25">
      <c r="A53" s="66">
        <v>38</v>
      </c>
      <c r="B53" s="66" t="s">
        <v>167</v>
      </c>
      <c r="C53" s="66" t="s">
        <v>269</v>
      </c>
      <c r="D53" s="66" t="s">
        <v>270</v>
      </c>
      <c r="E53" s="67">
        <v>524.04999999999995</v>
      </c>
      <c r="F53" s="67">
        <v>7384</v>
      </c>
      <c r="G53" s="67">
        <v>4997</v>
      </c>
      <c r="H53" s="67">
        <v>1181.44</v>
      </c>
      <c r="I53" s="67">
        <v>664.56</v>
      </c>
      <c r="J53" s="67">
        <v>36.92</v>
      </c>
      <c r="K53" s="67">
        <v>14.77</v>
      </c>
      <c r="L53" s="67"/>
      <c r="M53" s="67">
        <v>110.76</v>
      </c>
      <c r="N53" s="67">
        <v>350</v>
      </c>
      <c r="O53" s="67">
        <f t="shared" si="0"/>
        <v>2358.4499999999998</v>
      </c>
      <c r="P53" s="67">
        <v>590.72</v>
      </c>
      <c r="Q53" s="67">
        <v>147.68</v>
      </c>
      <c r="R53" s="67">
        <v>36.92</v>
      </c>
      <c r="S53" s="67"/>
      <c r="T53" s="67"/>
      <c r="U53" s="67">
        <v>350</v>
      </c>
      <c r="V53" s="67">
        <f t="shared" si="1"/>
        <v>1125.3200000000002</v>
      </c>
      <c r="W53" s="67">
        <v>3483.67</v>
      </c>
      <c r="X53" s="67"/>
      <c r="Y53" s="68">
        <f>SUM(E53,O53,V53:X53)</f>
        <v>7491.49</v>
      </c>
      <c r="AA53" s="66" t="s">
        <v>315</v>
      </c>
      <c r="AB53" s="66" t="s">
        <v>168</v>
      </c>
      <c r="AC53" s="69">
        <v>7067.43</v>
      </c>
      <c r="AD53" s="66" t="s">
        <v>272</v>
      </c>
      <c r="AE53" s="69">
        <v>424.06</v>
      </c>
    </row>
    <row r="54" spans="1:31" s="66" customFormat="1" ht="11.4" x14ac:dyDescent="0.25">
      <c r="A54" s="66" t="s">
        <v>316</v>
      </c>
      <c r="E54" s="67">
        <f>SUM(E16:E53)</f>
        <v>31678.160000000003</v>
      </c>
      <c r="F54" s="67"/>
      <c r="G54" s="67"/>
      <c r="H54" s="67">
        <f t="shared" ref="H54:Y54" si="3">SUM(H16:H53)</f>
        <v>57499.310000000012</v>
      </c>
      <c r="I54" s="67">
        <f t="shared" si="3"/>
        <v>32343.490000000016</v>
      </c>
      <c r="J54" s="67">
        <f t="shared" si="3"/>
        <v>1796.9200000000005</v>
      </c>
      <c r="K54" s="67">
        <f t="shared" si="3"/>
        <v>718.78999999999985</v>
      </c>
      <c r="L54" s="67">
        <f t="shared" si="3"/>
        <v>0</v>
      </c>
      <c r="M54" s="67">
        <f t="shared" si="3"/>
        <v>5390.6200000000017</v>
      </c>
      <c r="N54" s="67">
        <f t="shared" si="3"/>
        <v>23167</v>
      </c>
      <c r="O54" s="67">
        <f t="shared" si="3"/>
        <v>120916.12999999996</v>
      </c>
      <c r="P54" s="67">
        <f t="shared" si="3"/>
        <v>28749.65</v>
      </c>
      <c r="Q54" s="67">
        <f t="shared" si="3"/>
        <v>7187.4100000000017</v>
      </c>
      <c r="R54" s="67">
        <f t="shared" si="3"/>
        <v>1796.9200000000005</v>
      </c>
      <c r="S54" s="67">
        <f t="shared" si="3"/>
        <v>0</v>
      </c>
      <c r="T54" s="67">
        <f t="shared" si="3"/>
        <v>0</v>
      </c>
      <c r="U54" s="67">
        <f t="shared" si="3"/>
        <v>23167</v>
      </c>
      <c r="V54" s="67">
        <f t="shared" si="3"/>
        <v>60900.979999999996</v>
      </c>
      <c r="W54" s="67">
        <f t="shared" si="3"/>
        <v>279724.87</v>
      </c>
      <c r="X54" s="67">
        <f t="shared" si="3"/>
        <v>0</v>
      </c>
      <c r="Y54" s="68">
        <f t="shared" si="3"/>
        <v>493220.14</v>
      </c>
      <c r="AC54" s="69">
        <f>SUM(AC16:AC53)</f>
        <v>465301.75</v>
      </c>
      <c r="AE54" s="69">
        <f>SUM(AE16:AE53)</f>
        <v>27918.390000000003</v>
      </c>
    </row>
    <row r="55" spans="1:31" s="66" customFormat="1" ht="11.4" x14ac:dyDescent="0.25">
      <c r="A55" s="71" t="s">
        <v>317</v>
      </c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72">
        <v>493220.14</v>
      </c>
      <c r="AC55" s="69"/>
      <c r="AE55" s="69"/>
    </row>
    <row r="56" spans="1:31" x14ac:dyDescent="0.25"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</row>
    <row r="57" spans="1:31" s="75" customFormat="1" ht="11.4" x14ac:dyDescent="0.25">
      <c r="A57" s="74" t="s">
        <v>63</v>
      </c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AC57" s="76"/>
      <c r="AE57" s="76"/>
    </row>
    <row r="58" spans="1:31" s="78" customFormat="1" ht="30" customHeight="1" x14ac:dyDescent="0.15">
      <c r="A58" s="58" t="s">
        <v>0</v>
      </c>
      <c r="B58" s="58" t="s">
        <v>229</v>
      </c>
      <c r="C58" s="58" t="s">
        <v>318</v>
      </c>
      <c r="D58" s="58" t="s">
        <v>319</v>
      </c>
      <c r="E58" s="59" t="s">
        <v>242</v>
      </c>
      <c r="F58" s="59" t="s">
        <v>245</v>
      </c>
      <c r="G58" s="59" t="s">
        <v>246</v>
      </c>
      <c r="H58" s="59" t="s">
        <v>40</v>
      </c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AC58" s="77"/>
      <c r="AE58" s="77"/>
    </row>
    <row r="59" spans="1:31" s="80" customFormat="1" ht="30" customHeight="1" x14ac:dyDescent="0.25">
      <c r="A59" s="62" t="s">
        <v>247</v>
      </c>
      <c r="B59" s="62" t="s">
        <v>248</v>
      </c>
      <c r="C59" s="62" t="s">
        <v>320</v>
      </c>
      <c r="D59" s="62" t="s">
        <v>321</v>
      </c>
      <c r="E59" s="63" t="s">
        <v>264</v>
      </c>
      <c r="F59" s="63" t="s">
        <v>267</v>
      </c>
      <c r="G59" s="63" t="s">
        <v>268</v>
      </c>
      <c r="H59" s="63" t="s">
        <v>93</v>
      </c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AC59" s="79"/>
      <c r="AE59" s="79"/>
    </row>
    <row r="60" spans="1:31" s="75" customFormat="1" ht="11.4" x14ac:dyDescent="0.25">
      <c r="A60" s="66">
        <v>1</v>
      </c>
      <c r="B60" s="66" t="s">
        <v>269</v>
      </c>
      <c r="C60" s="66" t="s">
        <v>322</v>
      </c>
      <c r="D60" s="67">
        <v>0</v>
      </c>
      <c r="E60" s="69"/>
      <c r="F60" s="67">
        <v>0.27</v>
      </c>
      <c r="G60" s="69">
        <v>0.06</v>
      </c>
      <c r="H60" s="67">
        <v>-0.27</v>
      </c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AC60" s="76"/>
      <c r="AE60" s="76"/>
    </row>
    <row r="61" spans="1:31" s="75" customFormat="1" ht="11.4" x14ac:dyDescent="0.25">
      <c r="A61" s="66" t="s">
        <v>316</v>
      </c>
      <c r="B61" s="66"/>
      <c r="C61" s="66"/>
      <c r="D61" s="67">
        <f>SUM(D60:D60)</f>
        <v>0</v>
      </c>
      <c r="E61" s="69"/>
      <c r="F61" s="67">
        <f>SUM(F60:F60)</f>
        <v>0.27</v>
      </c>
      <c r="G61" s="69"/>
      <c r="H61" s="67">
        <f>SUM(H60:H60)</f>
        <v>-0.27</v>
      </c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AC61" s="76"/>
      <c r="AE61" s="76"/>
    </row>
    <row r="62" spans="1:31" s="75" customFormat="1" ht="11.4" x14ac:dyDescent="0.25">
      <c r="A62" s="71" t="s">
        <v>323</v>
      </c>
      <c r="B62" s="66"/>
      <c r="C62" s="66"/>
      <c r="D62" s="81">
        <v>0</v>
      </c>
      <c r="E62" s="69"/>
      <c r="F62" s="81">
        <v>0.27</v>
      </c>
      <c r="G62" s="69"/>
      <c r="H62" s="81">
        <v>-0.27</v>
      </c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AC62" s="76"/>
      <c r="AE62" s="76"/>
    </row>
    <row r="64" spans="1:31" x14ac:dyDescent="0.25">
      <c r="A64" s="49" t="s">
        <v>324</v>
      </c>
    </row>
    <row r="65" spans="1:31" ht="25.05" customHeight="1" x14ac:dyDescent="0.25">
      <c r="A65" s="111" t="s">
        <v>325</v>
      </c>
      <c r="B65" s="111" t="s">
        <v>326</v>
      </c>
      <c r="C65" s="111" t="s">
        <v>246</v>
      </c>
      <c r="D65" s="111" t="s">
        <v>327</v>
      </c>
    </row>
    <row r="66" spans="1:31" ht="25.05" customHeight="1" x14ac:dyDescent="0.25">
      <c r="A66" s="112"/>
      <c r="B66" s="112"/>
      <c r="C66" s="112"/>
      <c r="D66" s="112"/>
    </row>
    <row r="67" spans="1:31" x14ac:dyDescent="0.25">
      <c r="A67" s="66">
        <v>1</v>
      </c>
      <c r="B67" s="69">
        <v>465302.02</v>
      </c>
      <c r="C67" s="66" t="s">
        <v>272</v>
      </c>
      <c r="D67" s="69">
        <v>27918.12</v>
      </c>
    </row>
    <row r="68" spans="1:31" x14ac:dyDescent="0.25">
      <c r="A68" s="66" t="s">
        <v>328</v>
      </c>
      <c r="B68" s="69">
        <v>465302.02</v>
      </c>
      <c r="C68" s="66"/>
      <c r="D68" s="69">
        <v>27918.12</v>
      </c>
    </row>
    <row r="69" spans="1:31" x14ac:dyDescent="0.25">
      <c r="A69" s="106" t="s">
        <v>329</v>
      </c>
      <c r="B69" s="107"/>
      <c r="C69" s="107"/>
      <c r="D69" s="82">
        <v>27918.12</v>
      </c>
    </row>
    <row r="70" spans="1:31" x14ac:dyDescent="0.25">
      <c r="A70" s="83" t="s">
        <v>330</v>
      </c>
    </row>
    <row r="71" spans="1:31" x14ac:dyDescent="0.25">
      <c r="A71" s="84">
        <v>493220.14</v>
      </c>
    </row>
    <row r="72" spans="1:31" x14ac:dyDescent="0.25">
      <c r="A72" s="83" t="s">
        <v>331</v>
      </c>
    </row>
    <row r="74" spans="1:31" s="86" customFormat="1" ht="17.399999999999999" x14ac:dyDescent="0.25">
      <c r="A74" s="85" t="s">
        <v>332</v>
      </c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AC74" s="87"/>
      <c r="AE74" s="87"/>
    </row>
    <row r="76" spans="1:31" s="55" customFormat="1" ht="13.2" x14ac:dyDescent="0.25">
      <c r="A76" s="54" t="s">
        <v>333</v>
      </c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AC76" s="56"/>
      <c r="AE76" s="56"/>
    </row>
    <row r="77" spans="1:31" s="75" customFormat="1" ht="11.4" x14ac:dyDescent="0.25">
      <c r="A77" s="66" t="s">
        <v>0</v>
      </c>
      <c r="B77" s="66" t="s">
        <v>3</v>
      </c>
      <c r="C77" s="66" t="s">
        <v>7</v>
      </c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AC77" s="76"/>
      <c r="AE77" s="76"/>
    </row>
    <row r="78" spans="1:31" s="75" customFormat="1" ht="11.4" x14ac:dyDescent="0.25">
      <c r="A78" s="66">
        <v>1</v>
      </c>
      <c r="B78" s="66" t="s">
        <v>334</v>
      </c>
      <c r="C78" s="66" t="s">
        <v>282</v>
      </c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AC78" s="76"/>
      <c r="AE78" s="76"/>
    </row>
    <row r="80" spans="1:31" x14ac:dyDescent="0.25">
      <c r="A80" s="88" t="s">
        <v>335</v>
      </c>
      <c r="J80" s="50" t="s">
        <v>336</v>
      </c>
    </row>
    <row r="82" spans="1:7" x14ac:dyDescent="0.25">
      <c r="A82" s="48" t="s">
        <v>337</v>
      </c>
      <c r="G82" s="89" t="s">
        <v>337</v>
      </c>
    </row>
    <row r="83" spans="1:7" x14ac:dyDescent="0.25">
      <c r="A83" s="48" t="s">
        <v>338</v>
      </c>
      <c r="G83" s="89" t="s">
        <v>339</v>
      </c>
    </row>
    <row r="84" spans="1:7" x14ac:dyDescent="0.25">
      <c r="A84" s="48" t="s">
        <v>340</v>
      </c>
      <c r="G84" s="89" t="s">
        <v>341</v>
      </c>
    </row>
    <row r="85" spans="1:7" x14ac:dyDescent="0.25">
      <c r="A85" s="48" t="s">
        <v>342</v>
      </c>
      <c r="G85" s="89" t="s">
        <v>343</v>
      </c>
    </row>
    <row r="86" spans="1:7" x14ac:dyDescent="0.25">
      <c r="A86" s="48" t="s">
        <v>344</v>
      </c>
      <c r="G86" s="89" t="s">
        <v>345</v>
      </c>
    </row>
    <row r="88" spans="1:7" x14ac:dyDescent="0.25">
      <c r="A88" s="48" t="s">
        <v>337</v>
      </c>
    </row>
    <row r="89" spans="1:7" x14ac:dyDescent="0.25">
      <c r="A89" s="48" t="s">
        <v>346</v>
      </c>
    </row>
    <row r="90" spans="1:7" x14ac:dyDescent="0.25">
      <c r="A90" s="48" t="s">
        <v>347</v>
      </c>
    </row>
    <row r="91" spans="1:7" x14ac:dyDescent="0.25">
      <c r="A91" s="48" t="s">
        <v>348</v>
      </c>
    </row>
    <row r="92" spans="1:7" x14ac:dyDescent="0.25">
      <c r="A92" s="48" t="s">
        <v>349</v>
      </c>
    </row>
    <row r="94" spans="1:7" x14ac:dyDescent="0.25">
      <c r="A94" s="88" t="s">
        <v>350</v>
      </c>
      <c r="D94" s="88" t="s">
        <v>351</v>
      </c>
      <c r="G94" s="89" t="s">
        <v>222</v>
      </c>
    </row>
    <row r="95" spans="1:7" x14ac:dyDescent="0.25">
      <c r="A95" s="88" t="s">
        <v>352</v>
      </c>
      <c r="G95" s="90" t="s">
        <v>353</v>
      </c>
    </row>
    <row r="96" spans="1:7" x14ac:dyDescent="0.25">
      <c r="A96" s="88" t="s">
        <v>354</v>
      </c>
      <c r="D96" s="88" t="s">
        <v>355</v>
      </c>
      <c r="G96" s="90" t="s">
        <v>356</v>
      </c>
    </row>
    <row r="97" spans="1:10" x14ac:dyDescent="0.25">
      <c r="A97" s="88" t="s">
        <v>357</v>
      </c>
      <c r="D97" s="88" t="s">
        <v>358</v>
      </c>
      <c r="G97" s="90" t="s">
        <v>359</v>
      </c>
      <c r="J97" s="90" t="s">
        <v>360</v>
      </c>
    </row>
    <row r="99" spans="1:10" x14ac:dyDescent="0.25">
      <c r="A99" s="88" t="s">
        <v>361</v>
      </c>
      <c r="B99" s="88" t="s">
        <v>362</v>
      </c>
    </row>
    <row r="100" spans="1:10" x14ac:dyDescent="0.25">
      <c r="B100" s="88" t="s">
        <v>363</v>
      </c>
    </row>
    <row r="101" spans="1:10" x14ac:dyDescent="0.25">
      <c r="B101" s="88" t="s">
        <v>364</v>
      </c>
    </row>
    <row r="102" spans="1:10" x14ac:dyDescent="0.25">
      <c r="B102" s="88" t="s">
        <v>365</v>
      </c>
    </row>
    <row r="103" spans="1:10" x14ac:dyDescent="0.25">
      <c r="B103" s="88" t="s">
        <v>366</v>
      </c>
    </row>
    <row r="105" spans="1:10" x14ac:dyDescent="0.25">
      <c r="A105" s="88" t="s">
        <v>367</v>
      </c>
      <c r="B105" s="88" t="s">
        <v>368</v>
      </c>
    </row>
    <row r="106" spans="1:10" x14ac:dyDescent="0.25">
      <c r="B106" s="88" t="s">
        <v>369</v>
      </c>
    </row>
  </sheetData>
  <mergeCells count="7">
    <mergeCell ref="A69:C69"/>
    <mergeCell ref="H14:M14"/>
    <mergeCell ref="P14:T14"/>
    <mergeCell ref="A65:A66"/>
    <mergeCell ref="B65:B66"/>
    <mergeCell ref="C65:C66"/>
    <mergeCell ref="D65:D66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202503</vt:lpstr>
      <vt:lpstr>对账单</vt:lpstr>
      <vt:lpstr>系统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蔡英杰</dc:creator>
  <cp:lastModifiedBy>罗紫丹</cp:lastModifiedBy>
  <dcterms:created xsi:type="dcterms:W3CDTF">2023-05-09T13:52:00Z</dcterms:created>
  <dcterms:modified xsi:type="dcterms:W3CDTF">2025-03-17T08:37:17Z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2052-6.0.2.8225</vt:lpwstr>
  </property>
  <property fmtid="{D5CDD505-2E9C-101B-9397-08002B2CF9AE}" pid="3" name="ICV">
    <vt:lpwstr>3256640FACF9B1BFA83BAC67C21AC160_42</vt:lpwstr>
  </property>
</Properties>
</file>