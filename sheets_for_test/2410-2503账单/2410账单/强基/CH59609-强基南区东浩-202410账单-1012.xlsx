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0电信\202410账单\强基\"/>
    </mc:Choice>
  </mc:AlternateContent>
  <xr:revisionPtr revIDLastSave="0" documentId="13_ncr:1_{CA656A90-6841-4CBA-B721-582AA7F22EF1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410" sheetId="1" r:id="rId1"/>
    <sheet name="对账单" sheetId="2" r:id="rId2"/>
    <sheet name="系统" sheetId="3" r:id="rId3"/>
  </sheets>
  <definedNames>
    <definedName name="_xlnm._FilterDatabase" localSheetId="0" hidden="1">'202410'!$A$2:$BE$3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C7" i="2"/>
  <c r="C5" i="2"/>
  <c r="C4" i="2"/>
  <c r="C2" i="2"/>
  <c r="B9" i="2"/>
  <c r="B7" i="2"/>
  <c r="B5" i="2"/>
  <c r="B4" i="2"/>
  <c r="B3" i="2"/>
  <c r="B2" i="2"/>
  <c r="H24" i="3"/>
  <c r="F24" i="3"/>
  <c r="D24" i="3"/>
  <c r="AE17" i="3"/>
  <c r="AC17" i="3"/>
  <c r="X17" i="3"/>
  <c r="W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E17" i="3"/>
  <c r="Y16" i="3"/>
  <c r="Y17" i="3" s="1"/>
  <c r="V16" i="3"/>
  <c r="V17" i="3" s="1"/>
  <c r="O16" i="3"/>
  <c r="E13" i="2" l="1"/>
  <c r="G11" i="2"/>
  <c r="F11" i="2"/>
  <c r="F13" i="2" s="1"/>
  <c r="E11" i="2"/>
  <c r="E14" i="2" s="1"/>
  <c r="D11" i="2"/>
  <c r="D13" i="2" s="1"/>
  <c r="H13" i="2" s="1"/>
  <c r="I10" i="2"/>
  <c r="H10" i="2"/>
  <c r="I9" i="2"/>
  <c r="H9" i="2"/>
  <c r="I8" i="2"/>
  <c r="H8" i="2"/>
  <c r="H7" i="2"/>
  <c r="I7" i="2"/>
  <c r="I6" i="2"/>
  <c r="H6" i="2"/>
  <c r="I5" i="2"/>
  <c r="H5" i="2"/>
  <c r="I4" i="2"/>
  <c r="H4" i="2"/>
  <c r="I3" i="2"/>
  <c r="H3" i="2"/>
  <c r="D3" i="2"/>
  <c r="I2" i="2"/>
  <c r="H2" i="2"/>
  <c r="B11" i="2" l="1"/>
  <c r="B14" i="2" s="1"/>
  <c r="H15" i="2" s="1"/>
  <c r="C11" i="2"/>
  <c r="G13" i="2"/>
  <c r="G14" i="2" s="1"/>
  <c r="F14" i="2"/>
  <c r="D14" i="2"/>
  <c r="H11" i="2" l="1"/>
  <c r="C14" i="2"/>
  <c r="H14" i="2" s="1"/>
  <c r="H16" i="2" s="1"/>
  <c r="H17" i="2" s="1"/>
  <c r="Z3" i="1" l="1"/>
  <c r="AQ3" i="1" l="1"/>
  <c r="A3" i="1" l="1"/>
  <c r="AP3" i="1" l="1"/>
  <c r="AT3" i="1" l="1"/>
  <c r="AS3" i="1"/>
  <c r="AN3" i="1"/>
  <c r="AC3" i="1"/>
  <c r="AF3" i="1"/>
  <c r="AD3" i="1"/>
  <c r="AU3" i="1" l="1"/>
  <c r="AB3" i="1"/>
  <c r="AW3" i="1" l="1"/>
  <c r="BA3" i="1" s="1"/>
  <c r="AG3" i="1"/>
  <c r="BB3" i="1" l="1"/>
  <c r="AK3" i="1"/>
  <c r="BC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18E114B1-CCD6-4877-BA0E-271DC0B69153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0915C009-2F1D-41D7-A621-63213E0FC526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<sst xmlns="http://schemas.openxmlformats.org/spreadsheetml/2006/main" count="259" uniqueCount="224">
  <si>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</si>
  <si>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</si>
  <si>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</si>
  <si>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</si>
  <si>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</si>
  <si>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</si>
  <si>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</si>
  <si>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</si>
  <si>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</si>
  <si>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</si>
  <si>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</si>
  <si>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</si>
  <si>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</si>
  <si>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</si>
  <si>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</si>
  <si>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</si>
  <si>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</si>
  <si>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</si>
  <si>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</si>
  <si>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</si>
  <si>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</si>
  <si>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</si>
  <si>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</si>
  <si>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</si>
  <si>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</si>
  <si>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</si>
  <si>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</si>
  <si>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</si>
  <si>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</si>
  <si>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</si>
  <si>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</si>
  <si>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</si>
  <si>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</si>
  <si>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</si>
  <si>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</si>
  <si>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</si>
  <si>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</si>
  <si>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</si>
  <si>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</si>
  <si>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</si>
  <si>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</si>
  <si>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</si>
  <si>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</si>
  <si>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</si>
  <si>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</si>
  <si>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</si>
  <si>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</si>
  <si>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</si>
  <si>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</si>
  <si>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</si>
  <si>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</si>
  <si>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</si>
  <si>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</si>
  <si>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</si>
  <si>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</si>
  <si>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</si>
  <si>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</si>
  <si>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</si>
  <si>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</si>
  <si>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</si>
  <si>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</si>
  <si>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</si>
  <si>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</si>
  <si>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</si>
  <si>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</si>
  <si>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</si>
  <si>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</si>
  <si>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</si>
  <si>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</si>
  <si>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</si>
  <si>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</si>
  <si>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</si>
  <si>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</si>
  <si>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</si>
  <si>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</si>
  <si>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</si>
  <si>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</si>
  <si>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</si>
  <si>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</si>
  <si>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</si>
  <si>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</si>
  <si>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</si>
  <si>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</si>
  <si>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</si>
  <si>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</si>
  <si>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</si>
  <si>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</si>
  <si>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</si>
  <si>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</si>
  <si>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郗冬梅</t>
    <phoneticPr fontId="6" type="noConversion"/>
  </si>
  <si>
    <t>WB002509</t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</si>
  <si>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</si>
  <si>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</si>
  <si>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</si>
  <si>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</si>
  <si>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</si>
  <si>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</si>
  <si>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</si>
  <si>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</si>
  <si>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</si>
  <si>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加班费</t>
    <phoneticPr fontId="6" type="noConversion"/>
  </si>
  <si>
    <t>321027197512232145</t>
    <phoneticPr fontId="6" type="noConversion"/>
  </si>
  <si>
    <t>科目</t>
  </si>
  <si>
    <t>手工账单</t>
  </si>
  <si>
    <t>7月速创账单</t>
    <phoneticPr fontId="6" type="noConversion"/>
  </si>
  <si>
    <t>系统已有金额（不做一次性）</t>
    <phoneticPr fontId="4" type="noConversion"/>
  </si>
  <si>
    <t>工会费扣除</t>
    <phoneticPr fontId="4" type="noConversion"/>
  </si>
  <si>
    <t>合计</t>
  </si>
  <si>
    <t>差异</t>
    <phoneticPr fontId="4" type="noConversion"/>
  </si>
  <si>
    <t>管理费</t>
  </si>
  <si>
    <t>风险费</t>
  </si>
  <si>
    <t>个人四金</t>
  </si>
  <si>
    <t>公司四金</t>
  </si>
  <si>
    <t>残保金</t>
  </si>
  <si>
    <t>代发工资</t>
  </si>
  <si>
    <t>上月垫付</t>
    <phoneticPr fontId="4" type="noConversion"/>
  </si>
  <si>
    <t>预收（做预收一次性）</t>
    <phoneticPr fontId="4" type="noConversion"/>
  </si>
  <si>
    <t>小计</t>
  </si>
  <si>
    <t>附加税</t>
  </si>
  <si>
    <t>增值税</t>
  </si>
  <si>
    <t>给客户账单金额</t>
  </si>
  <si>
    <t>差异</t>
  </si>
  <si>
    <t>不含税差异</t>
  </si>
  <si>
    <t>200070</t>
  </si>
  <si>
    <t>寄：梅园路77号人才大厦</t>
  </si>
  <si>
    <t>中国电信股份有限公司上海分公司  财务  收</t>
  </si>
  <si>
    <t>上海东浩人力资源管理服务有限公司</t>
  </si>
  <si>
    <t>Shanghai Donghao HR Management Service Co., Ltd</t>
  </si>
  <si>
    <t>收款通知书</t>
  </si>
  <si>
    <t>ADVISE ON COLLECTION</t>
  </si>
  <si>
    <t>2024年10月</t>
  </si>
  <si>
    <t>公司名称：中国电信股份有限公司上海分公司</t>
  </si>
  <si>
    <t>帐单号：202410CH5960903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</si>
  <si>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</si>
  <si>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</si>
  <si>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</si>
  <si>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</si>
  <si>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</si>
  <si>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</si>
  <si>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</si>
  <si>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</si>
  <si>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</si>
  <si>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</si>
  <si>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</si>
  <si>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</si>
  <si>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</si>
  <si>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</si>
  <si>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</si>
  <si>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</si>
  <si>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</si>
  <si>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</si>
  <si>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</si>
  <si>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</si>
  <si>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</si>
  <si>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</si>
  <si>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</si>
  <si>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</si>
  <si>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</si>
  <si>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</si>
  <si>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</si>
  <si>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</si>
  <si>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</si>
  <si>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</si>
  <si>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</si>
  <si>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</si>
  <si>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</si>
  <si>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</si>
  <si>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</si>
  <si>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</si>
  <si>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</si>
  <si>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</si>
  <si>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</si>
  <si>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</si>
  <si>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郗冬梅</t>
  </si>
  <si>
    <t>202410</t>
  </si>
  <si>
    <t>2023-06-01</t>
  </si>
  <si>
    <t>5543041</t>
  </si>
  <si>
    <t>321027197512232145</t>
  </si>
  <si>
    <t>6%</t>
  </si>
  <si>
    <t>合计（RMB）</t>
  </si>
  <si>
    <t>总计（RMB）已包含历月补收人民币壹万零壹拾柒圆捌角肆分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</si>
  <si>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</si>
  <si>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</si>
  <si>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</si>
  <si>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</si>
  <si>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</si>
  <si>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</si>
  <si>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</si>
  <si>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</si>
  <si>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</si>
  <si>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</si>
  <si>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</si>
  <si>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</si>
  <si>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</si>
  <si>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本次价税合计(RMB):人民币壹万零壹拾柒圆捌角肆分</t>
  </si>
  <si>
    <t>本月价税合计（RMB）：10017.84 其中已开票10017.84</t>
  </si>
  <si>
    <t>本月总计（RMB）人民币壹万零壹拾柒圆捌角肆分                ￥10017.84</t>
  </si>
  <si>
    <t>制单人：王思君</t>
  </si>
  <si>
    <t>制单日期：2024-10-20</t>
  </si>
  <si>
    <t>户名：上海东浩人力资源管理服务有限公司</t>
  </si>
  <si>
    <t>人民币收款账号：1001215509300846227</t>
  </si>
  <si>
    <t>开户银行：工商银行闸北天目东路支行</t>
  </si>
  <si>
    <t>SWIFT CODE：</t>
  </si>
  <si>
    <t>地址：</t>
  </si>
  <si>
    <t>管理部：东浩人力资源管理-灵活用工部</t>
  </si>
  <si>
    <t>负责人：滕中伟</t>
  </si>
  <si>
    <t>地  址：上海市静安区梅园路77号人才大厦24楼</t>
  </si>
  <si>
    <t>地  址：上海市黄浦区会馆街55号T3座</t>
  </si>
  <si>
    <t>邮  编：200070</t>
  </si>
  <si>
    <t>财  务：王思君</t>
  </si>
  <si>
    <t>邮  编：200437</t>
  </si>
  <si>
    <t>电  话：63813311</t>
  </si>
  <si>
    <t>传  真：32303891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</si>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</sst>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);[Red]\(0\)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</cellStyleXfs>
  <cellXfs count="102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0" fontId="13" fillId="6" borderId="0" xfId="0" applyFont="1" applyFill="1">
      <alignment vertical="center"/>
    </xf>
    <xf numFmtId="176" fontId="9" fillId="7" borderId="1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center" vertical="center"/>
    </xf>
    <xf numFmtId="43" fontId="15" fillId="0" borderId="5" xfId="0" applyNumberFormat="1" applyFont="1" applyFill="1" applyBorder="1" applyAlignment="1">
      <alignment horizontal="center" vertical="center"/>
    </xf>
    <xf numFmtId="49" fontId="7" fillId="0" borderId="0" xfId="7" applyNumberFormat="1" applyAlignment="1">
      <alignment horizontal="center" vertical="center"/>
    </xf>
    <xf numFmtId="43" fontId="0" fillId="0" borderId="0" xfId="0" applyNumberFormat="1">
      <alignment vertical="center"/>
    </xf>
    <xf numFmtId="43" fontId="15" fillId="5" borderId="1" xfId="0" applyNumberFormat="1" applyFont="1" applyFill="1" applyBorder="1" applyAlignment="1">
      <alignment horizontal="center" vertical="center"/>
    </xf>
    <xf numFmtId="43" fontId="15" fillId="0" borderId="1" xfId="3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center" vertical="center"/>
    </xf>
    <xf numFmtId="43" fontId="16" fillId="5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43" fontId="16" fillId="8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177" fontId="21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177" fontId="24" fillId="0" borderId="0" xfId="0" applyNumberFormat="1" applyFont="1" applyAlignment="1">
      <alignment horizontal="center" vertical="center"/>
    </xf>
    <xf numFmtId="177" fontId="23" fillId="0" borderId="0" xfId="0" applyNumberFormat="1" applyFont="1" applyAlignment="1">
      <alignment horizontal="left" vertical="center"/>
    </xf>
    <xf numFmtId="49" fontId="25" fillId="0" borderId="6" xfId="0" applyNumberFormat="1" applyFont="1" applyBorder="1" applyAlignment="1">
      <alignment horizontal="center" wrapText="1"/>
    </xf>
    <xf numFmtId="177" fontId="25" fillId="0" borderId="6" xfId="0" applyNumberFormat="1" applyFont="1" applyBorder="1" applyAlignment="1">
      <alignment horizontal="center" wrapText="1"/>
    </xf>
    <xf numFmtId="177" fontId="25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7" fontId="25" fillId="0" borderId="6" xfId="0" applyNumberFormat="1" applyFont="1" applyBorder="1" applyAlignment="1">
      <alignment horizontal="center" vertical="top" wrapText="1"/>
    </xf>
    <xf numFmtId="177" fontId="26" fillId="0" borderId="6" xfId="0" applyNumberFormat="1" applyFont="1" applyBorder="1" applyAlignment="1">
      <alignment horizontal="center" wrapText="1"/>
    </xf>
    <xf numFmtId="49" fontId="25" fillId="0" borderId="7" xfId="0" applyNumberFormat="1" applyFont="1" applyBorder="1" applyAlignment="1">
      <alignment horizontal="center" vertical="top" wrapText="1"/>
    </xf>
    <xf numFmtId="177" fontId="25" fillId="0" borderId="7" xfId="0" applyNumberFormat="1" applyFont="1" applyBorder="1" applyAlignment="1">
      <alignment horizontal="center" vertical="top" wrapText="1"/>
    </xf>
    <xf numFmtId="177" fontId="25" fillId="0" borderId="1" xfId="0" applyNumberFormat="1" applyFont="1" applyBorder="1" applyAlignment="1">
      <alignment horizontal="center" vertical="top" wrapText="1"/>
    </xf>
    <xf numFmtId="177" fontId="26" fillId="0" borderId="7" xfId="0" applyNumberFormat="1" applyFont="1" applyBorder="1" applyAlignment="1">
      <alignment horizontal="center" vertical="top" wrapText="1"/>
    </xf>
    <xf numFmtId="49" fontId="27" fillId="0" borderId="1" xfId="0" applyNumberFormat="1" applyFont="1" applyBorder="1" applyAlignment="1">
      <alignment horizontal="center" vertical="center"/>
    </xf>
    <xf numFmtId="177" fontId="27" fillId="0" borderId="1" xfId="0" applyNumberFormat="1" applyFont="1" applyBorder="1" applyAlignment="1">
      <alignment horizontal="right" vertical="center"/>
    </xf>
    <xf numFmtId="177" fontId="28" fillId="0" borderId="1" xfId="0" applyNumberFormat="1" applyFont="1" applyBorder="1" applyAlignment="1">
      <alignment horizontal="right" vertical="center"/>
    </xf>
    <xf numFmtId="177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/>
    </xf>
    <xf numFmtId="7" fontId="28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29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wrapText="1"/>
    </xf>
    <xf numFmtId="49" fontId="25" fillId="0" borderId="0" xfId="0" applyNumberFormat="1" applyFont="1" applyAlignment="1">
      <alignment horizontal="center" wrapText="1"/>
    </xf>
    <xf numFmtId="177" fontId="25" fillId="0" borderId="0" xfId="0" applyNumberFormat="1" applyFont="1" applyAlignment="1">
      <alignment horizontal="center" vertical="top" wrapText="1"/>
    </xf>
    <xf numFmtId="49" fontId="25" fillId="0" borderId="0" xfId="0" applyNumberFormat="1" applyFont="1" applyAlignment="1">
      <alignment horizontal="center" vertical="top" wrapText="1"/>
    </xf>
    <xf numFmtId="7" fontId="27" fillId="0" borderId="1" xfId="0" applyNumberFormat="1" applyFont="1" applyBorder="1" applyAlignment="1">
      <alignment horizontal="right" vertical="center"/>
    </xf>
    <xf numFmtId="49" fontId="30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27" fillId="0" borderId="4" xfId="0" applyNumberFormat="1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7" fontId="27" fillId="0" borderId="2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7" fontId="27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177" fontId="3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</cellXfs>
  <cellStyles count="8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 2" xfId="7" xr:uid="{CE02ED57-509F-4154-A1F2-79B7A75EE017}"/>
    <cellStyle name="常规 4" xfId="5" xr:uid="{00000000-0005-0000-0000-000004000000}"/>
    <cellStyle name="常规 5" xfId="6" xr:uid="{00000000-0005-0000-0000-000005000000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"/>
  <sheetViews>
    <sheetView zoomScale="96" zoomScaleNormal="96" workbookViewId="0">
      <pane xSplit="5" ySplit="2" topLeftCell="AD3" activePane="bottomRight" state="frozen"/>
      <selection pane="topRight" activeCell="E1" sqref="E1"/>
      <selection pane="bottomLeft" activeCell="A3" sqref="A3"/>
      <selection pane="bottomRight" activeCell="AF10" sqref="AF10"/>
    </sheetView>
  </sheetViews>
  <sheetFormatPr defaultColWidth="8.6640625" defaultRowHeight="16.2" x14ac:dyDescent="0.25"/>
  <cols>
    <col min="1" max="1" width="6" style="33" bestFit="1" customWidth="1"/>
    <col min="2" max="2" width="7.6640625" style="33" bestFit="1" customWidth="1"/>
    <col min="3" max="3" width="8.5546875" style="33" bestFit="1" customWidth="1"/>
    <col min="4" max="4" width="5.6640625" style="33" bestFit="1" customWidth="1"/>
    <col min="5" max="5" width="17.44140625" style="33" bestFit="1" customWidth="1"/>
    <col min="6" max="6" width="8.44140625" style="33" bestFit="1" customWidth="1"/>
    <col min="7" max="7" width="7.88671875" style="33" bestFit="1" customWidth="1"/>
    <col min="8" max="8" width="6.44140625" style="33" bestFit="1" customWidth="1"/>
    <col min="9" max="9" width="8.44140625" style="33" bestFit="1" customWidth="1"/>
    <col min="10" max="10" width="6.44140625" style="33" bestFit="1" customWidth="1"/>
    <col min="11" max="12" width="7.6640625" style="33" bestFit="1" customWidth="1"/>
    <col min="13" max="13" width="5.6640625" style="33" bestFit="1" customWidth="1"/>
    <col min="14" max="14" width="8.33203125" style="33" customWidth="1"/>
    <col min="15" max="15" width="4.44140625" style="33" bestFit="1" customWidth="1"/>
    <col min="16" max="16" width="5.6640625" style="33" bestFit="1" customWidth="1"/>
    <col min="17" max="17" width="8" style="33" bestFit="1" customWidth="1"/>
    <col min="18" max="18" width="5.88671875" style="33" bestFit="1" customWidth="1"/>
    <col min="19" max="19" width="8" style="33" bestFit="1" customWidth="1"/>
    <col min="20" max="20" width="4.44140625" style="33" bestFit="1" customWidth="1"/>
    <col min="21" max="21" width="5.6640625" style="33" bestFit="1" customWidth="1"/>
    <col min="22" max="22" width="7.6640625" style="33" customWidth="1"/>
    <col min="23" max="23" width="5.6640625" style="33" bestFit="1" customWidth="1"/>
    <col min="24" max="24" width="6.6640625" style="33" bestFit="1" customWidth="1"/>
    <col min="25" max="25" width="5.6640625" style="33" bestFit="1" customWidth="1"/>
    <col min="26" max="26" width="12" style="33" bestFit="1" customWidth="1"/>
    <col min="27" max="29" width="8.33203125" style="33" bestFit="1" customWidth="1"/>
    <col min="30" max="30" width="8.6640625" style="33"/>
    <col min="31" max="32" width="8.33203125" style="33" bestFit="1" customWidth="1"/>
    <col min="33" max="33" width="12" style="33" bestFit="1" customWidth="1"/>
    <col min="34" max="34" width="9.109375" style="33" bestFit="1" customWidth="1"/>
    <col min="35" max="35" width="6.44140625" style="33" bestFit="1" customWidth="1"/>
    <col min="36" max="36" width="6.77734375" style="33" bestFit="1" customWidth="1"/>
    <col min="37" max="37" width="13" style="33" customWidth="1"/>
    <col min="38" max="38" width="6.6640625" style="33" bestFit="1" customWidth="1"/>
    <col min="39" max="39" width="8.33203125" style="33" bestFit="1" customWidth="1"/>
    <col min="40" max="40" width="6.6640625" style="33" bestFit="1" customWidth="1"/>
    <col min="41" max="41" width="6.44140625" style="33" bestFit="1" customWidth="1"/>
    <col min="42" max="42" width="8.6640625" style="33"/>
    <col min="43" max="43" width="6.44140625" style="33" bestFit="1" customWidth="1"/>
    <col min="44" max="44" width="6.5546875" style="33" bestFit="1" customWidth="1"/>
    <col min="45" max="46" width="8.33203125" style="33" bestFit="1" customWidth="1"/>
    <col min="47" max="47" width="12" style="33" bestFit="1" customWidth="1"/>
    <col min="48" max="48" width="7.44140625" style="33" bestFit="1" customWidth="1"/>
    <col min="49" max="49" width="10.21875" style="33" bestFit="1" customWidth="1"/>
    <col min="50" max="50" width="11.6640625" style="33" customWidth="1"/>
    <col min="51" max="51" width="20.88671875" style="33" customWidth="1"/>
    <col min="52" max="52" width="10.5546875" style="33" bestFit="1" customWidth="1"/>
    <col min="53" max="53" width="11.109375" style="33" bestFit="1" customWidth="1"/>
    <col min="54" max="54" width="8.33203125" style="33" bestFit="1" customWidth="1"/>
    <col min="55" max="55" width="12.88671875" style="33" customWidth="1"/>
    <col min="56" max="16384" width="8.6640625" style="33"/>
  </cols>
  <sheetData>
    <row r="1" spans="1:57" s="10" customFormat="1" ht="26.1" customHeight="1" x14ac:dyDescent="0.3">
      <c r="A1" s="1" t="s">
        <v>84</v>
      </c>
      <c r="B1" s="2" t="s">
        <v>83</v>
      </c>
      <c r="C1" s="3" t="s">
        <v>85</v>
      </c>
      <c r="D1" s="3" t="s">
        <v>82</v>
      </c>
      <c r="E1" s="3" t="s">
        <v>81</v>
      </c>
      <c r="F1" s="1" t="s">
        <v>80</v>
      </c>
      <c r="G1" s="1" t="s">
        <v>79</v>
      </c>
      <c r="H1" s="1" t="s">
        <v>78</v>
      </c>
      <c r="I1" s="1" t="s">
        <v>77</v>
      </c>
      <c r="J1" s="4" t="s">
        <v>76</v>
      </c>
      <c r="K1" s="1" t="s">
        <v>75</v>
      </c>
      <c r="L1" s="1" t="s">
        <v>74</v>
      </c>
      <c r="M1" s="38" t="s">
        <v>73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5" t="s">
        <v>72</v>
      </c>
      <c r="AA1" s="4" t="s">
        <v>71</v>
      </c>
      <c r="AB1" s="4" t="s">
        <v>70</v>
      </c>
      <c r="AC1" s="4" t="s">
        <v>69</v>
      </c>
      <c r="AD1" s="4" t="s">
        <v>68</v>
      </c>
      <c r="AE1" s="4" t="s">
        <v>67</v>
      </c>
      <c r="AF1" s="4" t="s">
        <v>66</v>
      </c>
      <c r="AG1" s="5" t="s">
        <v>65</v>
      </c>
      <c r="AH1" s="4" t="s">
        <v>64</v>
      </c>
      <c r="AI1" s="4" t="s">
        <v>63</v>
      </c>
      <c r="AJ1" s="4" t="s">
        <v>62</v>
      </c>
      <c r="AK1" s="5" t="s">
        <v>61</v>
      </c>
      <c r="AL1" s="4" t="s">
        <v>60</v>
      </c>
      <c r="AM1" s="4" t="s">
        <v>59</v>
      </c>
      <c r="AN1" s="4" t="s">
        <v>58</v>
      </c>
      <c r="AO1" s="4" t="s">
        <v>57</v>
      </c>
      <c r="AP1" s="4" t="s">
        <v>56</v>
      </c>
      <c r="AQ1" s="4" t="s">
        <v>55</v>
      </c>
      <c r="AR1" s="4" t="s">
        <v>54</v>
      </c>
      <c r="AS1" s="4" t="s">
        <v>53</v>
      </c>
      <c r="AT1" s="4" t="s">
        <v>52</v>
      </c>
      <c r="AU1" s="5" t="s">
        <v>51</v>
      </c>
      <c r="AV1" s="5" t="s">
        <v>50</v>
      </c>
      <c r="AW1" s="6" t="s">
        <v>49</v>
      </c>
      <c r="AX1" s="7" t="s">
        <v>96</v>
      </c>
      <c r="AY1" s="8" t="s">
        <v>48</v>
      </c>
      <c r="AZ1" s="6" t="s">
        <v>47</v>
      </c>
      <c r="BA1" s="9" t="s">
        <v>86</v>
      </c>
      <c r="BB1" s="6" t="s">
        <v>46</v>
      </c>
      <c r="BC1" s="6" t="s">
        <v>45</v>
      </c>
    </row>
    <row r="2" spans="1:57" s="17" customFormat="1" ht="40.799999999999997" x14ac:dyDescent="0.25">
      <c r="A2" s="11" t="s">
        <v>44</v>
      </c>
      <c r="B2" s="12" t="s">
        <v>43</v>
      </c>
      <c r="C2" s="11" t="s">
        <v>87</v>
      </c>
      <c r="D2" s="11" t="s">
        <v>42</v>
      </c>
      <c r="E2" s="11" t="s">
        <v>41</v>
      </c>
      <c r="F2" s="11" t="s">
        <v>40</v>
      </c>
      <c r="G2" s="11" t="s">
        <v>39</v>
      </c>
      <c r="H2" s="11" t="s">
        <v>38</v>
      </c>
      <c r="I2" s="11" t="s">
        <v>37</v>
      </c>
      <c r="J2" s="13" t="s">
        <v>36</v>
      </c>
      <c r="K2" s="11" t="s">
        <v>35</v>
      </c>
      <c r="L2" s="11" t="s">
        <v>34</v>
      </c>
      <c r="M2" s="11" t="s">
        <v>33</v>
      </c>
      <c r="N2" s="11" t="s">
        <v>98</v>
      </c>
      <c r="O2" s="11" t="s">
        <v>100</v>
      </c>
      <c r="P2" s="11" t="s">
        <v>99</v>
      </c>
      <c r="Q2" s="11" t="s">
        <v>91</v>
      </c>
      <c r="R2" s="11" t="s">
        <v>32</v>
      </c>
      <c r="S2" s="11" t="s">
        <v>31</v>
      </c>
      <c r="T2" s="11" t="s">
        <v>30</v>
      </c>
      <c r="U2" s="11" t="s">
        <v>93</v>
      </c>
      <c r="V2" s="11" t="s">
        <v>29</v>
      </c>
      <c r="W2" s="11" t="s">
        <v>92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88</v>
      </c>
      <c r="BB2" s="6" t="s">
        <v>2</v>
      </c>
      <c r="BC2" s="6" t="s">
        <v>1</v>
      </c>
    </row>
    <row r="3" spans="1:57" s="32" customFormat="1" ht="15" customHeight="1" x14ac:dyDescent="0.25">
      <c r="A3" s="18">
        <f t="shared" ref="A3" si="0">ROW()-2</f>
        <v>1</v>
      </c>
      <c r="B3" s="19">
        <v>2410</v>
      </c>
      <c r="C3" s="19" t="s">
        <v>90</v>
      </c>
      <c r="D3" s="18" t="s">
        <v>89</v>
      </c>
      <c r="E3" s="20" t="s">
        <v>101</v>
      </c>
      <c r="F3" s="21">
        <v>45078</v>
      </c>
      <c r="G3" s="21">
        <v>45443</v>
      </c>
      <c r="H3" s="18"/>
      <c r="I3" s="22" t="s">
        <v>0</v>
      </c>
      <c r="J3" s="23">
        <v>1030</v>
      </c>
      <c r="K3" s="24">
        <v>0</v>
      </c>
      <c r="L3" s="24">
        <v>0</v>
      </c>
      <c r="M3" s="24"/>
      <c r="N3" s="24"/>
      <c r="O3" s="24"/>
      <c r="P3" s="24"/>
      <c r="Q3" s="24"/>
      <c r="R3" s="24">
        <v>630</v>
      </c>
      <c r="S3" s="24"/>
      <c r="T3" s="24"/>
      <c r="U3" s="24"/>
      <c r="V3" s="24">
        <v>4500</v>
      </c>
      <c r="W3" s="24"/>
      <c r="X3" s="24">
        <v>0</v>
      </c>
      <c r="Y3" s="24">
        <v>0</v>
      </c>
      <c r="Z3" s="25">
        <f>SUM(J3:Y3)</f>
        <v>6160</v>
      </c>
      <c r="AA3" s="26">
        <v>9311</v>
      </c>
      <c r="AB3" s="27">
        <f t="shared" ref="AB3" si="1">ROUND(AA3*8%,2)</f>
        <v>744.88</v>
      </c>
      <c r="AC3" s="27">
        <f t="shared" ref="AC3" si="2">ROUND(AA3*2%,2)</f>
        <v>186.22</v>
      </c>
      <c r="AD3" s="27">
        <f t="shared" ref="AD3" si="3">ROUND(AA3*0.5%,2)</f>
        <v>46.56</v>
      </c>
      <c r="AE3" s="26">
        <v>9311</v>
      </c>
      <c r="AF3" s="26">
        <f t="shared" ref="AF3" si="4">ROUND(AE3*7%,0)</f>
        <v>652</v>
      </c>
      <c r="AG3" s="25">
        <f t="shared" ref="AG3" si="5">AB3+AC3+AD3+AF3</f>
        <v>1629.66</v>
      </c>
      <c r="AH3" s="28"/>
      <c r="AI3" s="29"/>
      <c r="AJ3" s="29"/>
      <c r="AK3" s="25">
        <f t="shared" ref="AK3" si="6">Z3-AG3-AH3</f>
        <v>4530.34</v>
      </c>
      <c r="AL3" s="26">
        <v>9311</v>
      </c>
      <c r="AM3" s="26">
        <v>9311</v>
      </c>
      <c r="AN3" s="26">
        <f t="shared" ref="AN3" si="7">ROUND(AL3*16%,2)</f>
        <v>1489.76</v>
      </c>
      <c r="AO3" s="26">
        <v>838</v>
      </c>
      <c r="AP3" s="26">
        <f t="shared" ref="AP3" si="8">ROUND(AL3*0.5%,2)</f>
        <v>46.56</v>
      </c>
      <c r="AQ3" s="26">
        <f>ROUND(AL3*0.32%,2)</f>
        <v>29.8</v>
      </c>
      <c r="AR3" s="26"/>
      <c r="AS3" s="26">
        <f t="shared" ref="AS3" si="9">ROUND(AM3*7%,0)</f>
        <v>652</v>
      </c>
      <c r="AT3" s="26">
        <f t="shared" ref="AT3" si="10">ROUND(IF(AL3&lt;22792,AL3*1.5%,22792*1.5%),2)</f>
        <v>139.66999999999999</v>
      </c>
      <c r="AU3" s="25">
        <f t="shared" ref="AU3" si="11">SUM(AN3:AT3)</f>
        <v>3195.7900000000004</v>
      </c>
      <c r="AV3" s="25">
        <v>111</v>
      </c>
      <c r="AW3" s="25">
        <f t="shared" ref="AW3" si="12">AU3+Z3+AI3-AJ3+AV3</f>
        <v>9466.7900000000009</v>
      </c>
      <c r="AX3" s="36"/>
      <c r="AY3" s="37"/>
      <c r="AZ3" s="25">
        <v>255</v>
      </c>
      <c r="BA3" s="30">
        <f t="shared" ref="BA3" si="13">ROUND(AW3+AZ3+AX3,2)</f>
        <v>9721.7900000000009</v>
      </c>
      <c r="BB3" s="25">
        <f t="shared" ref="BB3" si="14">ROUND(BA3*6%,2)</f>
        <v>583.30999999999995</v>
      </c>
      <c r="BC3" s="25">
        <f t="shared" ref="BC3" si="15">ROUND(SUM(BA3:BB3),2)</f>
        <v>10305.1</v>
      </c>
      <c r="BD3" s="31"/>
      <c r="BE3" s="31"/>
    </row>
    <row r="5" spans="1:57" s="34" customFormat="1" x14ac:dyDescent="0.25">
      <c r="A5" s="34" t="s">
        <v>97</v>
      </c>
      <c r="AU5" s="34">
        <v>3195.7900000000004</v>
      </c>
    </row>
    <row r="6" spans="1:57" ht="15" customHeight="1" x14ac:dyDescent="0.25">
      <c r="AU6" s="34"/>
      <c r="AV6" s="34"/>
      <c r="AW6" s="34"/>
      <c r="AX6" s="34"/>
    </row>
    <row r="7" spans="1:57" hidden="1" x14ac:dyDescent="0.25">
      <c r="AZ7" s="35" t="s">
        <v>94</v>
      </c>
      <c r="BA7" s="35">
        <v>303434.71999999997</v>
      </c>
    </row>
    <row r="8" spans="1:57" hidden="1" x14ac:dyDescent="0.25">
      <c r="AZ8" s="35" t="s">
        <v>95</v>
      </c>
      <c r="BA8" s="35">
        <v>111.61</v>
      </c>
    </row>
  </sheetData>
  <mergeCells count="1">
    <mergeCell ref="M1:Y1"/>
  </mergeCells>
  <phoneticPr fontId="6" type="noConversion"/>
  <conditionalFormatting sqref="C1">
    <cfRule type="duplicateValues" dxfId="14" priority="125"/>
  </conditionalFormatting>
  <conditionalFormatting sqref="C1">
    <cfRule type="duplicateValues" dxfId="13" priority="126"/>
  </conditionalFormatting>
  <conditionalFormatting sqref="C1">
    <cfRule type="duplicateValues" dxfId="12" priority="127"/>
    <cfRule type="duplicateValues" dxfId="11" priority="128"/>
  </conditionalFormatting>
  <conditionalFormatting sqref="C1">
    <cfRule type="duplicateValues" dxfId="10" priority="129"/>
    <cfRule type="duplicateValues" dxfId="9" priority="130"/>
  </conditionalFormatting>
  <conditionalFormatting sqref="C2">
    <cfRule type="duplicateValues" dxfId="8" priority="122"/>
    <cfRule type="duplicateValues" dxfId="7" priority="123"/>
  </conditionalFormatting>
  <conditionalFormatting sqref="C2">
    <cfRule type="duplicateValues" dxfId="6" priority="124"/>
  </conditionalFormatting>
  <conditionalFormatting sqref="D1">
    <cfRule type="duplicateValues" dxfId="5" priority="159"/>
  </conditionalFormatting>
  <conditionalFormatting sqref="D1">
    <cfRule type="duplicateValues" dxfId="4" priority="161"/>
    <cfRule type="duplicateValues" dxfId="3" priority="162"/>
  </conditionalFormatting>
  <conditionalFormatting sqref="D2">
    <cfRule type="duplicateValues" dxfId="2" priority="165"/>
    <cfRule type="duplicateValues" dxfId="1" priority="166"/>
  </conditionalFormatting>
  <conditionalFormatting sqref="D2">
    <cfRule type="duplicateValues" dxfId="0" priority="16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DC16-D079-4041-8ACE-42B4C5ED3CC1}">
  <dimension ref="A1:N17"/>
  <sheetViews>
    <sheetView tabSelected="1" workbookViewId="0">
      <selection activeCell="E25" sqref="E25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25.44140625" bestFit="1" customWidth="1"/>
    <col min="7" max="7" width="25.44140625" customWidth="1"/>
    <col min="8" max="8" width="14.33203125" bestFit="1" customWidth="1"/>
    <col min="9" max="9" width="10.21875" bestFit="1" customWidth="1"/>
    <col min="10" max="10" width="15.77734375" style="44" customWidth="1"/>
    <col min="11" max="14" width="8.88671875" style="44"/>
  </cols>
  <sheetData>
    <row r="1" spans="1:9" x14ac:dyDescent="0.25">
      <c r="A1" s="41" t="s">
        <v>102</v>
      </c>
      <c r="B1" s="42" t="s">
        <v>103</v>
      </c>
      <c r="C1" s="42" t="s">
        <v>104</v>
      </c>
      <c r="D1" s="42">
        <v>155</v>
      </c>
      <c r="E1" s="42" t="s">
        <v>105</v>
      </c>
      <c r="F1" s="42" t="s">
        <v>106</v>
      </c>
      <c r="G1" s="42" t="s">
        <v>50</v>
      </c>
      <c r="H1" s="42" t="s">
        <v>107</v>
      </c>
      <c r="I1" s="43" t="s">
        <v>108</v>
      </c>
    </row>
    <row r="2" spans="1:9" x14ac:dyDescent="0.25">
      <c r="A2" s="41" t="s">
        <v>109</v>
      </c>
      <c r="B2" s="42">
        <f>'202410'!BB3</f>
        <v>583.30999999999995</v>
      </c>
      <c r="C2" s="42">
        <f>系统!E17</f>
        <v>667.05</v>
      </c>
      <c r="D2" s="42"/>
      <c r="E2" s="42"/>
      <c r="F2" s="42"/>
      <c r="G2" s="42"/>
      <c r="H2" s="42">
        <f>SUM(C2:F2)</f>
        <v>667.05</v>
      </c>
      <c r="I2" s="45">
        <f t="shared" ref="I2:I10" si="0">B2-C2</f>
        <v>-83.740000000000009</v>
      </c>
    </row>
    <row r="3" spans="1:9" x14ac:dyDescent="0.25">
      <c r="A3" s="41" t="s">
        <v>110</v>
      </c>
      <c r="B3" s="42">
        <f>'202410'!AZ3</f>
        <v>255</v>
      </c>
      <c r="C3" s="42">
        <v>0</v>
      </c>
      <c r="D3" s="42">
        <f>1*155+5</f>
        <v>160</v>
      </c>
      <c r="E3" s="42"/>
      <c r="F3" s="42"/>
      <c r="G3" s="42"/>
      <c r="H3" s="42">
        <f>SUM(C3:F3)</f>
        <v>160</v>
      </c>
      <c r="I3" s="45">
        <f t="shared" si="0"/>
        <v>255</v>
      </c>
    </row>
    <row r="4" spans="1:9" x14ac:dyDescent="0.25">
      <c r="A4" s="41" t="s">
        <v>111</v>
      </c>
      <c r="B4" s="42">
        <f>'202410'!AG3</f>
        <v>1629.66</v>
      </c>
      <c r="C4" s="42">
        <f>系统!V17</f>
        <v>1629.66</v>
      </c>
      <c r="D4" s="42"/>
      <c r="E4" s="42"/>
      <c r="F4" s="42"/>
      <c r="G4" s="42"/>
      <c r="H4" s="42">
        <f>SUM(C4:F4)</f>
        <v>1629.66</v>
      </c>
      <c r="I4" s="45">
        <f t="shared" si="0"/>
        <v>0</v>
      </c>
    </row>
    <row r="5" spans="1:9" x14ac:dyDescent="0.25">
      <c r="A5" s="41" t="s">
        <v>112</v>
      </c>
      <c r="B5" s="42">
        <f>'202410'!AU3</f>
        <v>3195.7900000000004</v>
      </c>
      <c r="C5" s="42">
        <f>系统!O17</f>
        <v>3195.7900000000004</v>
      </c>
      <c r="D5" s="42"/>
      <c r="E5" s="46"/>
      <c r="F5" s="42"/>
      <c r="G5" s="42"/>
      <c r="H5" s="42">
        <f>SUM(C5:E5)</f>
        <v>3195.7900000000004</v>
      </c>
      <c r="I5" s="45">
        <f t="shared" si="0"/>
        <v>0</v>
      </c>
    </row>
    <row r="6" spans="1:9" x14ac:dyDescent="0.25">
      <c r="A6" s="41" t="s">
        <v>113</v>
      </c>
      <c r="B6" s="42"/>
      <c r="C6" s="42"/>
      <c r="D6" s="42"/>
      <c r="E6" s="42"/>
      <c r="F6" s="42"/>
      <c r="G6" s="42"/>
      <c r="H6" s="42">
        <f t="shared" ref="H6:H9" si="1">SUM(C6:F6)</f>
        <v>0</v>
      </c>
      <c r="I6" s="45">
        <f t="shared" si="0"/>
        <v>0</v>
      </c>
    </row>
    <row r="7" spans="1:9" x14ac:dyDescent="0.25">
      <c r="A7" s="41" t="s">
        <v>114</v>
      </c>
      <c r="B7" s="42">
        <f>'202410'!AK3</f>
        <v>4530.34</v>
      </c>
      <c r="C7" s="42">
        <f>系统!W17</f>
        <v>4525.34</v>
      </c>
      <c r="D7" s="42"/>
      <c r="E7" s="42"/>
      <c r="F7" s="42"/>
      <c r="G7" s="42"/>
      <c r="H7" s="42">
        <f t="shared" si="1"/>
        <v>4525.34</v>
      </c>
      <c r="I7" s="45">
        <f t="shared" si="0"/>
        <v>5</v>
      </c>
    </row>
    <row r="8" spans="1:9" x14ac:dyDescent="0.25">
      <c r="A8" s="41" t="s">
        <v>115</v>
      </c>
      <c r="B8" s="42"/>
      <c r="C8" s="42"/>
      <c r="D8" s="42"/>
      <c r="E8" s="47"/>
      <c r="F8" s="48"/>
      <c r="G8" s="48"/>
      <c r="H8" s="42">
        <f t="shared" si="1"/>
        <v>0</v>
      </c>
      <c r="I8" s="45">
        <f t="shared" si="0"/>
        <v>0</v>
      </c>
    </row>
    <row r="9" spans="1:9" x14ac:dyDescent="0.25">
      <c r="A9" s="41" t="s">
        <v>50</v>
      </c>
      <c r="B9" s="42">
        <f>'202410'!AV3</f>
        <v>111</v>
      </c>
      <c r="C9" s="42"/>
      <c r="D9" s="42"/>
      <c r="E9" s="42"/>
      <c r="F9" s="48"/>
      <c r="G9" s="48">
        <f>B9</f>
        <v>111</v>
      </c>
      <c r="H9" s="42">
        <f t="shared" si="1"/>
        <v>0</v>
      </c>
      <c r="I9" s="45">
        <f t="shared" si="0"/>
        <v>111</v>
      </c>
    </row>
    <row r="10" spans="1:9" x14ac:dyDescent="0.25">
      <c r="A10" s="41" t="s">
        <v>116</v>
      </c>
      <c r="B10" s="42"/>
      <c r="C10" s="42"/>
      <c r="D10" s="42"/>
      <c r="E10" s="42"/>
      <c r="F10" s="42"/>
      <c r="G10" s="42"/>
      <c r="H10" s="42">
        <f>SUM(C10:G10)</f>
        <v>0</v>
      </c>
      <c r="I10" s="45">
        <f t="shared" si="0"/>
        <v>0</v>
      </c>
    </row>
    <row r="11" spans="1:9" x14ac:dyDescent="0.25">
      <c r="A11" s="49" t="s">
        <v>117</v>
      </c>
      <c r="B11" s="50">
        <f t="shared" ref="B11:G11" si="2">SUM(B2:B10)</f>
        <v>10305.1</v>
      </c>
      <c r="C11" s="50">
        <f t="shared" si="2"/>
        <v>10017.84</v>
      </c>
      <c r="D11" s="50">
        <f t="shared" si="2"/>
        <v>160</v>
      </c>
      <c r="E11" s="50">
        <f t="shared" si="2"/>
        <v>0</v>
      </c>
      <c r="F11" s="50">
        <f t="shared" si="2"/>
        <v>0</v>
      </c>
      <c r="G11" s="50">
        <f t="shared" si="2"/>
        <v>111</v>
      </c>
      <c r="H11" s="50">
        <f>SUM(C11:G11)</f>
        <v>10288.84</v>
      </c>
    </row>
    <row r="12" spans="1:9" x14ac:dyDescent="0.25">
      <c r="A12" s="41" t="s">
        <v>118</v>
      </c>
      <c r="B12" s="42"/>
      <c r="C12" s="42"/>
      <c r="D12" s="42">
        <v>0</v>
      </c>
      <c r="E12" s="42"/>
      <c r="F12" s="42"/>
      <c r="G12" s="42"/>
      <c r="H12" s="42"/>
    </row>
    <row r="13" spans="1:9" x14ac:dyDescent="0.25">
      <c r="A13" s="41" t="s">
        <v>119</v>
      </c>
      <c r="B13" s="42"/>
      <c r="C13" s="42"/>
      <c r="D13" s="42">
        <f t="shared" ref="D13:F13" si="3">ROUND((D11+D12)*6%,2)</f>
        <v>9.6</v>
      </c>
      <c r="E13" s="42">
        <f t="shared" si="3"/>
        <v>0</v>
      </c>
      <c r="F13" s="42">
        <f t="shared" si="3"/>
        <v>0</v>
      </c>
      <c r="G13" s="42">
        <f>ROUND((G11+G12)*6%,2)</f>
        <v>6.66</v>
      </c>
      <c r="H13" s="42">
        <f>SUM(C13:F13)</f>
        <v>9.6</v>
      </c>
    </row>
    <row r="14" spans="1:9" x14ac:dyDescent="0.25">
      <c r="A14" s="51" t="s">
        <v>45</v>
      </c>
      <c r="B14" s="52">
        <f t="shared" ref="B14:F14" si="4">SUM(B11:B13)</f>
        <v>10305.1</v>
      </c>
      <c r="C14" s="52">
        <f t="shared" si="4"/>
        <v>10017.84</v>
      </c>
      <c r="D14" s="52">
        <f t="shared" si="4"/>
        <v>169.6</v>
      </c>
      <c r="E14" s="52">
        <f t="shared" si="4"/>
        <v>0</v>
      </c>
      <c r="F14" s="52">
        <f t="shared" si="4"/>
        <v>0</v>
      </c>
      <c r="G14" s="52">
        <f>SUM(G11:G13)</f>
        <v>117.66</v>
      </c>
      <c r="H14" s="52">
        <f>SUM(C14:G14)</f>
        <v>10305.1</v>
      </c>
    </row>
    <row r="15" spans="1:9" x14ac:dyDescent="0.25">
      <c r="A15" s="51" t="s">
        <v>120</v>
      </c>
      <c r="B15" s="52"/>
      <c r="C15" s="52"/>
      <c r="D15" s="52"/>
      <c r="E15" s="52"/>
      <c r="F15" s="52"/>
      <c r="G15" s="52"/>
      <c r="H15" s="52">
        <f>B14</f>
        <v>10305.1</v>
      </c>
    </row>
    <row r="16" spans="1:9" x14ac:dyDescent="0.25">
      <c r="A16" s="41" t="s">
        <v>121</v>
      </c>
      <c r="B16" s="42"/>
      <c r="C16" s="42"/>
      <c r="D16" s="42"/>
      <c r="E16" s="42"/>
      <c r="F16" s="42"/>
      <c r="G16" s="42"/>
      <c r="H16" s="42">
        <f>H15-H14</f>
        <v>0</v>
      </c>
    </row>
    <row r="17" spans="1:8" x14ac:dyDescent="0.25">
      <c r="A17" s="41" t="s">
        <v>122</v>
      </c>
      <c r="B17" s="42"/>
      <c r="C17" s="42"/>
      <c r="D17" s="42"/>
      <c r="E17" s="42"/>
      <c r="F17" s="42"/>
      <c r="G17" s="42"/>
      <c r="H17" s="42">
        <f>ROUND(H16/1.06,2)</f>
        <v>0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41B7-2D57-4C74-8554-4B82A864E053}">
  <dimension ref="A1:AE59"/>
  <sheetViews>
    <sheetView workbookViewId="0">
      <selection activeCell="O9" sqref="O9"/>
    </sheetView>
  </sheetViews>
  <sheetFormatPr defaultRowHeight="13.8" x14ac:dyDescent="0.25"/>
  <cols>
    <col min="1" max="4" width="8.88671875" style="54"/>
    <col min="5" max="24" width="8.88671875" style="55"/>
    <col min="25" max="25" width="9.33203125" style="55" bestFit="1" customWidth="1"/>
    <col min="26" max="27" width="8.88671875" style="54"/>
    <col min="28" max="28" width="15.77734375" style="54" customWidth="1"/>
    <col min="29" max="29" width="8.88671875" style="55"/>
    <col min="30" max="30" width="8.88671875" style="54"/>
    <col min="31" max="31" width="8.88671875" style="55"/>
    <col min="32" max="16384" width="8.88671875" style="54"/>
  </cols>
  <sheetData>
    <row r="1" spans="1:31" x14ac:dyDescent="0.25">
      <c r="A1" s="53" t="s">
        <v>123</v>
      </c>
    </row>
    <row r="2" spans="1:31" x14ac:dyDescent="0.25">
      <c r="A2" s="53" t="s">
        <v>124</v>
      </c>
    </row>
    <row r="3" spans="1:31" x14ac:dyDescent="0.25">
      <c r="B3" s="53" t="s">
        <v>125</v>
      </c>
    </row>
    <row r="6" spans="1:31" ht="20.399999999999999" x14ac:dyDescent="0.25">
      <c r="D6" s="56" t="s">
        <v>126</v>
      </c>
    </row>
    <row r="7" spans="1:31" ht="20.399999999999999" x14ac:dyDescent="0.25">
      <c r="C7" s="56" t="s">
        <v>127</v>
      </c>
    </row>
    <row r="9" spans="1:31" ht="20.399999999999999" x14ac:dyDescent="0.25">
      <c r="E9" s="57" t="s">
        <v>128</v>
      </c>
    </row>
    <row r="10" spans="1:31" ht="20.399999999999999" x14ac:dyDescent="0.25">
      <c r="E10" s="57" t="s">
        <v>129</v>
      </c>
    </row>
    <row r="11" spans="1:31" ht="15.6" x14ac:dyDescent="0.25">
      <c r="E11" s="58" t="s">
        <v>130</v>
      </c>
    </row>
    <row r="13" spans="1:31" s="60" customFormat="1" ht="13.2" x14ac:dyDescent="0.25">
      <c r="A13" s="59" t="s">
        <v>131</v>
      </c>
      <c r="E13" s="61"/>
      <c r="F13" s="61"/>
      <c r="G13" s="61"/>
      <c r="H13" s="61"/>
      <c r="I13" s="61"/>
      <c r="J13" s="62" t="s">
        <v>132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AC13" s="61"/>
      <c r="AE13" s="61"/>
    </row>
    <row r="14" spans="1:31" s="63" customFormat="1" ht="60" customHeight="1" x14ac:dyDescent="0.15">
      <c r="A14" s="63" t="s">
        <v>84</v>
      </c>
      <c r="B14" s="63" t="s">
        <v>82</v>
      </c>
      <c r="C14" s="63" t="s">
        <v>133</v>
      </c>
      <c r="D14" s="63" t="s">
        <v>134</v>
      </c>
      <c r="E14" s="64" t="s">
        <v>109</v>
      </c>
      <c r="F14" s="64" t="s">
        <v>135</v>
      </c>
      <c r="G14" s="64" t="s">
        <v>136</v>
      </c>
      <c r="H14" s="65" t="s">
        <v>137</v>
      </c>
      <c r="I14" s="66"/>
      <c r="J14" s="66"/>
      <c r="K14" s="66"/>
      <c r="L14" s="66"/>
      <c r="M14" s="67"/>
      <c r="N14" s="68" t="s">
        <v>138</v>
      </c>
      <c r="O14" s="64" t="s">
        <v>139</v>
      </c>
      <c r="P14" s="65" t="s">
        <v>140</v>
      </c>
      <c r="Q14" s="66"/>
      <c r="R14" s="66"/>
      <c r="S14" s="66"/>
      <c r="T14" s="67"/>
      <c r="U14" s="68" t="s">
        <v>141</v>
      </c>
      <c r="V14" s="64" t="s">
        <v>142</v>
      </c>
      <c r="W14" s="64" t="s">
        <v>143</v>
      </c>
      <c r="X14" s="64" t="s">
        <v>144</v>
      </c>
      <c r="Y14" s="69" t="s">
        <v>45</v>
      </c>
      <c r="Z14" s="63" t="s">
        <v>145</v>
      </c>
      <c r="AA14" s="63" t="s">
        <v>146</v>
      </c>
      <c r="AB14" s="63" t="s">
        <v>147</v>
      </c>
      <c r="AC14" s="64" t="s">
        <v>148</v>
      </c>
      <c r="AD14" s="63" t="s">
        <v>149</v>
      </c>
      <c r="AE14" s="64" t="s">
        <v>119</v>
      </c>
    </row>
    <row r="15" spans="1:31" s="70" customFormat="1" ht="60" customHeight="1" x14ac:dyDescent="0.25">
      <c r="A15" s="70" t="s">
        <v>150</v>
      </c>
      <c r="B15" s="70" t="s">
        <v>42</v>
      </c>
      <c r="C15" s="70" t="s">
        <v>151</v>
      </c>
      <c r="D15" s="70" t="s">
        <v>152</v>
      </c>
      <c r="E15" s="71" t="s">
        <v>153</v>
      </c>
      <c r="F15" s="71" t="s">
        <v>154</v>
      </c>
      <c r="G15" s="71" t="s">
        <v>155</v>
      </c>
      <c r="H15" s="72" t="s">
        <v>156</v>
      </c>
      <c r="I15" s="72" t="s">
        <v>157</v>
      </c>
      <c r="J15" s="72" t="s">
        <v>158</v>
      </c>
      <c r="K15" s="72" t="s">
        <v>159</v>
      </c>
      <c r="L15" s="72" t="s">
        <v>160</v>
      </c>
      <c r="M15" s="72" t="s">
        <v>161</v>
      </c>
      <c r="N15" s="72" t="s">
        <v>162</v>
      </c>
      <c r="O15" s="71" t="s">
        <v>163</v>
      </c>
      <c r="P15" s="72" t="s">
        <v>156</v>
      </c>
      <c r="Q15" s="72" t="s">
        <v>157</v>
      </c>
      <c r="R15" s="72" t="s">
        <v>158</v>
      </c>
      <c r="S15" s="72" t="s">
        <v>159</v>
      </c>
      <c r="T15" s="72" t="s">
        <v>160</v>
      </c>
      <c r="U15" s="72" t="s">
        <v>162</v>
      </c>
      <c r="V15" s="71" t="s">
        <v>164</v>
      </c>
      <c r="W15" s="71" t="s">
        <v>165</v>
      </c>
      <c r="X15" s="71" t="s">
        <v>166</v>
      </c>
      <c r="Y15" s="73" t="s">
        <v>167</v>
      </c>
      <c r="Z15" s="70" t="s">
        <v>168</v>
      </c>
      <c r="AA15" s="70" t="s">
        <v>169</v>
      </c>
      <c r="AB15" s="70" t="s">
        <v>170</v>
      </c>
      <c r="AC15" s="71" t="s">
        <v>171</v>
      </c>
      <c r="AD15" s="70" t="s">
        <v>172</v>
      </c>
      <c r="AE15" s="71" t="s">
        <v>2</v>
      </c>
    </row>
    <row r="16" spans="1:31" s="74" customFormat="1" ht="11.4" x14ac:dyDescent="0.25">
      <c r="A16" s="74">
        <v>1</v>
      </c>
      <c r="B16" s="74" t="s">
        <v>173</v>
      </c>
      <c r="C16" s="74" t="s">
        <v>174</v>
      </c>
      <c r="D16" s="74" t="s">
        <v>175</v>
      </c>
      <c r="E16" s="75">
        <v>667.05</v>
      </c>
      <c r="F16" s="75">
        <v>9311</v>
      </c>
      <c r="G16" s="75">
        <v>9311</v>
      </c>
      <c r="H16" s="75">
        <v>1489.76</v>
      </c>
      <c r="I16" s="75">
        <v>838</v>
      </c>
      <c r="J16" s="75">
        <v>46.56</v>
      </c>
      <c r="K16" s="75">
        <v>29.8</v>
      </c>
      <c r="L16" s="75"/>
      <c r="M16" s="75">
        <v>139.66999999999999</v>
      </c>
      <c r="N16" s="75">
        <v>652</v>
      </c>
      <c r="O16" s="75">
        <f>SUM(H16:N16)</f>
        <v>3195.7900000000004</v>
      </c>
      <c r="P16" s="75">
        <v>744.88</v>
      </c>
      <c r="Q16" s="75">
        <v>186.22</v>
      </c>
      <c r="R16" s="75">
        <v>46.56</v>
      </c>
      <c r="S16" s="75"/>
      <c r="T16" s="75"/>
      <c r="U16" s="75">
        <v>652</v>
      </c>
      <c r="V16" s="75">
        <f>SUM(P16:U16)</f>
        <v>1629.66</v>
      </c>
      <c r="W16" s="75">
        <v>4525.34</v>
      </c>
      <c r="X16" s="75"/>
      <c r="Y16" s="76">
        <f>SUM(E16,O16,V16:X16)</f>
        <v>10017.84</v>
      </c>
      <c r="AA16" s="74" t="s">
        <v>176</v>
      </c>
      <c r="AB16" s="74" t="s">
        <v>177</v>
      </c>
      <c r="AC16" s="77">
        <v>9450.7999999999993</v>
      </c>
      <c r="AD16" s="74" t="s">
        <v>178</v>
      </c>
      <c r="AE16" s="77">
        <v>567.04</v>
      </c>
    </row>
    <row r="17" spans="1:31" s="74" customFormat="1" ht="11.4" x14ac:dyDescent="0.25">
      <c r="A17" s="74" t="s">
        <v>179</v>
      </c>
      <c r="E17" s="75">
        <f>SUM(E16:E16)</f>
        <v>667.05</v>
      </c>
      <c r="F17" s="75"/>
      <c r="G17" s="75"/>
      <c r="H17" s="75">
        <f t="shared" ref="H17:Y17" si="0">SUM(H16:H16)</f>
        <v>1489.76</v>
      </c>
      <c r="I17" s="75">
        <f t="shared" si="0"/>
        <v>838</v>
      </c>
      <c r="J17" s="75">
        <f t="shared" si="0"/>
        <v>46.56</v>
      </c>
      <c r="K17" s="75">
        <f t="shared" si="0"/>
        <v>29.8</v>
      </c>
      <c r="L17" s="75">
        <f t="shared" si="0"/>
        <v>0</v>
      </c>
      <c r="M17" s="75">
        <f t="shared" si="0"/>
        <v>139.66999999999999</v>
      </c>
      <c r="N17" s="75">
        <f t="shared" si="0"/>
        <v>652</v>
      </c>
      <c r="O17" s="75">
        <f t="shared" si="0"/>
        <v>3195.7900000000004</v>
      </c>
      <c r="P17" s="75">
        <f t="shared" si="0"/>
        <v>744.88</v>
      </c>
      <c r="Q17" s="75">
        <f t="shared" si="0"/>
        <v>186.22</v>
      </c>
      <c r="R17" s="75">
        <f t="shared" si="0"/>
        <v>46.56</v>
      </c>
      <c r="S17" s="75">
        <f t="shared" si="0"/>
        <v>0</v>
      </c>
      <c r="T17" s="75">
        <f t="shared" si="0"/>
        <v>0</v>
      </c>
      <c r="U17" s="75">
        <f t="shared" si="0"/>
        <v>652</v>
      </c>
      <c r="V17" s="75">
        <f t="shared" si="0"/>
        <v>1629.66</v>
      </c>
      <c r="W17" s="75">
        <f t="shared" si="0"/>
        <v>4525.34</v>
      </c>
      <c r="X17" s="75">
        <f t="shared" si="0"/>
        <v>0</v>
      </c>
      <c r="Y17" s="76">
        <f t="shared" si="0"/>
        <v>10017.84</v>
      </c>
      <c r="AC17" s="77">
        <f>SUM(AC16:AC16)</f>
        <v>9450.7999999999993</v>
      </c>
      <c r="AE17" s="77">
        <f>SUM(AE16:AE16)</f>
        <v>567.04</v>
      </c>
    </row>
    <row r="18" spans="1:31" s="74" customFormat="1" ht="11.4" x14ac:dyDescent="0.25">
      <c r="A18" s="78" t="s">
        <v>180</v>
      </c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9">
        <v>10017.84</v>
      </c>
      <c r="AC18" s="77"/>
      <c r="AE18" s="77"/>
    </row>
    <row r="19" spans="1:31" x14ac:dyDescent="0.25"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 spans="1:31" s="82" customFormat="1" ht="11.4" x14ac:dyDescent="0.25">
      <c r="A20" s="81" t="s">
        <v>181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AC20" s="83"/>
      <c r="AE20" s="83"/>
    </row>
    <row r="21" spans="1:31" s="85" customFormat="1" ht="30" customHeight="1" x14ac:dyDescent="0.15">
      <c r="A21" s="63" t="s">
        <v>84</v>
      </c>
      <c r="B21" s="63" t="s">
        <v>133</v>
      </c>
      <c r="C21" s="63" t="s">
        <v>182</v>
      </c>
      <c r="D21" s="63" t="s">
        <v>183</v>
      </c>
      <c r="E21" s="64" t="s">
        <v>145</v>
      </c>
      <c r="F21" s="64" t="s">
        <v>148</v>
      </c>
      <c r="G21" s="64" t="s">
        <v>149</v>
      </c>
      <c r="H21" s="64" t="s">
        <v>119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AC21" s="84"/>
      <c r="AE21" s="84"/>
    </row>
    <row r="22" spans="1:31" s="87" customFormat="1" ht="30" customHeight="1" x14ac:dyDescent="0.25">
      <c r="A22" s="70" t="s">
        <v>150</v>
      </c>
      <c r="B22" s="70" t="s">
        <v>151</v>
      </c>
      <c r="C22" s="70" t="s">
        <v>184</v>
      </c>
      <c r="D22" s="70" t="s">
        <v>185</v>
      </c>
      <c r="E22" s="71" t="s">
        <v>168</v>
      </c>
      <c r="F22" s="71" t="s">
        <v>171</v>
      </c>
      <c r="G22" s="71" t="s">
        <v>172</v>
      </c>
      <c r="H22" s="71" t="s">
        <v>2</v>
      </c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AC22" s="86"/>
      <c r="AE22" s="86"/>
    </row>
    <row r="23" spans="1:31" s="82" customFormat="1" ht="11.4" x14ac:dyDescent="0.25">
      <c r="A23" s="74">
        <v>1</v>
      </c>
      <c r="B23" s="74" t="s">
        <v>174</v>
      </c>
      <c r="C23" s="74" t="s">
        <v>186</v>
      </c>
      <c r="D23" s="75">
        <v>0</v>
      </c>
      <c r="E23" s="77"/>
      <c r="F23" s="75">
        <v>-0.01</v>
      </c>
      <c r="G23" s="77">
        <v>0.06</v>
      </c>
      <c r="H23" s="75">
        <v>0.01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AC23" s="83"/>
      <c r="AE23" s="83"/>
    </row>
    <row r="24" spans="1:31" s="82" customFormat="1" ht="11.4" x14ac:dyDescent="0.25">
      <c r="A24" s="74" t="s">
        <v>179</v>
      </c>
      <c r="B24" s="74"/>
      <c r="C24" s="74"/>
      <c r="D24" s="75">
        <f>SUM(D23:D23)</f>
        <v>0</v>
      </c>
      <c r="E24" s="77"/>
      <c r="F24" s="75">
        <f>SUM(F23:F23)</f>
        <v>-0.01</v>
      </c>
      <c r="G24" s="77"/>
      <c r="H24" s="75">
        <f>SUM(H23:H23)</f>
        <v>0.01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AC24" s="83"/>
      <c r="AE24" s="83"/>
    </row>
    <row r="25" spans="1:31" s="82" customFormat="1" ht="11.4" x14ac:dyDescent="0.25">
      <c r="A25" s="78" t="s">
        <v>187</v>
      </c>
      <c r="B25" s="74"/>
      <c r="C25" s="74"/>
      <c r="D25" s="88">
        <v>0</v>
      </c>
      <c r="E25" s="77"/>
      <c r="F25" s="88">
        <v>-0.01</v>
      </c>
      <c r="G25" s="77"/>
      <c r="H25" s="88">
        <v>0.01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AC25" s="83"/>
      <c r="AE25" s="83"/>
    </row>
    <row r="27" spans="1:31" x14ac:dyDescent="0.25">
      <c r="A27" s="54" t="s">
        <v>188</v>
      </c>
    </row>
    <row r="28" spans="1:31" ht="25.05" customHeight="1" x14ac:dyDescent="0.25">
      <c r="A28" s="89" t="s">
        <v>189</v>
      </c>
      <c r="B28" s="89" t="s">
        <v>190</v>
      </c>
      <c r="C28" s="89" t="s">
        <v>149</v>
      </c>
      <c r="D28" s="89" t="s">
        <v>191</v>
      </c>
    </row>
    <row r="29" spans="1:31" ht="25.05" customHeight="1" x14ac:dyDescent="0.25">
      <c r="A29" s="90"/>
      <c r="B29" s="90"/>
      <c r="C29" s="90"/>
      <c r="D29" s="90"/>
    </row>
    <row r="30" spans="1:31" x14ac:dyDescent="0.25">
      <c r="A30" s="74">
        <v>1</v>
      </c>
      <c r="B30" s="77">
        <v>9450.7900000000009</v>
      </c>
      <c r="C30" s="74" t="s">
        <v>178</v>
      </c>
      <c r="D30" s="77">
        <v>567.04999999999995</v>
      </c>
    </row>
    <row r="31" spans="1:31" x14ac:dyDescent="0.25">
      <c r="A31" s="74" t="s">
        <v>192</v>
      </c>
      <c r="B31" s="77">
        <v>9450.7900000000009</v>
      </c>
      <c r="C31" s="74"/>
      <c r="D31" s="77">
        <v>567.04999999999995</v>
      </c>
    </row>
    <row r="32" spans="1:31" x14ac:dyDescent="0.25">
      <c r="A32" s="91" t="s">
        <v>193</v>
      </c>
      <c r="B32" s="92"/>
      <c r="C32" s="92"/>
      <c r="D32" s="93">
        <v>567.04999999999995</v>
      </c>
    </row>
    <row r="33" spans="1:31" x14ac:dyDescent="0.25">
      <c r="A33" s="94" t="s">
        <v>194</v>
      </c>
    </row>
    <row r="34" spans="1:31" x14ac:dyDescent="0.25">
      <c r="A34" s="95">
        <v>10017.84</v>
      </c>
    </row>
    <row r="35" spans="1:31" x14ac:dyDescent="0.25">
      <c r="A35" s="94" t="s">
        <v>195</v>
      </c>
    </row>
    <row r="37" spans="1:31" s="97" customFormat="1" ht="17.399999999999999" x14ac:dyDescent="0.25">
      <c r="A37" s="96" t="s">
        <v>196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AC37" s="98"/>
      <c r="AE37" s="98"/>
    </row>
    <row r="39" spans="1:31" x14ac:dyDescent="0.25">
      <c r="A39" s="99" t="s">
        <v>197</v>
      </c>
      <c r="J39" s="55" t="s">
        <v>198</v>
      </c>
    </row>
    <row r="41" spans="1:31" x14ac:dyDescent="0.25">
      <c r="A41" s="53" t="s">
        <v>199</v>
      </c>
    </row>
    <row r="42" spans="1:31" x14ac:dyDescent="0.25">
      <c r="A42" s="53" t="s">
        <v>200</v>
      </c>
    </row>
    <row r="43" spans="1:31" x14ac:dyDescent="0.25">
      <c r="A43" s="53" t="s">
        <v>201</v>
      </c>
    </row>
    <row r="44" spans="1:31" x14ac:dyDescent="0.25">
      <c r="A44" s="53" t="s">
        <v>202</v>
      </c>
    </row>
    <row r="45" spans="1:31" x14ac:dyDescent="0.25">
      <c r="A45" s="53" t="s">
        <v>203</v>
      </c>
    </row>
    <row r="47" spans="1:31" x14ac:dyDescent="0.25">
      <c r="A47" s="99" t="s">
        <v>204</v>
      </c>
      <c r="D47" s="99" t="s">
        <v>205</v>
      </c>
      <c r="G47" s="100" t="s">
        <v>126</v>
      </c>
    </row>
    <row r="48" spans="1:31" x14ac:dyDescent="0.25">
      <c r="A48" s="99" t="s">
        <v>206</v>
      </c>
      <c r="G48" s="101" t="s">
        <v>207</v>
      </c>
    </row>
    <row r="49" spans="1:10" x14ac:dyDescent="0.25">
      <c r="A49" s="99" t="s">
        <v>208</v>
      </c>
      <c r="D49" s="99" t="s">
        <v>209</v>
      </c>
      <c r="G49" s="101" t="s">
        <v>210</v>
      </c>
    </row>
    <row r="50" spans="1:10" x14ac:dyDescent="0.25">
      <c r="A50" s="99" t="s">
        <v>211</v>
      </c>
      <c r="D50" s="99" t="s">
        <v>212</v>
      </c>
      <c r="G50" s="101" t="s">
        <v>213</v>
      </c>
      <c r="J50" s="101" t="s">
        <v>214</v>
      </c>
    </row>
    <row r="52" spans="1:10" x14ac:dyDescent="0.25">
      <c r="A52" s="99" t="s">
        <v>215</v>
      </c>
      <c r="B52" s="99" t="s">
        <v>216</v>
      </c>
    </row>
    <row r="53" spans="1:10" x14ac:dyDescent="0.25">
      <c r="B53" s="99" t="s">
        <v>217</v>
      </c>
    </row>
    <row r="54" spans="1:10" x14ac:dyDescent="0.25">
      <c r="B54" s="99" t="s">
        <v>218</v>
      </c>
    </row>
    <row r="55" spans="1:10" x14ac:dyDescent="0.25">
      <c r="B55" s="99" t="s">
        <v>219</v>
      </c>
    </row>
    <row r="56" spans="1:10" x14ac:dyDescent="0.25">
      <c r="B56" s="99" t="s">
        <v>220</v>
      </c>
    </row>
    <row r="58" spans="1:10" x14ac:dyDescent="0.25">
      <c r="A58" s="99" t="s">
        <v>221</v>
      </c>
      <c r="B58" s="99" t="s">
        <v>222</v>
      </c>
    </row>
    <row r="59" spans="1:10" x14ac:dyDescent="0.25">
      <c r="B59" s="99" t="s">
        <v>223</v>
      </c>
    </row>
  </sheetData>
  <mergeCells count="7">
    <mergeCell ref="A32:C32"/>
    <mergeCell ref="H14:M14"/>
    <mergeCell ref="P14:T14"/>
    <mergeCell ref="A28:A29"/>
    <mergeCell ref="B28:B29"/>
    <mergeCell ref="C28:C29"/>
    <mergeCell ref="D28:D2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202410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2024-10-14T03:14:24Z</dcterms:modified>
</cp:coreProperties>
</file>