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/>
  <mc:AlternateContent xmlns:mc="http://schemas.openxmlformats.org/markup-compatibility/2006">
    <mc:Choice Requires="x15">
      <x15ac:absPath xmlns:x15ac="http://schemas.microsoft.com/office/spreadsheetml/2010/11/ac" url="C:\Users\zidan.luo\Desktop\电信工作\202410电信\202410账单\触点\"/>
    </mc:Choice>
  </mc:AlternateContent>
  <xr:revisionPtr revIDLastSave="0" documentId="13_ncr:1_{BB2360D7-83D2-4288-9B70-FC0D87705E84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202410" sheetId="1" r:id="rId1"/>
    <sheet name="对账单" sheetId="2" r:id="rId2"/>
    <sheet name="系统" sheetId="3" r:id="rId3"/>
  </sheets>
  <definedNames>
    <definedName name="_xlnm._FilterDatabase" localSheetId="0" hidden="1">'202410'!$A$1:$BF$30</definedName>
  </definedNames>
  <calcPr calcId="191029"/>
</workbook>
</file>

<file path=xl/calcChain.xml><?xml version="1.0" encoding="utf-8"?>
<calcChain xmlns="http://schemas.openxmlformats.org/spreadsheetml/2006/main">
  <c r="AZ28" i="1" l="1"/>
  <c r="Y28" i="1"/>
  <c r="D2" i="2" l="1"/>
  <c r="C7" i="2" l="1"/>
  <c r="C5" i="2"/>
  <c r="C4" i="2"/>
  <c r="C2" i="2"/>
  <c r="AE44" i="3"/>
  <c r="AC44" i="3"/>
  <c r="X44" i="3"/>
  <c r="W44" i="3"/>
  <c r="U44" i="3"/>
  <c r="T44" i="3"/>
  <c r="S44" i="3"/>
  <c r="R44" i="3"/>
  <c r="Q44" i="3"/>
  <c r="P44" i="3"/>
  <c r="N44" i="3"/>
  <c r="M44" i="3"/>
  <c r="L44" i="3"/>
  <c r="K44" i="3"/>
  <c r="J44" i="3"/>
  <c r="I44" i="3"/>
  <c r="H44" i="3"/>
  <c r="E44" i="3"/>
  <c r="V43" i="3"/>
  <c r="O43" i="3"/>
  <c r="Y43" i="3" s="1"/>
  <c r="Y42" i="3"/>
  <c r="V42" i="3"/>
  <c r="O42" i="3"/>
  <c r="V41" i="3"/>
  <c r="Y41" i="3" s="1"/>
  <c r="O41" i="3"/>
  <c r="V40" i="3"/>
  <c r="O40" i="3"/>
  <c r="Y40" i="3" s="1"/>
  <c r="V39" i="3"/>
  <c r="O39" i="3"/>
  <c r="Y39" i="3" s="1"/>
  <c r="Y38" i="3"/>
  <c r="V38" i="3"/>
  <c r="O38" i="3"/>
  <c r="V37" i="3"/>
  <c r="Y37" i="3" s="1"/>
  <c r="O37" i="3"/>
  <c r="V36" i="3"/>
  <c r="O36" i="3"/>
  <c r="Y36" i="3" s="1"/>
  <c r="V35" i="3"/>
  <c r="O35" i="3"/>
  <c r="Y35" i="3" s="1"/>
  <c r="Y34" i="3"/>
  <c r="V34" i="3"/>
  <c r="O34" i="3"/>
  <c r="V33" i="3"/>
  <c r="Y33" i="3" s="1"/>
  <c r="O33" i="3"/>
  <c r="V32" i="3"/>
  <c r="O32" i="3"/>
  <c r="Y32" i="3" s="1"/>
  <c r="V31" i="3"/>
  <c r="O31" i="3"/>
  <c r="Y31" i="3" s="1"/>
  <c r="Y30" i="3"/>
  <c r="V30" i="3"/>
  <c r="O30" i="3"/>
  <c r="V29" i="3"/>
  <c r="Y29" i="3" s="1"/>
  <c r="O29" i="3"/>
  <c r="V28" i="3"/>
  <c r="O28" i="3"/>
  <c r="Y28" i="3" s="1"/>
  <c r="V27" i="3"/>
  <c r="O27" i="3"/>
  <c r="Y27" i="3" s="1"/>
  <c r="Y26" i="3"/>
  <c r="V26" i="3"/>
  <c r="O26" i="3"/>
  <c r="V25" i="3"/>
  <c r="Y25" i="3" s="1"/>
  <c r="O25" i="3"/>
  <c r="V24" i="3"/>
  <c r="O24" i="3"/>
  <c r="Y24" i="3" s="1"/>
  <c r="V23" i="3"/>
  <c r="O23" i="3"/>
  <c r="Y23" i="3" s="1"/>
  <c r="Y22" i="3"/>
  <c r="V22" i="3"/>
  <c r="O22" i="3"/>
  <c r="V21" i="3"/>
  <c r="Y21" i="3" s="1"/>
  <c r="O21" i="3"/>
  <c r="V20" i="3"/>
  <c r="O20" i="3"/>
  <c r="Y20" i="3" s="1"/>
  <c r="V19" i="3"/>
  <c r="O19" i="3"/>
  <c r="Y19" i="3" s="1"/>
  <c r="Y18" i="3"/>
  <c r="V18" i="3"/>
  <c r="O18" i="3"/>
  <c r="V17" i="3"/>
  <c r="Y17" i="3" s="1"/>
  <c r="O17" i="3"/>
  <c r="V16" i="3"/>
  <c r="V44" i="3" s="1"/>
  <c r="O16" i="3"/>
  <c r="O44" i="3" s="1"/>
  <c r="Y16" i="3" l="1"/>
  <c r="Y44" i="3" s="1"/>
  <c r="F11" i="2" l="1"/>
  <c r="F13" i="2" s="1"/>
  <c r="F14" i="2" s="1"/>
  <c r="E11" i="2"/>
  <c r="H10" i="2"/>
  <c r="G10" i="2"/>
  <c r="H9" i="2"/>
  <c r="G9" i="2"/>
  <c r="H8" i="2"/>
  <c r="G8" i="2"/>
  <c r="G7" i="2"/>
  <c r="H6" i="2"/>
  <c r="G6" i="2"/>
  <c r="G5" i="2"/>
  <c r="G4" i="2"/>
  <c r="G3" i="2"/>
  <c r="G2" i="2"/>
  <c r="C11" i="2"/>
  <c r="C14" i="2" l="1"/>
  <c r="D11" i="2"/>
  <c r="E13" i="2"/>
  <c r="E14" i="2" s="1"/>
  <c r="AV14" i="1"/>
  <c r="AT14" i="1"/>
  <c r="AO14" i="1"/>
  <c r="AQ14" i="1"/>
  <c r="AR14" i="1"/>
  <c r="AU14" i="1"/>
  <c r="D13" i="2" l="1"/>
  <c r="G13" i="2" s="1"/>
  <c r="G11" i="2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D14" i="2" l="1"/>
  <c r="G14" i="2" s="1"/>
  <c r="AG3" i="1"/>
  <c r="AG4" i="1"/>
  <c r="AG5" i="1"/>
  <c r="AG6" i="1"/>
  <c r="AG7" i="1"/>
  <c r="AG8" i="1"/>
  <c r="AG9" i="1"/>
  <c r="AG10" i="1"/>
  <c r="AG11" i="1"/>
  <c r="AG12" i="1"/>
  <c r="AG13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BB32" i="1" l="1"/>
  <c r="B3" i="2" s="1"/>
  <c r="H3" i="2" s="1"/>
  <c r="AZ32" i="1"/>
  <c r="AU30" i="1"/>
  <c r="AT30" i="1"/>
  <c r="AR30" i="1"/>
  <c r="AQ30" i="1"/>
  <c r="AP30" i="1"/>
  <c r="AO30" i="1"/>
  <c r="AH30" i="1"/>
  <c r="AA30" i="1"/>
  <c r="AU29" i="1"/>
  <c r="AT29" i="1"/>
  <c r="AR29" i="1"/>
  <c r="AQ29" i="1"/>
  <c r="AO29" i="1"/>
  <c r="AH29" i="1"/>
  <c r="AA29" i="1"/>
  <c r="AU28" i="1"/>
  <c r="AT28" i="1"/>
  <c r="AR28" i="1"/>
  <c r="AQ28" i="1"/>
  <c r="AO28" i="1"/>
  <c r="AH28" i="1"/>
  <c r="AA28" i="1"/>
  <c r="AU27" i="1"/>
  <c r="AT27" i="1"/>
  <c r="AR27" i="1"/>
  <c r="AQ27" i="1"/>
  <c r="AP27" i="1"/>
  <c r="AO27" i="1"/>
  <c r="AU26" i="1"/>
  <c r="AT26" i="1"/>
  <c r="AR26" i="1"/>
  <c r="AQ26" i="1"/>
  <c r="AP26" i="1"/>
  <c r="AO26" i="1"/>
  <c r="AH26" i="1"/>
  <c r="AA26" i="1"/>
  <c r="AU25" i="1"/>
  <c r="AT25" i="1"/>
  <c r="AR25" i="1"/>
  <c r="AQ25" i="1"/>
  <c r="AP25" i="1"/>
  <c r="AO25" i="1"/>
  <c r="AH25" i="1"/>
  <c r="AA25" i="1"/>
  <c r="AU24" i="1"/>
  <c r="AT24" i="1"/>
  <c r="AR24" i="1"/>
  <c r="AQ24" i="1"/>
  <c r="AP24" i="1"/>
  <c r="AO24" i="1"/>
  <c r="AH24" i="1"/>
  <c r="AA24" i="1"/>
  <c r="AU23" i="1"/>
  <c r="AT23" i="1"/>
  <c r="AR23" i="1"/>
  <c r="AQ23" i="1"/>
  <c r="AO23" i="1"/>
  <c r="AH23" i="1"/>
  <c r="AU22" i="1"/>
  <c r="AT22" i="1"/>
  <c r="AR22" i="1"/>
  <c r="AQ22" i="1"/>
  <c r="AO22" i="1"/>
  <c r="AH22" i="1"/>
  <c r="AA22" i="1"/>
  <c r="AU21" i="1"/>
  <c r="AT21" i="1"/>
  <c r="AR21" i="1"/>
  <c r="AQ21" i="1"/>
  <c r="AP21" i="1"/>
  <c r="AO21" i="1"/>
  <c r="AA21" i="1"/>
  <c r="AU20" i="1"/>
  <c r="AT20" i="1"/>
  <c r="AR20" i="1"/>
  <c r="AQ20" i="1"/>
  <c r="AP20" i="1"/>
  <c r="AO20" i="1"/>
  <c r="AU19" i="1"/>
  <c r="AT19" i="1"/>
  <c r="AR19" i="1"/>
  <c r="AQ19" i="1"/>
  <c r="AO19" i="1"/>
  <c r="AH19" i="1"/>
  <c r="AA19" i="1"/>
  <c r="AU18" i="1"/>
  <c r="AT18" i="1"/>
  <c r="AR18" i="1"/>
  <c r="AQ18" i="1"/>
  <c r="AP18" i="1"/>
  <c r="AO18" i="1"/>
  <c r="AA18" i="1"/>
  <c r="AU17" i="1"/>
  <c r="AT17" i="1"/>
  <c r="AR17" i="1"/>
  <c r="AQ17" i="1"/>
  <c r="AP17" i="1"/>
  <c r="AO17" i="1"/>
  <c r="AH17" i="1"/>
  <c r="AA17" i="1"/>
  <c r="AU16" i="1"/>
  <c r="AT16" i="1"/>
  <c r="AR16" i="1"/>
  <c r="AQ16" i="1"/>
  <c r="AP16" i="1"/>
  <c r="AO16" i="1"/>
  <c r="AH16" i="1"/>
  <c r="AA16" i="1"/>
  <c r="AU15" i="1"/>
  <c r="AT15" i="1"/>
  <c r="AR15" i="1"/>
  <c r="AQ15" i="1"/>
  <c r="AP15" i="1"/>
  <c r="AO15" i="1"/>
  <c r="AH15" i="1"/>
  <c r="AA15" i="1"/>
  <c r="AA14" i="1"/>
  <c r="AX14" i="1" s="1"/>
  <c r="AU13" i="1"/>
  <c r="AT13" i="1"/>
  <c r="AR13" i="1"/>
  <c r="AQ13" i="1"/>
  <c r="AO13" i="1"/>
  <c r="AH13" i="1"/>
  <c r="AU12" i="1"/>
  <c r="AT12" i="1"/>
  <c r="AR12" i="1"/>
  <c r="AQ12" i="1"/>
  <c r="AP12" i="1"/>
  <c r="AO12" i="1"/>
  <c r="AH12" i="1"/>
  <c r="AA12" i="1"/>
  <c r="AU11" i="1"/>
  <c r="AT11" i="1"/>
  <c r="AR11" i="1"/>
  <c r="AQ11" i="1"/>
  <c r="AO11" i="1"/>
  <c r="AU10" i="1"/>
  <c r="AT10" i="1"/>
  <c r="AR10" i="1"/>
  <c r="AQ10" i="1"/>
  <c r="AP10" i="1"/>
  <c r="AO10" i="1"/>
  <c r="AH10" i="1"/>
  <c r="AU9" i="1"/>
  <c r="AT9" i="1"/>
  <c r="AR9" i="1"/>
  <c r="AQ9" i="1"/>
  <c r="AP9" i="1"/>
  <c r="AO9" i="1"/>
  <c r="AH9" i="1"/>
  <c r="AA9" i="1"/>
  <c r="AU8" i="1"/>
  <c r="AT8" i="1"/>
  <c r="AR8" i="1"/>
  <c r="AQ8" i="1"/>
  <c r="AO8" i="1"/>
  <c r="AU7" i="1"/>
  <c r="AT7" i="1"/>
  <c r="AR7" i="1"/>
  <c r="AQ7" i="1"/>
  <c r="AO7" i="1"/>
  <c r="AH7" i="1"/>
  <c r="AA7" i="1"/>
  <c r="AU6" i="1"/>
  <c r="AT6" i="1"/>
  <c r="AR6" i="1"/>
  <c r="AQ6" i="1"/>
  <c r="AO6" i="1"/>
  <c r="AU5" i="1"/>
  <c r="AT5" i="1"/>
  <c r="AR5" i="1"/>
  <c r="AQ5" i="1"/>
  <c r="AP5" i="1"/>
  <c r="AO5" i="1"/>
  <c r="AH5" i="1"/>
  <c r="AU4" i="1"/>
  <c r="AT4" i="1"/>
  <c r="AR4" i="1"/>
  <c r="AQ4" i="1"/>
  <c r="AP4" i="1"/>
  <c r="AO4" i="1"/>
  <c r="AH4" i="1"/>
  <c r="AA4" i="1"/>
  <c r="A4" i="1"/>
  <c r="AU3" i="1"/>
  <c r="AT3" i="1"/>
  <c r="AR3" i="1"/>
  <c r="AQ3" i="1"/>
  <c r="AO3" i="1"/>
  <c r="AH3" i="1"/>
  <c r="A3" i="1"/>
  <c r="AV7" i="1" l="1"/>
  <c r="AX7" i="1" s="1"/>
  <c r="BC7" i="1" s="1"/>
  <c r="BD7" i="1" s="1"/>
  <c r="BE7" i="1" s="1"/>
  <c r="AV11" i="1"/>
  <c r="AV19" i="1"/>
  <c r="AX19" i="1" s="1"/>
  <c r="BC19" i="1" s="1"/>
  <c r="BD19" i="1" s="1"/>
  <c r="BE19" i="1" s="1"/>
  <c r="AV25" i="1"/>
  <c r="AX25" i="1" s="1"/>
  <c r="BC25" i="1" s="1"/>
  <c r="BD25" i="1" s="1"/>
  <c r="BE25" i="1" s="1"/>
  <c r="AV4" i="1"/>
  <c r="AL19" i="1"/>
  <c r="AV20" i="1"/>
  <c r="AV21" i="1"/>
  <c r="AX21" i="1" s="1"/>
  <c r="BC21" i="1" s="1"/>
  <c r="AV29" i="1"/>
  <c r="AX29" i="1" s="1"/>
  <c r="BC29" i="1" s="1"/>
  <c r="AV30" i="1"/>
  <c r="AX30" i="1" s="1"/>
  <c r="BC30" i="1" s="1"/>
  <c r="AV9" i="1"/>
  <c r="AX9" i="1" s="1"/>
  <c r="BC9" i="1" s="1"/>
  <c r="BD9" i="1" s="1"/>
  <c r="BE9" i="1" s="1"/>
  <c r="AV12" i="1"/>
  <c r="AX12" i="1" s="1"/>
  <c r="BC12" i="1" s="1"/>
  <c r="AV15" i="1"/>
  <c r="AX15" i="1" s="1"/>
  <c r="BC15" i="1" s="1"/>
  <c r="AV24" i="1"/>
  <c r="AX24" i="1" s="1"/>
  <c r="BC24" i="1" s="1"/>
  <c r="AV27" i="1"/>
  <c r="AV5" i="1"/>
  <c r="AV10" i="1"/>
  <c r="AV16" i="1"/>
  <c r="AX16" i="1" s="1"/>
  <c r="BC16" i="1" s="1"/>
  <c r="BD16" i="1" s="1"/>
  <c r="BE16" i="1" s="1"/>
  <c r="AV22" i="1"/>
  <c r="AX22" i="1" s="1"/>
  <c r="BC22" i="1" s="1"/>
  <c r="BD22" i="1" s="1"/>
  <c r="BE22" i="1" s="1"/>
  <c r="AL26" i="1"/>
  <c r="AL17" i="1"/>
  <c r="AL22" i="1"/>
  <c r="AL4" i="1"/>
  <c r="AL12" i="1"/>
  <c r="AL7" i="1"/>
  <c r="AL15" i="1"/>
  <c r="AL28" i="1"/>
  <c r="AL29" i="1"/>
  <c r="AL30" i="1"/>
  <c r="AL9" i="1"/>
  <c r="AL16" i="1"/>
  <c r="AL24" i="1"/>
  <c r="AX4" i="1"/>
  <c r="BC4" i="1" s="1"/>
  <c r="BD4" i="1" s="1"/>
  <c r="BE4" i="1" s="1"/>
  <c r="AV17" i="1"/>
  <c r="AX17" i="1" s="1"/>
  <c r="BC17" i="1" s="1"/>
  <c r="AV28" i="1"/>
  <c r="AX28" i="1" s="1"/>
  <c r="BC28" i="1" s="1"/>
  <c r="AA5" i="1"/>
  <c r="AL5" i="1" s="1"/>
  <c r="AA6" i="1"/>
  <c r="AH6" i="1"/>
  <c r="AA8" i="1"/>
  <c r="AH8" i="1"/>
  <c r="AV13" i="1"/>
  <c r="AH21" i="1"/>
  <c r="AA23" i="1"/>
  <c r="AL23" i="1" s="1"/>
  <c r="AA3" i="1"/>
  <c r="AV3" i="1"/>
  <c r="AV6" i="1"/>
  <c r="AV8" i="1"/>
  <c r="AA10" i="1"/>
  <c r="AL10" i="1" s="1"/>
  <c r="AA11" i="1"/>
  <c r="AH11" i="1"/>
  <c r="BC14" i="1"/>
  <c r="AH18" i="1"/>
  <c r="AV18" i="1"/>
  <c r="AX18" i="1" s="1"/>
  <c r="BC18" i="1" s="1"/>
  <c r="AA20" i="1"/>
  <c r="AH20" i="1"/>
  <c r="AV23" i="1"/>
  <c r="AV26" i="1"/>
  <c r="AX26" i="1" s="1"/>
  <c r="BC26" i="1" s="1"/>
  <c r="AA27" i="1"/>
  <c r="AH27" i="1"/>
  <c r="AA13" i="1"/>
  <c r="AL13" i="1" s="1"/>
  <c r="AL25" i="1"/>
  <c r="AX27" i="1" l="1"/>
  <c r="BC27" i="1" s="1"/>
  <c r="AX20" i="1"/>
  <c r="BC20" i="1" s="1"/>
  <c r="AA32" i="1"/>
  <c r="AX11" i="1"/>
  <c r="BC11" i="1" s="1"/>
  <c r="BD11" i="1" s="1"/>
  <c r="BE11" i="1" s="1"/>
  <c r="AL14" i="1"/>
  <c r="AL18" i="1"/>
  <c r="AL21" i="1"/>
  <c r="AX6" i="1"/>
  <c r="BC6" i="1" s="1"/>
  <c r="BD6" i="1" s="1"/>
  <c r="BE6" i="1" s="1"/>
  <c r="AH32" i="1"/>
  <c r="B4" i="2" s="1"/>
  <c r="H4" i="2" s="1"/>
  <c r="AL8" i="1"/>
  <c r="AX23" i="1"/>
  <c r="BC23" i="1" s="1"/>
  <c r="BD23" i="1" s="1"/>
  <c r="BE23" i="1" s="1"/>
  <c r="BD20" i="1"/>
  <c r="BE20" i="1" s="1"/>
  <c r="BD18" i="1"/>
  <c r="BE18" i="1" s="1"/>
  <c r="BD17" i="1"/>
  <c r="BE17" i="1" s="1"/>
  <c r="AL11" i="1"/>
  <c r="AV32" i="1"/>
  <c r="B5" i="2" s="1"/>
  <c r="H5" i="2" s="1"/>
  <c r="AX3" i="1"/>
  <c r="BD21" i="1"/>
  <c r="BE21" i="1" s="1"/>
  <c r="BD29" i="1"/>
  <c r="BE29" i="1" s="1"/>
  <c r="BD15" i="1"/>
  <c r="BE15" i="1" s="1"/>
  <c r="BD26" i="1"/>
  <c r="BE26" i="1" s="1"/>
  <c r="BD14" i="1"/>
  <c r="BE14" i="1" s="1"/>
  <c r="AL3" i="1"/>
  <c r="BD28" i="1"/>
  <c r="BE28" i="1" s="1"/>
  <c r="BD12" i="1"/>
  <c r="BE12" i="1" s="1"/>
  <c r="AX10" i="1"/>
  <c r="BC10" i="1" s="1"/>
  <c r="BD27" i="1"/>
  <c r="BE27" i="1" s="1"/>
  <c r="AL27" i="1"/>
  <c r="AL20" i="1"/>
  <c r="AX8" i="1"/>
  <c r="BC8" i="1" s="1"/>
  <c r="BD30" i="1"/>
  <c r="BE30" i="1" s="1"/>
  <c r="AX13" i="1"/>
  <c r="BC13" i="1" s="1"/>
  <c r="AL6" i="1"/>
  <c r="BD24" i="1"/>
  <c r="BE24" i="1" s="1"/>
  <c r="AX5" i="1"/>
  <c r="BC5" i="1" s="1"/>
  <c r="BD5" i="1" l="1"/>
  <c r="BE5" i="1" s="1"/>
  <c r="BD10" i="1"/>
  <c r="BE10" i="1" s="1"/>
  <c r="BD13" i="1"/>
  <c r="BE13" i="1" s="1"/>
  <c r="AL32" i="1"/>
  <c r="B7" i="2" s="1"/>
  <c r="H7" i="2" s="1"/>
  <c r="AX32" i="1"/>
  <c r="BC3" i="1"/>
  <c r="BD8" i="1"/>
  <c r="BE8" i="1" s="1"/>
  <c r="BC32" i="1" l="1"/>
  <c r="BD3" i="1"/>
  <c r="BD32" i="1" s="1"/>
  <c r="B2" i="2" s="1"/>
  <c r="B11" i="2" l="1"/>
  <c r="B14" i="2" s="1"/>
  <c r="G15" i="2" s="1"/>
  <c r="G16" i="2" s="1"/>
  <c r="G17" i="2" s="1"/>
  <c r="H2" i="2"/>
  <c r="BE3" i="1"/>
  <c r="BE3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yewei.du</author>
  </authors>
  <commentList>
    <comment ref="B2" authorId="0" shapeId="0" xr:uid="{DCEB4CD9-E8AA-4E56-842F-ED05704CD4AB}">
      <text>
        <r>
          <rPr>
            <b/>
            <sz val="9"/>
            <rFont val="宋体"/>
            <family val="3"/>
            <charset val="134"/>
          </rPr>
          <t>含附加税、增值税、福利费</t>
        </r>
      </text>
    </comment>
    <comment ref="E5" authorId="1" shapeId="0" xr:uid="{311736A7-067D-4F11-A470-795F6A661003}">
      <text>
        <r>
          <rPr>
            <b/>
            <sz val="9"/>
            <color indexed="81"/>
            <rFont val="宋体"/>
            <family val="3"/>
            <charset val="134"/>
          </rPr>
          <t>yewei.du:</t>
        </r>
        <r>
          <rPr>
            <sz val="9"/>
            <color indexed="81"/>
            <rFont val="宋体"/>
            <family val="3"/>
            <charset val="134"/>
          </rPr>
          <t xml:space="preserve">
不用实际添加，上月已有金额</t>
        </r>
      </text>
    </comment>
  </commentList>
</comments>
</file>

<file path=xl/sharedStrings.xml><?xml version="1.0" encoding="utf-8"?>
<sst xmlns="http://schemas.openxmlformats.org/spreadsheetml/2006/main" count="518" uniqueCount="329">
  <si>
    <t>序号</t>
  </si>
  <si>
    <t>计薪
周期</t>
  </si>
  <si>
    <t>工号</t>
  </si>
  <si>
    <t>姓名</t>
  </si>
  <si>
    <t>劳动合同起始日期</t>
  </si>
  <si>
    <t>劳动合同结束日期</t>
  </si>
  <si>
    <t>离职日期</t>
  </si>
  <si>
    <t>社保缴纳地</t>
  </si>
  <si>
    <t>星级费用</t>
  </si>
  <si>
    <t>考核费用</t>
  </si>
  <si>
    <t>OKR费用</t>
  </si>
  <si>
    <t>量化费用</t>
  </si>
  <si>
    <t>专项费用</t>
  </si>
  <si>
    <t>当月税前工资合计</t>
  </si>
  <si>
    <t>社保基数(个人)</t>
  </si>
  <si>
    <t>养老保险(个人)</t>
  </si>
  <si>
    <t>医疗保险(个人)</t>
  </si>
  <si>
    <t>失业保险(个人)</t>
  </si>
  <si>
    <t>公积金基数(个人)</t>
  </si>
  <si>
    <t>住房公积金(个人)</t>
  </si>
  <si>
    <t>员工五险一金合计</t>
  </si>
  <si>
    <t>本月个人所得税-系统导出</t>
  </si>
  <si>
    <t>税后增加</t>
  </si>
  <si>
    <t>税后扣减</t>
  </si>
  <si>
    <t>员工实发合计</t>
  </si>
  <si>
    <t>社保基数</t>
  </si>
  <si>
    <t>公积金基数</t>
  </si>
  <si>
    <t>养老缴费</t>
  </si>
  <si>
    <t>医疗缴费</t>
  </si>
  <si>
    <t>失业保险</t>
  </si>
  <si>
    <t>工伤保险</t>
  </si>
  <si>
    <t>生育保险</t>
  </si>
  <si>
    <t>公积金</t>
  </si>
  <si>
    <t>残保金</t>
  </si>
  <si>
    <t>企业五险一金合计</t>
  </si>
  <si>
    <t>工会费</t>
  </si>
  <si>
    <t>代收付合计</t>
  </si>
  <si>
    <t>上月垫付</t>
  </si>
  <si>
    <t>社保备注</t>
  </si>
  <si>
    <t>外包服务费</t>
  </si>
  <si>
    <t>税前项合计</t>
  </si>
  <si>
    <t>增值税</t>
  </si>
  <si>
    <t>总计</t>
  </si>
  <si>
    <t>NO.</t>
  </si>
  <si>
    <t>Salary Cycle</t>
  </si>
  <si>
    <t>Employee No.</t>
  </si>
  <si>
    <t>Name</t>
  </si>
  <si>
    <t>ID No.</t>
  </si>
  <si>
    <t>Contract Starting Date</t>
  </si>
  <si>
    <t>Contract Expiry Date</t>
  </si>
  <si>
    <t>Exit Date</t>
  </si>
  <si>
    <t>Social Insurance City</t>
  </si>
  <si>
    <t>Contract Salary</t>
  </si>
  <si>
    <t>Assessment fees</t>
  </si>
  <si>
    <t>Quantifying costs</t>
  </si>
  <si>
    <t>支局专项</t>
  </si>
  <si>
    <t>1+1激励</t>
  </si>
  <si>
    <t>体检费</t>
  </si>
  <si>
    <t>通信费</t>
  </si>
  <si>
    <t>高温费及清凉饮料费
（6-9月）</t>
  </si>
  <si>
    <t>伙食补贴</t>
  </si>
  <si>
    <t>独生子女奖励</t>
  </si>
  <si>
    <t>保险费</t>
  </si>
  <si>
    <t>补发费用</t>
  </si>
  <si>
    <t>劳防用品</t>
  </si>
  <si>
    <t>保障补差</t>
  </si>
  <si>
    <t>其他扣款</t>
  </si>
  <si>
    <t>Pre-tax Total</t>
  </si>
  <si>
    <t>Social Insurance Base</t>
  </si>
  <si>
    <t>Pension Employee</t>
  </si>
  <si>
    <t>Medical Employee</t>
  </si>
  <si>
    <t>Umemployment Employee</t>
  </si>
  <si>
    <t>Housing Fund Base</t>
  </si>
  <si>
    <t>Housing Fund Employee</t>
  </si>
  <si>
    <t>Total Amount of Social Insurance(EE)</t>
  </si>
  <si>
    <t>Personal Income Tax</t>
  </si>
  <si>
    <t>Increase After-tax payment</t>
  </si>
  <si>
    <t>Reduction After-tax payment</t>
  </si>
  <si>
    <t xml:space="preserve">After-tax total Income </t>
  </si>
  <si>
    <t>Pension Employer</t>
  </si>
  <si>
    <t>Medical Employer</t>
  </si>
  <si>
    <t>Umemployment Employer</t>
  </si>
  <si>
    <t>Injury Employer</t>
  </si>
  <si>
    <t>Maternity Insurance Employer</t>
  </si>
  <si>
    <t>Housing Fund Employer</t>
  </si>
  <si>
    <t xml:space="preserve">
Disabled people&amp;Back pay Fund</t>
  </si>
  <si>
    <t>Total Amount of Social Insurance(ER)</t>
  </si>
  <si>
    <t>Union Fee</t>
  </si>
  <si>
    <t>Payment Total</t>
  </si>
  <si>
    <t>Social Security remark</t>
  </si>
  <si>
    <t>Service Fee</t>
  </si>
  <si>
    <t>Total</t>
  </si>
  <si>
    <t>VAT</t>
  </si>
  <si>
    <t>Subtotal</t>
  </si>
  <si>
    <t>WB016994</t>
  </si>
  <si>
    <t>王邹强</t>
  </si>
  <si>
    <t>310108198909220554</t>
  </si>
  <si>
    <t>上海</t>
  </si>
  <si>
    <t>WB022665</t>
  </si>
  <si>
    <t>熊伟</t>
  </si>
  <si>
    <t>310109198905074533</t>
  </si>
  <si>
    <t>WB016995</t>
  </si>
  <si>
    <t>杭亮</t>
  </si>
  <si>
    <t>310110198004027057</t>
  </si>
  <si>
    <t>WB007082</t>
  </si>
  <si>
    <t>朱春红</t>
  </si>
  <si>
    <t>310230197703304160</t>
  </si>
  <si>
    <t>WB017012</t>
  </si>
  <si>
    <t>王一峰</t>
  </si>
  <si>
    <t>310230198106182913</t>
  </si>
  <si>
    <t>WB019180</t>
  </si>
  <si>
    <t>王偲</t>
  </si>
  <si>
    <t>310109198908200531</t>
  </si>
  <si>
    <t>WB024266</t>
  </si>
  <si>
    <t>王凤凌</t>
  </si>
  <si>
    <t>31011019870909564X</t>
  </si>
  <si>
    <t>WB033751</t>
  </si>
  <si>
    <t>高雄飞</t>
  </si>
  <si>
    <t>310101198402231014</t>
  </si>
  <si>
    <t>WB017080</t>
  </si>
  <si>
    <t>季华</t>
  </si>
  <si>
    <t>310115198609170130</t>
  </si>
  <si>
    <t>WB017076</t>
  </si>
  <si>
    <t>杨晓燕</t>
  </si>
  <si>
    <t>34222519770913404X</t>
  </si>
  <si>
    <t>WB025472</t>
  </si>
  <si>
    <t>孟浩杰</t>
  </si>
  <si>
    <t>510108198209090637</t>
  </si>
  <si>
    <t>WB017072</t>
  </si>
  <si>
    <t>朱倩</t>
  </si>
  <si>
    <t>310108198005121510</t>
  </si>
  <si>
    <t>WB021004</t>
  </si>
  <si>
    <t>周雨薇</t>
  </si>
  <si>
    <t>310104199212304829</t>
  </si>
  <si>
    <t>WB017081</t>
  </si>
  <si>
    <t>王姗姗</t>
  </si>
  <si>
    <t>34112519880604436X</t>
  </si>
  <si>
    <t>WB017085</t>
  </si>
  <si>
    <t>邱杭佳</t>
  </si>
  <si>
    <t>31010819830921103X</t>
  </si>
  <si>
    <t>WB008065</t>
  </si>
  <si>
    <t>戚继英</t>
  </si>
  <si>
    <t>310102198004243227</t>
  </si>
  <si>
    <t>WB045238</t>
  </si>
  <si>
    <t>戈婷婷</t>
  </si>
  <si>
    <t>320821199610185147</t>
  </si>
  <si>
    <t>WB013266</t>
  </si>
  <si>
    <t>吴裕刚</t>
  </si>
  <si>
    <t>31010219810818361X</t>
  </si>
  <si>
    <t>WB017007</t>
  </si>
  <si>
    <t>贺彦</t>
  </si>
  <si>
    <t>310108198901250513</t>
  </si>
  <si>
    <t>WB017000</t>
  </si>
  <si>
    <t>叶毅</t>
  </si>
  <si>
    <t>310110198502133266</t>
  </si>
  <si>
    <t>WB017001</t>
  </si>
  <si>
    <t>陈世碧</t>
  </si>
  <si>
    <t>513023197709136722</t>
  </si>
  <si>
    <t>WB017004</t>
  </si>
  <si>
    <t>顾陆慧</t>
  </si>
  <si>
    <t>310230197904164766</t>
  </si>
  <si>
    <t>WB017006</t>
  </si>
  <si>
    <t>程祖云</t>
  </si>
  <si>
    <t>411524198609258442</t>
  </si>
  <si>
    <t>WB003572</t>
  </si>
  <si>
    <t>谢俊敏</t>
  </si>
  <si>
    <t>310110198911171036</t>
  </si>
  <si>
    <t>WB039916</t>
  </si>
  <si>
    <t>梁裔杰</t>
  </si>
  <si>
    <t>310113198509301719</t>
  </si>
  <si>
    <t>WB017057</t>
  </si>
  <si>
    <t>朱云</t>
  </si>
  <si>
    <t>310110198810200045</t>
  </si>
  <si>
    <t>WB017068</t>
  </si>
  <si>
    <t>罗文彬</t>
  </si>
  <si>
    <t>310110198902103234</t>
  </si>
  <si>
    <t>WB054689</t>
  </si>
  <si>
    <t>张梦诏</t>
  </si>
  <si>
    <t>342423200108298172</t>
  </si>
  <si>
    <t>合计</t>
  </si>
  <si>
    <t xml:space="preserve"> </t>
  </si>
  <si>
    <t>身份证号</t>
    <phoneticPr fontId="12" type="noConversion"/>
  </si>
  <si>
    <t>科目</t>
  </si>
  <si>
    <t>手工账单</t>
  </si>
  <si>
    <t>7月速创账单</t>
    <phoneticPr fontId="17" type="noConversion"/>
  </si>
  <si>
    <t>系统已有金额（不做一次性）</t>
    <phoneticPr fontId="12" type="noConversion"/>
  </si>
  <si>
    <t>8月少收</t>
    <phoneticPr fontId="12" type="noConversion"/>
  </si>
  <si>
    <t>差异</t>
    <phoneticPr fontId="12" type="noConversion"/>
  </si>
  <si>
    <t>管理费</t>
  </si>
  <si>
    <t>风险费</t>
  </si>
  <si>
    <t>个人四金</t>
  </si>
  <si>
    <t>公司四金</t>
  </si>
  <si>
    <t>代发工资</t>
  </si>
  <si>
    <t>上月垫付</t>
    <phoneticPr fontId="12" type="noConversion"/>
  </si>
  <si>
    <t>报销</t>
  </si>
  <si>
    <t>预收（做预收一次性）</t>
    <phoneticPr fontId="12" type="noConversion"/>
  </si>
  <si>
    <t>小计</t>
  </si>
  <si>
    <t>附加税</t>
  </si>
  <si>
    <t>给客户账单金额</t>
  </si>
  <si>
    <t>差异</t>
  </si>
  <si>
    <t>不含税差异</t>
  </si>
  <si>
    <t>200070</t>
  </si>
  <si>
    <t>寄：梅园路77号人才大厦</t>
  </si>
  <si>
    <t>中国电信股份有限公司上海分公司  王慧珏  收</t>
  </si>
  <si>
    <t>上海外服布列吉科技有限公司</t>
  </si>
  <si>
    <t>Shanghai Foreign Service Bridge Technology Co,Ltd.</t>
  </si>
  <si>
    <t>收款通知书</t>
  </si>
  <si>
    <t>ADVISE ON COLLECTION</t>
  </si>
  <si>
    <t>2024年10月</t>
  </si>
  <si>
    <t>公司名称：中国电信股份有限公司上海分公司</t>
  </si>
  <si>
    <t>帐单号：202410CH6594404</t>
  </si>
  <si>
    <t>发生年月</t>
  </si>
  <si>
    <t>入职日期</t>
  </si>
  <si>
    <t>当月社保基数</t>
  </si>
  <si>
    <t>当月公积金基数</t>
  </si>
  <si>
    <t>社保类
公司支付
Social Insurance Premiums
Paid by Employer</t>
  </si>
  <si>
    <t>公积金类
公司支付
Provident Fund
Paid by Employer</t>
  </si>
  <si>
    <t>公司合计</t>
  </si>
  <si>
    <t>社保类
个人支付
Social Insurance Premiums
Paid by Employee</t>
  </si>
  <si>
    <t>公积金类
个人支付
Provident Fund
Paid by Employee</t>
  </si>
  <si>
    <t>个人合计</t>
  </si>
  <si>
    <t>代办薪酬</t>
  </si>
  <si>
    <t>其他</t>
  </si>
  <si>
    <t>备注</t>
  </si>
  <si>
    <t>外服工号</t>
  </si>
  <si>
    <t>证件号码</t>
  </si>
  <si>
    <t>应纳税金额</t>
  </si>
  <si>
    <t>税率</t>
  </si>
  <si>
    <t>S/N</t>
  </si>
  <si>
    <t>YYYYMM</t>
  </si>
  <si>
    <t>Employment Start Date</t>
  </si>
  <si>
    <t>Adm Fee</t>
  </si>
  <si>
    <t>Social Insurance Base Amount of Current Month</t>
  </si>
  <si>
    <t>Provident Fund Base Amount of Current Month</t>
  </si>
  <si>
    <t>养老保险
Endowment</t>
  </si>
  <si>
    <t>医疗保险
Medical</t>
  </si>
  <si>
    <t>失业保险
Unemploy-ment</t>
  </si>
  <si>
    <t>工伤保险
Employment Injury</t>
  </si>
  <si>
    <t>医疗生育保险
Medical Maternity</t>
  </si>
  <si>
    <t>保障金
Disabled people&amp;Back pay Fund</t>
  </si>
  <si>
    <t>公积金
Provident Fund</t>
  </si>
  <si>
    <t>Subtotal of Employer Payment</t>
  </si>
  <si>
    <t>Subtotal of Personal Payment</t>
  </si>
  <si>
    <t>Agency of Wage Payment</t>
  </si>
  <si>
    <t>Others</t>
  </si>
  <si>
    <t>Remarks</t>
  </si>
  <si>
    <t>SFSC ID</t>
  </si>
  <si>
    <t>ID Card</t>
  </si>
  <si>
    <t>Taxable Amount</t>
  </si>
  <si>
    <t>Tax Rate</t>
  </si>
  <si>
    <t>202410</t>
  </si>
  <si>
    <t>2024-06-01</t>
  </si>
  <si>
    <t>5861127</t>
  </si>
  <si>
    <t>6%</t>
  </si>
  <si>
    <t>5861128</t>
  </si>
  <si>
    <t>5544585</t>
  </si>
  <si>
    <t>5544594</t>
  </si>
  <si>
    <t>5863338</t>
  </si>
  <si>
    <t>5544580</t>
  </si>
  <si>
    <t>5701787</t>
  </si>
  <si>
    <t>5544586</t>
  </si>
  <si>
    <t>5861130</t>
  </si>
  <si>
    <t>5922255</t>
  </si>
  <si>
    <t>5544588</t>
  </si>
  <si>
    <t>5544593</t>
  </si>
  <si>
    <t>5544592</t>
  </si>
  <si>
    <t>5544583</t>
  </si>
  <si>
    <t>5544584</t>
  </si>
  <si>
    <t>5544582</t>
  </si>
  <si>
    <t>5544577</t>
  </si>
  <si>
    <t>5544591</t>
  </si>
  <si>
    <t>5544595</t>
  </si>
  <si>
    <t>5861129</t>
  </si>
  <si>
    <t>5544579</t>
  </si>
  <si>
    <t>5544587</t>
  </si>
  <si>
    <t>5861126</t>
  </si>
  <si>
    <t>5726531</t>
  </si>
  <si>
    <t>5544590</t>
  </si>
  <si>
    <t>5544581</t>
  </si>
  <si>
    <t>5922254</t>
  </si>
  <si>
    <t>5544589</t>
  </si>
  <si>
    <t>合计（RMB）</t>
  </si>
  <si>
    <t>总计（RMB）已包含历月补收人民币叁拾叁万陆仟伍佰玖拾圆玖角整</t>
  </si>
  <si>
    <t>增值税：</t>
  </si>
  <si>
    <t>序号
S/N</t>
  </si>
  <si>
    <t>应纳税额</t>
  </si>
  <si>
    <t>税金</t>
  </si>
  <si>
    <t>小计（RMB）</t>
  </si>
  <si>
    <t>总计(RMB)</t>
  </si>
  <si>
    <t>本次价税合计(RMB):人民币叁拾叁万陆仟伍佰玖拾圆玖角整</t>
  </si>
  <si>
    <t>本月价税合计（RMB）：336590.90 其中已开票336590.90</t>
  </si>
  <si>
    <t>本月总计（RMB）人民币叁拾叁万陆仟伍佰玖拾圆玖角整                ￥336590.90</t>
  </si>
  <si>
    <t>制单人：</t>
  </si>
  <si>
    <t>制单日期：2024-10-20</t>
  </si>
  <si>
    <t>户名：上海外服（集团）有限公司</t>
  </si>
  <si>
    <t>美金收款账号：449459237031</t>
  </si>
  <si>
    <t>外币/人民币收款账号：083651120100303014006</t>
  </si>
  <si>
    <t>开户银行：中国银行上海市分行</t>
  </si>
  <si>
    <t>开户银行：中国光大银行上海分行营业部</t>
  </si>
  <si>
    <t>SWIFT CODE：BKCHCNBJ300</t>
  </si>
  <si>
    <t>SWIFT CODE：EVERCNBJSH1</t>
  </si>
  <si>
    <t>地址：中国上海市黄浦区中山东一路23号</t>
  </si>
  <si>
    <t>地址：中国上海市浦东新区世纪大道1118号</t>
  </si>
  <si>
    <t>外币/人民币收款账号：1001244329006580566</t>
  </si>
  <si>
    <t>开户银行：工商银行上海市分行营业部</t>
  </si>
  <si>
    <t>SWIFT CODE：ICBKCNBJSHI</t>
  </si>
  <si>
    <t>地址：中国上海市黄浦区中山东一路24号</t>
  </si>
  <si>
    <t>管理部：</t>
  </si>
  <si>
    <t>负责人：</t>
  </si>
  <si>
    <t>地  址：</t>
  </si>
  <si>
    <t>地  址：上海市黄浦区会馆街55号T3座</t>
  </si>
  <si>
    <t>邮  编：</t>
  </si>
  <si>
    <t>财  务：</t>
  </si>
  <si>
    <t>邮  编：200437</t>
  </si>
  <si>
    <t>电  话：</t>
  </si>
  <si>
    <t>传  真：</t>
  </si>
  <si>
    <t>电  话：63721888</t>
  </si>
  <si>
    <t>传  真：63856522</t>
  </si>
  <si>
    <t>注意：</t>
  </si>
  <si>
    <t>1、务必请将当月人员变动信息，在15日前通知所在业务部。</t>
  </si>
  <si>
    <t>2、若贵机构的地址变更，请及时通知。</t>
  </si>
  <si>
    <t>3、逾期按合同约定收取滞纳金。</t>
  </si>
  <si>
    <t>4、交款时请务必带此通知单或复印件，通过银行汇款请在汇款用途中写上右上角账单号。</t>
  </si>
  <si>
    <t>5、请贵机构在收到本账单的三个工作日内，对于账单内容进行确认并回复。逾期未回复的，视作贵机构已确认账单内容准确无误。</t>
  </si>
  <si>
    <t>友情提醒：</t>
  </si>
  <si>
    <t>1、根据国家政策，自2020年1月1日起，“生育”调整为“医疗生育”。</t>
  </si>
  <si>
    <t>2、如对以上账单内容有疑问请联系相关业务人员，发票开具及款项到账问题请联系财务，谢谢！</t>
  </si>
  <si>
    <t>其他费用</t>
    <phoneticPr fontId="12" type="noConversion"/>
  </si>
  <si>
    <t>10月保障补差2162.69元，11月补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</si>
</sst>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¥&quot;#,##0.00;&quot;¥&quot;\-#,##0.00"/>
    <numFmt numFmtId="43" formatCode="_ * #,##0.00_ ;_ * \-#,##0.00_ ;_ * &quot;-&quot;??_ ;_ @_ "/>
    <numFmt numFmtId="176" formatCode="0.00_);[Red]\(0.00\)"/>
    <numFmt numFmtId="177" formatCode="0.00_ "/>
    <numFmt numFmtId="178" formatCode="0_ "/>
  </numFmts>
  <fonts count="32" x14ac:knownFonts="1">
    <font>
      <sz val="11"/>
      <color theme="1"/>
      <name val="等线"/>
      <charset val="134"/>
      <scheme val="minor"/>
    </font>
    <font>
      <sz val="8"/>
      <name val="阿里巴巴普惠体 R"/>
      <family val="1"/>
      <charset val="134"/>
    </font>
    <font>
      <sz val="8"/>
      <color theme="1"/>
      <name val="阿里巴巴普惠体 R"/>
      <family val="1"/>
      <charset val="134"/>
    </font>
    <font>
      <sz val="11"/>
      <color theme="1"/>
      <name val="阿里巴巴普惠体 R"/>
      <family val="1"/>
      <charset val="134"/>
    </font>
    <font>
      <sz val="7"/>
      <name val="阿里巴巴普惠体 R"/>
      <family val="1"/>
      <charset val="134"/>
    </font>
    <font>
      <sz val="9"/>
      <name val="阿里巴巴普惠体 R"/>
      <family val="1"/>
      <charset val="134"/>
    </font>
    <font>
      <sz val="9"/>
      <color theme="1"/>
      <name val="阿里巴巴普惠体 R"/>
      <family val="1"/>
      <charset val="134"/>
    </font>
    <font>
      <sz val="6"/>
      <name val="阿里巴巴普惠体 R"/>
      <family val="1"/>
      <charset val="134"/>
    </font>
    <font>
      <sz val="8"/>
      <color rgb="FFFF0000"/>
      <name val="阿里巴巴普惠体 R"/>
      <family val="1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8"/>
      <color theme="4"/>
      <name val="阿里巴巴普惠体 R"/>
      <family val="1"/>
      <charset val="134"/>
    </font>
    <font>
      <sz val="11"/>
      <color theme="1"/>
      <name val="等线"/>
      <family val="2"/>
      <charset val="134"/>
      <scheme val="minor"/>
    </font>
    <font>
      <sz val="9"/>
      <color theme="1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等线"/>
      <family val="3"/>
      <charset val="134"/>
      <scheme val="minor"/>
    </font>
    <font>
      <b/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b/>
      <sz val="9"/>
      <color theme="1"/>
      <name val="等线"/>
      <family val="2"/>
      <charset val="134"/>
      <scheme val="minor"/>
    </font>
    <font>
      <b/>
      <sz val="10"/>
      <color theme="1"/>
      <name val="宋体"/>
      <family val="3"/>
      <charset val="134"/>
    </font>
    <font>
      <b/>
      <sz val="14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9" fillId="0" borderId="0" applyNumberFormat="0" applyFill="0" applyBorder="0" applyProtection="0">
      <alignment vertical="center"/>
    </xf>
    <xf numFmtId="0" fontId="11" fillId="0" borderId="0">
      <alignment vertical="center"/>
    </xf>
    <xf numFmtId="0" fontId="11" fillId="0" borderId="0"/>
    <xf numFmtId="0" fontId="10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</cellStyleXfs>
  <cellXfs count="100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2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5" applyFont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49" fontId="5" fillId="0" borderId="1" xfId="5" applyNumberFormat="1" applyFont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6" fillId="0" borderId="1" xfId="5" applyFont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2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5" borderId="1" xfId="0" applyFont="1" applyFill="1" applyBorder="1" applyAlignment="1" applyProtection="1">
      <alignment horizontal="center" vertical="center" wrapText="1"/>
      <protection locked="0"/>
    </xf>
    <xf numFmtId="2" fontId="1" fillId="5" borderId="1" xfId="0" applyNumberFormat="1" applyFont="1" applyFill="1" applyBorder="1" applyAlignment="1" applyProtection="1">
      <alignment horizontal="center" vertical="center" wrapText="1"/>
      <protection locked="0"/>
    </xf>
    <xf numFmtId="176" fontId="1" fillId="5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43" fontId="3" fillId="0" borderId="0" xfId="1" applyFont="1">
      <alignment vertical="center"/>
    </xf>
    <xf numFmtId="176" fontId="1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5" fillId="6" borderId="1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2" fontId="1" fillId="6" borderId="1" xfId="0" applyNumberFormat="1" applyFont="1" applyFill="1" applyBorder="1" applyAlignment="1" applyProtection="1">
      <alignment horizontal="center" vertical="center" wrapText="1"/>
      <protection locked="0"/>
    </xf>
    <xf numFmtId="2" fontId="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1" fillId="6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left" vertical="center"/>
    </xf>
    <xf numFmtId="176" fontId="1" fillId="3" borderId="1" xfId="0" applyNumberFormat="1" applyFont="1" applyFill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8" fontId="13" fillId="0" borderId="1" xfId="0" applyNumberFormat="1" applyFont="1" applyFill="1" applyBorder="1" applyAlignment="1">
      <alignment horizontal="left" vertical="center"/>
    </xf>
    <xf numFmtId="177" fontId="15" fillId="0" borderId="0" xfId="0" applyNumberFormat="1" applyFont="1" applyBorder="1" applyAlignment="1">
      <alignment horizontal="right" vertical="center"/>
    </xf>
    <xf numFmtId="0" fontId="3" fillId="0" borderId="0" xfId="0" applyFont="1" applyBorder="1">
      <alignment vertical="center"/>
    </xf>
    <xf numFmtId="43" fontId="3" fillId="0" borderId="0" xfId="0" applyNumberFormat="1" applyFont="1">
      <alignment vertical="center"/>
    </xf>
    <xf numFmtId="14" fontId="2" fillId="3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43" fontId="16" fillId="0" borderId="1" xfId="0" applyNumberFormat="1" applyFont="1" applyFill="1" applyBorder="1" applyAlignment="1">
      <alignment horizontal="center" vertical="center"/>
    </xf>
    <xf numFmtId="43" fontId="16" fillId="0" borderId="5" xfId="0" applyNumberFormat="1" applyFont="1" applyFill="1" applyBorder="1" applyAlignment="1">
      <alignment horizontal="center" vertical="center"/>
    </xf>
    <xf numFmtId="49" fontId="14" fillId="0" borderId="0" xfId="7" applyNumberFormat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43" fontId="0" fillId="0" borderId="0" xfId="0" applyNumberFormat="1">
      <alignment vertical="center"/>
    </xf>
    <xf numFmtId="43" fontId="16" fillId="3" borderId="1" xfId="0" applyNumberFormat="1" applyFont="1" applyFill="1" applyBorder="1" applyAlignment="1">
      <alignment horizontal="center" vertical="center"/>
    </xf>
    <xf numFmtId="43" fontId="16" fillId="0" borderId="1" xfId="1" applyFont="1" applyFill="1" applyBorder="1" applyAlignment="1">
      <alignment horizontal="center" vertical="center"/>
    </xf>
    <xf numFmtId="43" fontId="16" fillId="0" borderId="1" xfId="0" applyNumberFormat="1" applyFont="1" applyFill="1" applyBorder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43" fontId="18" fillId="3" borderId="1" xfId="0" applyNumberFormat="1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43" fontId="18" fillId="7" borderId="1" xfId="0" applyNumberFormat="1" applyFont="1" applyFill="1" applyBorder="1" applyAlignment="1">
      <alignment horizontal="center" vertical="center"/>
    </xf>
    <xf numFmtId="49" fontId="2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49" fontId="23" fillId="0" borderId="0" xfId="0" applyNumberFormat="1" applyFont="1" applyAlignment="1">
      <alignment horizontal="left" vertical="center"/>
    </xf>
    <xf numFmtId="177" fontId="23" fillId="0" borderId="0" xfId="0" applyNumberFormat="1" applyFont="1" applyAlignment="1">
      <alignment horizontal="center" vertical="center"/>
    </xf>
    <xf numFmtId="177" fontId="24" fillId="0" borderId="0" xfId="0" applyNumberFormat="1" applyFont="1" applyAlignment="1">
      <alignment horizontal="center" vertical="center"/>
    </xf>
    <xf numFmtId="49" fontId="25" fillId="0" borderId="0" xfId="0" applyNumberFormat="1" applyFont="1" applyAlignment="1">
      <alignment horizontal="left" vertical="center"/>
    </xf>
    <xf numFmtId="49" fontId="26" fillId="0" borderId="0" xfId="0" applyNumberFormat="1" applyFont="1" applyAlignment="1">
      <alignment horizontal="center" vertical="center"/>
    </xf>
    <xf numFmtId="177" fontId="26" fillId="0" borderId="0" xfId="0" applyNumberFormat="1" applyFont="1" applyAlignment="1">
      <alignment horizontal="center" vertical="center"/>
    </xf>
    <xf numFmtId="177" fontId="25" fillId="0" borderId="0" xfId="0" applyNumberFormat="1" applyFont="1" applyAlignment="1">
      <alignment horizontal="left" vertical="center"/>
    </xf>
    <xf numFmtId="49" fontId="27" fillId="0" borderId="6" xfId="0" applyNumberFormat="1" applyFont="1" applyBorder="1" applyAlignment="1">
      <alignment horizontal="center" wrapText="1"/>
    </xf>
    <xf numFmtId="177" fontId="27" fillId="0" borderId="6" xfId="0" applyNumberFormat="1" applyFont="1" applyBorder="1" applyAlignment="1">
      <alignment horizontal="center" wrapText="1"/>
    </xf>
    <xf numFmtId="177" fontId="27" fillId="0" borderId="6" xfId="0" applyNumberFormat="1" applyFont="1" applyBorder="1" applyAlignment="1">
      <alignment horizontal="center" vertical="top" wrapText="1"/>
    </xf>
    <xf numFmtId="177" fontId="28" fillId="0" borderId="6" xfId="0" applyNumberFormat="1" applyFont="1" applyBorder="1" applyAlignment="1">
      <alignment horizontal="center" wrapText="1"/>
    </xf>
    <xf numFmtId="49" fontId="27" fillId="0" borderId="7" xfId="0" applyNumberFormat="1" applyFont="1" applyBorder="1" applyAlignment="1">
      <alignment horizontal="center" vertical="top" wrapText="1"/>
    </xf>
    <xf numFmtId="177" fontId="27" fillId="0" borderId="7" xfId="0" applyNumberFormat="1" applyFont="1" applyBorder="1" applyAlignment="1">
      <alignment horizontal="center" vertical="top" wrapText="1"/>
    </xf>
    <xf numFmtId="177" fontId="27" fillId="0" borderId="1" xfId="0" applyNumberFormat="1" applyFont="1" applyBorder="1" applyAlignment="1">
      <alignment horizontal="center" vertical="top" wrapText="1"/>
    </xf>
    <xf numFmtId="177" fontId="28" fillId="0" borderId="7" xfId="0" applyNumberFormat="1" applyFont="1" applyBorder="1" applyAlignment="1">
      <alignment horizontal="center" vertical="top" wrapText="1"/>
    </xf>
    <xf numFmtId="49" fontId="15" fillId="0" borderId="1" xfId="0" applyNumberFormat="1" applyFont="1" applyBorder="1" applyAlignment="1">
      <alignment horizontal="center" vertical="center"/>
    </xf>
    <xf numFmtId="177" fontId="15" fillId="0" borderId="1" xfId="0" applyNumberFormat="1" applyFont="1" applyBorder="1" applyAlignment="1">
      <alignment horizontal="right" vertical="center"/>
    </xf>
    <xf numFmtId="177" fontId="29" fillId="0" borderId="1" xfId="0" applyNumberFormat="1" applyFont="1" applyBorder="1" applyAlignment="1">
      <alignment horizontal="right" vertical="center"/>
    </xf>
    <xf numFmtId="177" fontId="15" fillId="0" borderId="1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left" vertical="center"/>
    </xf>
    <xf numFmtId="7" fontId="29" fillId="0" borderId="1" xfId="0" applyNumberFormat="1" applyFont="1" applyBorder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7" fontId="15" fillId="0" borderId="4" xfId="0" applyNumberFormat="1" applyFont="1" applyBorder="1" applyAlignment="1">
      <alignment horizontal="center" vertical="center"/>
    </xf>
    <xf numFmtId="49" fontId="15" fillId="0" borderId="0" xfId="0" applyNumberFormat="1" applyFont="1" applyAlignment="1">
      <alignment horizontal="left" vertical="center"/>
    </xf>
    <xf numFmtId="7" fontId="15" fillId="0" borderId="0" xfId="0" applyNumberFormat="1" applyFont="1" applyAlignment="1">
      <alignment horizontal="left" vertical="center"/>
    </xf>
    <xf numFmtId="49" fontId="31" fillId="0" borderId="0" xfId="0" applyNumberFormat="1" applyFont="1" applyAlignment="1">
      <alignment horizontal="left" vertical="center"/>
    </xf>
    <xf numFmtId="49" fontId="31" fillId="0" borderId="0" xfId="0" applyNumberFormat="1" applyFont="1" applyAlignment="1">
      <alignment horizontal="center" vertical="center"/>
    </xf>
    <xf numFmtId="177" fontId="3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7" fontId="22" fillId="0" borderId="0" xfId="0" applyNumberFormat="1" applyFont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43" fontId="3" fillId="3" borderId="0" xfId="1" applyFont="1" applyFill="1">
      <alignment vertical="center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49" fontId="15" fillId="0" borderId="2" xfId="0" applyNumberFormat="1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177" fontId="27" fillId="0" borderId="2" xfId="0" applyNumberFormat="1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49" fontId="30" fillId="0" borderId="6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76" fontId="1" fillId="3" borderId="1" xfId="0" applyNumberFormat="1" applyFont="1" applyFill="1" applyBorder="1" applyAlignment="1" applyProtection="1">
      <alignment horizontal="center" vertical="center" wrapText="1"/>
      <protection locked="0"/>
    </xf>
  </cellXfs>
  <cellStyles count="8">
    <cellStyle name="常规" xfId="0" builtinId="0"/>
    <cellStyle name="常规 10" xfId="4" xr:uid="{00000000-0005-0000-0000-000033000000}"/>
    <cellStyle name="常规 2" xfId="5" xr:uid="{00000000-0005-0000-0000-000034000000}"/>
    <cellStyle name="常规 2 2" xfId="3" xr:uid="{00000000-0005-0000-0000-000032000000}"/>
    <cellStyle name="常规 3" xfId="6" xr:uid="{00000000-0005-0000-0000-000035000000}"/>
    <cellStyle name="常规 3 2" xfId="2" xr:uid="{00000000-0005-0000-0000-000031000000}"/>
    <cellStyle name="常规 3 3" xfId="7" xr:uid="{9EA1CF18-82BA-45F5-8D0B-3FEE9F89C1A4}"/>
    <cellStyle name="千位分隔" xfId="1" builtinId="3"/>
  </cellStyles>
  <dxfs count="2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6"/>
  <sheetViews>
    <sheetView tabSelected="1" zoomScale="110" zoomScaleNormal="110" workbookViewId="0">
      <pane xSplit="5" ySplit="2" topLeftCell="F15" activePane="bottomRight" state="frozen"/>
      <selection pane="topRight"/>
      <selection pane="bottomLeft"/>
      <selection pane="bottomRight" activeCell="G31" sqref="G31"/>
    </sheetView>
  </sheetViews>
  <sheetFormatPr defaultColWidth="9" defaultRowHeight="16.2" x14ac:dyDescent="0.25"/>
  <cols>
    <col min="1" max="1" width="5" style="4" customWidth="1"/>
    <col min="2" max="2" width="7.6640625" style="4" customWidth="1"/>
    <col min="3" max="3" width="8.77734375" style="4" customWidth="1"/>
    <col min="4" max="4" width="5.6640625" style="4" customWidth="1"/>
    <col min="5" max="5" width="16.77734375" style="4" customWidth="1"/>
    <col min="6" max="6" width="12" style="4" customWidth="1"/>
    <col min="7" max="7" width="10.5546875" style="4" customWidth="1"/>
    <col min="8" max="8" width="10.109375" style="4" customWidth="1"/>
    <col min="9" max="9" width="12.88671875" style="4" customWidth="1"/>
    <col min="10" max="10" width="9.5546875" style="4" customWidth="1"/>
    <col min="11" max="11" width="10.44140625" style="4" customWidth="1"/>
    <col min="12" max="12" width="9.109375" style="4" customWidth="1"/>
    <col min="13" max="13" width="11" style="4" customWidth="1"/>
    <col min="14" max="15" width="7.77734375" style="4" customWidth="1"/>
    <col min="16" max="16" width="5.33203125" style="4" customWidth="1"/>
    <col min="17" max="17" width="4.44140625" style="4" customWidth="1"/>
    <col min="18" max="18" width="9.109375" style="4" customWidth="1"/>
    <col min="19" max="19" width="8.44140625" style="4" customWidth="1"/>
    <col min="20" max="20" width="8" style="4" customWidth="1"/>
    <col min="21" max="21" width="9.21875" style="4" customWidth="1"/>
    <col min="22" max="22" width="7.109375" style="4" customWidth="1"/>
    <col min="23" max="24" width="5.6640625" style="4" customWidth="1"/>
    <col min="25" max="25" width="8.109375" style="4" customWidth="1"/>
    <col min="26" max="26" width="6.33203125" style="4" customWidth="1"/>
    <col min="27" max="27" width="15" style="4" customWidth="1"/>
    <col min="28" max="28" width="10.44140625" style="4" customWidth="1"/>
    <col min="29" max="31" width="10.109375" style="4" customWidth="1"/>
    <col min="32" max="32" width="12.109375" style="4" customWidth="1"/>
    <col min="33" max="33" width="11.6640625" style="4" customWidth="1"/>
    <col min="34" max="34" width="14.77734375" style="4" customWidth="1"/>
    <col min="35" max="35" width="11.109375" style="4" customWidth="1"/>
    <col min="36" max="36" width="9.21875" style="4" customWidth="1"/>
    <col min="37" max="37" width="10.33203125" style="4" customWidth="1"/>
    <col min="38" max="38" width="16.77734375" style="4" customWidth="1"/>
    <col min="39" max="39" width="10.44140625" style="4" customWidth="1"/>
    <col min="40" max="40" width="12.109375" style="4" customWidth="1"/>
    <col min="41" max="41" width="9.5546875" style="4" customWidth="1"/>
    <col min="42" max="42" width="9.109375" style="4" customWidth="1"/>
    <col min="43" max="43" width="10" style="4" customWidth="1"/>
    <col min="44" max="44" width="9.77734375" style="4" customWidth="1"/>
    <col min="45" max="45" width="6.5546875" style="4" customWidth="1"/>
    <col min="46" max="46" width="8.88671875" style="4" customWidth="1"/>
    <col min="47" max="47" width="10.77734375" style="4" customWidth="1"/>
    <col min="48" max="48" width="14.44140625" style="4" customWidth="1"/>
    <col min="49" max="49" width="14.21875" style="4" customWidth="1"/>
    <col min="50" max="51" width="17.33203125" style="4" customWidth="1"/>
    <col min="52" max="52" width="12.21875" style="4" customWidth="1"/>
    <col min="53" max="53" width="24.5546875" style="4" customWidth="1"/>
    <col min="54" max="54" width="14.44140625" style="4" customWidth="1"/>
    <col min="55" max="55" width="15.109375" style="4" customWidth="1"/>
    <col min="56" max="56" width="16" style="4" customWidth="1"/>
    <col min="57" max="57" width="15.33203125" style="4" customWidth="1"/>
    <col min="58" max="16384" width="9" style="4"/>
  </cols>
  <sheetData>
    <row r="1" spans="1:58" s="1" customFormat="1" ht="26.1" customHeight="1" x14ac:dyDescent="0.3">
      <c r="A1" s="5" t="s">
        <v>0</v>
      </c>
      <c r="B1" s="6" t="s">
        <v>1</v>
      </c>
      <c r="C1" s="7" t="s">
        <v>2</v>
      </c>
      <c r="D1" s="7" t="s">
        <v>3</v>
      </c>
      <c r="E1" s="7" t="s">
        <v>181</v>
      </c>
      <c r="F1" s="5" t="s">
        <v>4</v>
      </c>
      <c r="G1" s="5" t="s">
        <v>5</v>
      </c>
      <c r="H1" s="5" t="s">
        <v>6</v>
      </c>
      <c r="I1" s="5" t="s">
        <v>7</v>
      </c>
      <c r="J1" s="15" t="s">
        <v>8</v>
      </c>
      <c r="K1" s="5" t="s">
        <v>9</v>
      </c>
      <c r="L1" s="5" t="s">
        <v>10</v>
      </c>
      <c r="M1" s="5" t="s">
        <v>11</v>
      </c>
      <c r="N1" s="89" t="s">
        <v>12</v>
      </c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1"/>
      <c r="AA1" s="19" t="s">
        <v>13</v>
      </c>
      <c r="AB1" s="15" t="s">
        <v>14</v>
      </c>
      <c r="AC1" s="15" t="s">
        <v>15</v>
      </c>
      <c r="AD1" s="15" t="s">
        <v>16</v>
      </c>
      <c r="AE1" s="15" t="s">
        <v>17</v>
      </c>
      <c r="AF1" s="15" t="s">
        <v>18</v>
      </c>
      <c r="AG1" s="15" t="s">
        <v>19</v>
      </c>
      <c r="AH1" s="19" t="s">
        <v>20</v>
      </c>
      <c r="AI1" s="15" t="s">
        <v>21</v>
      </c>
      <c r="AJ1" s="15" t="s">
        <v>22</v>
      </c>
      <c r="AK1" s="15" t="s">
        <v>23</v>
      </c>
      <c r="AL1" s="19" t="s">
        <v>24</v>
      </c>
      <c r="AM1" s="15" t="s">
        <v>25</v>
      </c>
      <c r="AN1" s="15" t="s">
        <v>26</v>
      </c>
      <c r="AO1" s="15" t="s">
        <v>27</v>
      </c>
      <c r="AP1" s="15" t="s">
        <v>28</v>
      </c>
      <c r="AQ1" s="15" t="s">
        <v>29</v>
      </c>
      <c r="AR1" s="15" t="s">
        <v>30</v>
      </c>
      <c r="AS1" s="15" t="s">
        <v>31</v>
      </c>
      <c r="AT1" s="15" t="s">
        <v>32</v>
      </c>
      <c r="AU1" s="15" t="s">
        <v>33</v>
      </c>
      <c r="AV1" s="19" t="s">
        <v>34</v>
      </c>
      <c r="AW1" s="19" t="s">
        <v>35</v>
      </c>
      <c r="AX1" s="26" t="s">
        <v>36</v>
      </c>
      <c r="AY1" s="26"/>
      <c r="AZ1" s="27" t="s">
        <v>37</v>
      </c>
      <c r="BA1" s="28" t="s">
        <v>38</v>
      </c>
      <c r="BB1" s="26" t="s">
        <v>39</v>
      </c>
      <c r="BC1" s="29" t="s">
        <v>40</v>
      </c>
      <c r="BD1" s="26" t="s">
        <v>41</v>
      </c>
      <c r="BE1" s="26" t="s">
        <v>42</v>
      </c>
    </row>
    <row r="2" spans="1:58" s="2" customFormat="1" ht="40.799999999999997" x14ac:dyDescent="0.25">
      <c r="A2" s="8" t="s">
        <v>43</v>
      </c>
      <c r="B2" s="9" t="s">
        <v>44</v>
      </c>
      <c r="C2" s="8" t="s">
        <v>45</v>
      </c>
      <c r="D2" s="8" t="s">
        <v>46</v>
      </c>
      <c r="E2" s="8" t="s">
        <v>47</v>
      </c>
      <c r="F2" s="8" t="s">
        <v>48</v>
      </c>
      <c r="G2" s="8" t="s">
        <v>49</v>
      </c>
      <c r="H2" s="8" t="s">
        <v>50</v>
      </c>
      <c r="I2" s="8" t="s">
        <v>51</v>
      </c>
      <c r="J2" s="16" t="s">
        <v>52</v>
      </c>
      <c r="K2" s="8" t="s">
        <v>53</v>
      </c>
      <c r="L2" s="8"/>
      <c r="M2" s="8" t="s">
        <v>54</v>
      </c>
      <c r="N2" s="8" t="s">
        <v>55</v>
      </c>
      <c r="O2" s="8" t="s">
        <v>56</v>
      </c>
      <c r="P2" s="8" t="s">
        <v>57</v>
      </c>
      <c r="Q2" s="8" t="s">
        <v>58</v>
      </c>
      <c r="R2" s="8" t="s">
        <v>59</v>
      </c>
      <c r="S2" s="8" t="s">
        <v>60</v>
      </c>
      <c r="T2" s="8" t="s">
        <v>61</v>
      </c>
      <c r="U2" s="8" t="s">
        <v>62</v>
      </c>
      <c r="V2" s="8" t="s">
        <v>327</v>
      </c>
      <c r="W2" s="8" t="s">
        <v>63</v>
      </c>
      <c r="X2" s="8" t="s">
        <v>64</v>
      </c>
      <c r="Y2" s="8" t="s">
        <v>65</v>
      </c>
      <c r="Z2" s="8" t="s">
        <v>66</v>
      </c>
      <c r="AA2" s="20" t="s">
        <v>67</v>
      </c>
      <c r="AB2" s="16" t="s">
        <v>68</v>
      </c>
      <c r="AC2" s="16" t="s">
        <v>69</v>
      </c>
      <c r="AD2" s="16" t="s">
        <v>70</v>
      </c>
      <c r="AE2" s="16" t="s">
        <v>71</v>
      </c>
      <c r="AF2" s="16" t="s">
        <v>72</v>
      </c>
      <c r="AG2" s="16" t="s">
        <v>73</v>
      </c>
      <c r="AH2" s="20" t="s">
        <v>74</v>
      </c>
      <c r="AI2" s="16" t="s">
        <v>75</v>
      </c>
      <c r="AJ2" s="16" t="s">
        <v>76</v>
      </c>
      <c r="AK2" s="16" t="s">
        <v>77</v>
      </c>
      <c r="AL2" s="20" t="s">
        <v>78</v>
      </c>
      <c r="AM2" s="16" t="s">
        <v>68</v>
      </c>
      <c r="AN2" s="16" t="s">
        <v>72</v>
      </c>
      <c r="AO2" s="16" t="s">
        <v>79</v>
      </c>
      <c r="AP2" s="16" t="s">
        <v>80</v>
      </c>
      <c r="AQ2" s="16" t="s">
        <v>81</v>
      </c>
      <c r="AR2" s="16" t="s">
        <v>82</v>
      </c>
      <c r="AS2" s="16" t="s">
        <v>83</v>
      </c>
      <c r="AT2" s="16" t="s">
        <v>84</v>
      </c>
      <c r="AU2" s="16" t="s">
        <v>85</v>
      </c>
      <c r="AV2" s="20" t="s">
        <v>86</v>
      </c>
      <c r="AW2" s="20" t="s">
        <v>87</v>
      </c>
      <c r="AX2" s="20" t="s">
        <v>88</v>
      </c>
      <c r="AY2" s="20"/>
      <c r="AZ2" s="30"/>
      <c r="BA2" s="31" t="s">
        <v>89</v>
      </c>
      <c r="BB2" s="26" t="s">
        <v>90</v>
      </c>
      <c r="BC2" s="29" t="s">
        <v>91</v>
      </c>
      <c r="BD2" s="26" t="s">
        <v>92</v>
      </c>
      <c r="BE2" s="26" t="s">
        <v>93</v>
      </c>
    </row>
    <row r="3" spans="1:58" s="3" customFormat="1" ht="15" customHeight="1" x14ac:dyDescent="0.25">
      <c r="A3" s="10">
        <f>ROW()-2</f>
        <v>1</v>
      </c>
      <c r="B3" s="11">
        <v>2410</v>
      </c>
      <c r="C3" s="11" t="s">
        <v>94</v>
      </c>
      <c r="D3" s="10" t="s">
        <v>95</v>
      </c>
      <c r="E3" s="12" t="s">
        <v>96</v>
      </c>
      <c r="F3" s="13">
        <v>45444</v>
      </c>
      <c r="G3" s="13">
        <v>45808</v>
      </c>
      <c r="H3" s="10"/>
      <c r="I3" s="17" t="s">
        <v>97</v>
      </c>
      <c r="J3" s="18">
        <v>1300</v>
      </c>
      <c r="K3" s="18">
        <v>4964</v>
      </c>
      <c r="L3" s="18">
        <v>1480</v>
      </c>
      <c r="M3" s="18">
        <v>784.68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630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21">
        <f>SUM(J3:Z3)</f>
        <v>9158.68</v>
      </c>
      <c r="AB3" s="22">
        <v>8707</v>
      </c>
      <c r="AC3" s="23">
        <v>696.56</v>
      </c>
      <c r="AD3" s="23">
        <v>174.14</v>
      </c>
      <c r="AE3" s="23">
        <v>43.54</v>
      </c>
      <c r="AF3" s="22">
        <v>8707</v>
      </c>
      <c r="AG3" s="22">
        <f t="shared" ref="AG3:AG21" si="0">ROUND(AF3*7%,0)</f>
        <v>609</v>
      </c>
      <c r="AH3" s="21">
        <f t="shared" ref="AH3:AH30" si="1">AC3+AD3+AE3+AG3</f>
        <v>1523.2399999999998</v>
      </c>
      <c r="AI3" s="25"/>
      <c r="AJ3" s="25"/>
      <c r="AK3" s="25"/>
      <c r="AL3" s="21">
        <f t="shared" ref="AL3:AL27" si="2">AA3-AH3-AI3</f>
        <v>7635.4400000000005</v>
      </c>
      <c r="AM3" s="22">
        <v>8707</v>
      </c>
      <c r="AN3" s="22">
        <v>8707</v>
      </c>
      <c r="AO3" s="22">
        <f t="shared" ref="AO3:AO21" si="3">ROUND(AM3*16%,2)</f>
        <v>1393.12</v>
      </c>
      <c r="AP3" s="22">
        <v>783.64</v>
      </c>
      <c r="AQ3" s="22">
        <f t="shared" ref="AQ3:AQ30" si="4">ROUND(AM3*0.5%,2)</f>
        <v>43.54</v>
      </c>
      <c r="AR3" s="22">
        <f t="shared" ref="AR3:AR30" si="5">ROUND(AM3*0.256%,2)</f>
        <v>22.29</v>
      </c>
      <c r="AS3" s="22"/>
      <c r="AT3" s="22">
        <f t="shared" ref="AT3:AT30" si="6">ROUND(AN3*7%,0)</f>
        <v>609</v>
      </c>
      <c r="AU3" s="22">
        <f t="shared" ref="AU3:AU30" si="7">ROUND(IF(AM3&lt;24366,AM3*1.5%,24366*1.5%),2)</f>
        <v>130.61000000000001</v>
      </c>
      <c r="AV3" s="21">
        <f t="shared" ref="AV3:AV30" si="8">SUM(AO3:AU3)</f>
        <v>2982.2</v>
      </c>
      <c r="AW3" s="21"/>
      <c r="AX3" s="21">
        <f t="shared" ref="AX3:AX30" si="9">AV3+AA3+AJ3-AK3+AW3</f>
        <v>12140.880000000001</v>
      </c>
      <c r="AY3" s="21"/>
      <c r="AZ3" s="32"/>
      <c r="BA3" s="33"/>
      <c r="BB3" s="21">
        <v>255</v>
      </c>
      <c r="BC3" s="34">
        <f t="shared" ref="BC3:BC20" si="10">ROUND(AX3+BB3+AZ3,2)</f>
        <v>12395.88</v>
      </c>
      <c r="BD3" s="21">
        <f t="shared" ref="BD3:BD30" si="11">ROUND(BC3*6%,2)</f>
        <v>743.75</v>
      </c>
      <c r="BE3" s="21">
        <f t="shared" ref="BE3:BE30" si="12">ROUND(SUM(BC3:BD3),2)</f>
        <v>13139.63</v>
      </c>
      <c r="BF3" s="35"/>
    </row>
    <row r="4" spans="1:58" s="3" customFormat="1" ht="15" customHeight="1" x14ac:dyDescent="0.25">
      <c r="A4" s="10">
        <f t="shared" ref="A4:A30" si="13">ROW()-2</f>
        <v>2</v>
      </c>
      <c r="B4" s="11">
        <v>2410</v>
      </c>
      <c r="C4" s="11" t="s">
        <v>98</v>
      </c>
      <c r="D4" s="10" t="s">
        <v>99</v>
      </c>
      <c r="E4" s="12" t="s">
        <v>100</v>
      </c>
      <c r="F4" s="13">
        <v>45444</v>
      </c>
      <c r="G4" s="13">
        <v>45808</v>
      </c>
      <c r="H4" s="10"/>
      <c r="I4" s="17" t="s">
        <v>97</v>
      </c>
      <c r="J4" s="18">
        <v>1030</v>
      </c>
      <c r="K4" s="18">
        <v>1184.4000000000001</v>
      </c>
      <c r="L4" s="18">
        <v>0</v>
      </c>
      <c r="M4" s="18">
        <v>730.38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630</v>
      </c>
      <c r="T4" s="18">
        <v>0</v>
      </c>
      <c r="U4" s="18">
        <v>0</v>
      </c>
      <c r="V4" s="18">
        <v>0</v>
      </c>
      <c r="W4" s="18">
        <v>0</v>
      </c>
      <c r="X4" s="18">
        <v>0</v>
      </c>
      <c r="Y4" s="18">
        <v>1300.46</v>
      </c>
      <c r="Z4" s="18">
        <v>0</v>
      </c>
      <c r="AA4" s="21">
        <f t="shared" ref="AA4:AA30" si="14">SUM(J4:Z4)</f>
        <v>4875.24</v>
      </c>
      <c r="AB4" s="22">
        <v>8888</v>
      </c>
      <c r="AC4" s="23">
        <v>711.04</v>
      </c>
      <c r="AD4" s="23">
        <v>177.76</v>
      </c>
      <c r="AE4" s="23">
        <v>44.44</v>
      </c>
      <c r="AF4" s="22">
        <v>8888</v>
      </c>
      <c r="AG4" s="22">
        <f t="shared" si="0"/>
        <v>622</v>
      </c>
      <c r="AH4" s="21">
        <f t="shared" si="1"/>
        <v>1555.24</v>
      </c>
      <c r="AI4" s="25"/>
      <c r="AJ4" s="25"/>
      <c r="AK4" s="25"/>
      <c r="AL4" s="21">
        <f t="shared" si="2"/>
        <v>3320</v>
      </c>
      <c r="AM4" s="22">
        <v>8888</v>
      </c>
      <c r="AN4" s="22">
        <v>8888</v>
      </c>
      <c r="AO4" s="22">
        <f t="shared" si="3"/>
        <v>1422.08</v>
      </c>
      <c r="AP4" s="22">
        <f t="shared" ref="AP4:AP30" si="15">ROUND(AM4*9%,2)</f>
        <v>799.92</v>
      </c>
      <c r="AQ4" s="22">
        <f t="shared" si="4"/>
        <v>44.44</v>
      </c>
      <c r="AR4" s="22">
        <f t="shared" si="5"/>
        <v>22.75</v>
      </c>
      <c r="AS4" s="22"/>
      <c r="AT4" s="22">
        <f t="shared" si="6"/>
        <v>622</v>
      </c>
      <c r="AU4" s="22">
        <f t="shared" si="7"/>
        <v>133.32</v>
      </c>
      <c r="AV4" s="21">
        <f t="shared" si="8"/>
        <v>3044.51</v>
      </c>
      <c r="AW4" s="21"/>
      <c r="AX4" s="21">
        <f t="shared" si="9"/>
        <v>7919.75</v>
      </c>
      <c r="AY4" s="21"/>
      <c r="AZ4" s="32"/>
      <c r="BA4" s="33"/>
      <c r="BB4" s="21">
        <v>255</v>
      </c>
      <c r="BC4" s="34">
        <f t="shared" si="10"/>
        <v>8174.75</v>
      </c>
      <c r="BD4" s="21">
        <f t="shared" si="11"/>
        <v>490.49</v>
      </c>
      <c r="BE4" s="21">
        <f t="shared" si="12"/>
        <v>8665.24</v>
      </c>
      <c r="BF4" s="35"/>
    </row>
    <row r="5" spans="1:58" s="3" customFormat="1" ht="15" customHeight="1" x14ac:dyDescent="0.25">
      <c r="A5" s="10">
        <f t="shared" si="13"/>
        <v>3</v>
      </c>
      <c r="B5" s="11">
        <v>2410</v>
      </c>
      <c r="C5" s="11" t="s">
        <v>101</v>
      </c>
      <c r="D5" s="10" t="s">
        <v>102</v>
      </c>
      <c r="E5" s="12" t="s">
        <v>103</v>
      </c>
      <c r="F5" s="13">
        <v>45444</v>
      </c>
      <c r="G5" s="13">
        <v>45808</v>
      </c>
      <c r="H5" s="10"/>
      <c r="I5" s="17" t="s">
        <v>97</v>
      </c>
      <c r="J5" s="18">
        <v>1030</v>
      </c>
      <c r="K5" s="18">
        <v>3474.8</v>
      </c>
      <c r="L5" s="18">
        <v>720</v>
      </c>
      <c r="M5" s="18">
        <v>1279.1400000000001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630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21">
        <f t="shared" si="14"/>
        <v>7133.9400000000005</v>
      </c>
      <c r="AB5" s="22">
        <v>9226</v>
      </c>
      <c r="AC5" s="23">
        <v>738.08</v>
      </c>
      <c r="AD5" s="23">
        <v>184.52</v>
      </c>
      <c r="AE5" s="23">
        <v>46.13</v>
      </c>
      <c r="AF5" s="22">
        <v>9226</v>
      </c>
      <c r="AG5" s="22">
        <f t="shared" si="0"/>
        <v>646</v>
      </c>
      <c r="AH5" s="21">
        <f t="shared" si="1"/>
        <v>1614.73</v>
      </c>
      <c r="AI5" s="25"/>
      <c r="AJ5" s="25"/>
      <c r="AK5" s="25"/>
      <c r="AL5" s="21">
        <f t="shared" si="2"/>
        <v>5519.2100000000009</v>
      </c>
      <c r="AM5" s="22">
        <v>9226</v>
      </c>
      <c r="AN5" s="22">
        <v>9226</v>
      </c>
      <c r="AO5" s="22">
        <f t="shared" si="3"/>
        <v>1476.16</v>
      </c>
      <c r="AP5" s="22">
        <f t="shared" si="15"/>
        <v>830.34</v>
      </c>
      <c r="AQ5" s="22">
        <f t="shared" si="4"/>
        <v>46.13</v>
      </c>
      <c r="AR5" s="22">
        <f t="shared" si="5"/>
        <v>23.62</v>
      </c>
      <c r="AS5" s="22"/>
      <c r="AT5" s="22">
        <f t="shared" si="6"/>
        <v>646</v>
      </c>
      <c r="AU5" s="22">
        <f t="shared" si="7"/>
        <v>138.38999999999999</v>
      </c>
      <c r="AV5" s="21">
        <f t="shared" si="8"/>
        <v>3160.64</v>
      </c>
      <c r="AW5" s="21"/>
      <c r="AX5" s="21">
        <f t="shared" si="9"/>
        <v>10294.58</v>
      </c>
      <c r="AY5" s="21"/>
      <c r="AZ5" s="32"/>
      <c r="BA5" s="33"/>
      <c r="BB5" s="21">
        <v>255</v>
      </c>
      <c r="BC5" s="34">
        <f t="shared" si="10"/>
        <v>10549.58</v>
      </c>
      <c r="BD5" s="21">
        <f t="shared" si="11"/>
        <v>632.97</v>
      </c>
      <c r="BE5" s="21">
        <f t="shared" si="12"/>
        <v>11182.55</v>
      </c>
      <c r="BF5" s="35"/>
    </row>
    <row r="6" spans="1:58" s="3" customFormat="1" ht="15" customHeight="1" x14ac:dyDescent="0.25">
      <c r="A6" s="10">
        <f t="shared" si="13"/>
        <v>4</v>
      </c>
      <c r="B6" s="11">
        <v>2410</v>
      </c>
      <c r="C6" s="11" t="s">
        <v>104</v>
      </c>
      <c r="D6" s="10" t="s">
        <v>105</v>
      </c>
      <c r="E6" s="12" t="s">
        <v>106</v>
      </c>
      <c r="F6" s="13">
        <v>45444</v>
      </c>
      <c r="G6" s="13">
        <v>45808</v>
      </c>
      <c r="H6" s="10"/>
      <c r="I6" s="17" t="s">
        <v>97</v>
      </c>
      <c r="J6" s="18">
        <v>1030</v>
      </c>
      <c r="K6" s="18">
        <v>3432</v>
      </c>
      <c r="L6" s="18">
        <v>1080</v>
      </c>
      <c r="M6" s="18">
        <v>1908.18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630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21">
        <f t="shared" si="14"/>
        <v>8080.18</v>
      </c>
      <c r="AB6" s="22">
        <v>10979</v>
      </c>
      <c r="AC6" s="23">
        <v>878.32</v>
      </c>
      <c r="AD6" s="23">
        <v>219.58</v>
      </c>
      <c r="AE6" s="23">
        <v>54.9</v>
      </c>
      <c r="AF6" s="22">
        <v>10979</v>
      </c>
      <c r="AG6" s="22">
        <f t="shared" si="0"/>
        <v>769</v>
      </c>
      <c r="AH6" s="21">
        <f t="shared" si="1"/>
        <v>1921.8000000000002</v>
      </c>
      <c r="AI6" s="25"/>
      <c r="AJ6" s="25"/>
      <c r="AK6" s="25"/>
      <c r="AL6" s="21">
        <f t="shared" si="2"/>
        <v>6158.38</v>
      </c>
      <c r="AM6" s="22">
        <v>10979</v>
      </c>
      <c r="AN6" s="22">
        <v>10979</v>
      </c>
      <c r="AO6" s="22">
        <f t="shared" si="3"/>
        <v>1756.64</v>
      </c>
      <c r="AP6" s="22">
        <v>988.12</v>
      </c>
      <c r="AQ6" s="22">
        <f t="shared" si="4"/>
        <v>54.9</v>
      </c>
      <c r="AR6" s="22">
        <f t="shared" si="5"/>
        <v>28.11</v>
      </c>
      <c r="AS6" s="22"/>
      <c r="AT6" s="22">
        <f t="shared" si="6"/>
        <v>769</v>
      </c>
      <c r="AU6" s="22">
        <f t="shared" si="7"/>
        <v>164.69</v>
      </c>
      <c r="AV6" s="21">
        <f t="shared" si="8"/>
        <v>3761.4600000000005</v>
      </c>
      <c r="AW6" s="21"/>
      <c r="AX6" s="21">
        <f t="shared" si="9"/>
        <v>11841.640000000001</v>
      </c>
      <c r="AY6" s="21"/>
      <c r="AZ6" s="32"/>
      <c r="BA6" s="33"/>
      <c r="BB6" s="21">
        <v>255</v>
      </c>
      <c r="BC6" s="34">
        <f t="shared" si="10"/>
        <v>12096.64</v>
      </c>
      <c r="BD6" s="21">
        <f t="shared" si="11"/>
        <v>725.8</v>
      </c>
      <c r="BE6" s="21">
        <f t="shared" si="12"/>
        <v>12822.44</v>
      </c>
      <c r="BF6" s="35"/>
    </row>
    <row r="7" spans="1:58" s="3" customFormat="1" ht="15" customHeight="1" x14ac:dyDescent="0.25">
      <c r="A7" s="10">
        <f t="shared" si="13"/>
        <v>5</v>
      </c>
      <c r="B7" s="11">
        <v>2410</v>
      </c>
      <c r="C7" s="11" t="s">
        <v>107</v>
      </c>
      <c r="D7" s="10" t="s">
        <v>108</v>
      </c>
      <c r="E7" s="12" t="s">
        <v>109</v>
      </c>
      <c r="F7" s="13">
        <v>45444</v>
      </c>
      <c r="G7" s="13">
        <v>45808</v>
      </c>
      <c r="H7" s="10"/>
      <c r="I7" s="17" t="s">
        <v>97</v>
      </c>
      <c r="J7" s="18">
        <v>1030</v>
      </c>
      <c r="K7" s="18">
        <v>3432</v>
      </c>
      <c r="L7" s="18">
        <v>0</v>
      </c>
      <c r="M7" s="18">
        <v>3417.9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630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21">
        <f t="shared" si="14"/>
        <v>8509.9</v>
      </c>
      <c r="AB7" s="22">
        <v>16443</v>
      </c>
      <c r="AC7" s="23">
        <v>1315.44</v>
      </c>
      <c r="AD7" s="23">
        <v>328.86</v>
      </c>
      <c r="AE7" s="23">
        <v>82.22</v>
      </c>
      <c r="AF7" s="22">
        <v>16443</v>
      </c>
      <c r="AG7" s="22">
        <f t="shared" si="0"/>
        <v>1151</v>
      </c>
      <c r="AH7" s="21">
        <f t="shared" si="1"/>
        <v>2877.5200000000004</v>
      </c>
      <c r="AI7" s="25"/>
      <c r="AJ7" s="25"/>
      <c r="AK7" s="25"/>
      <c r="AL7" s="21">
        <f t="shared" si="2"/>
        <v>5632.3799999999992</v>
      </c>
      <c r="AM7" s="22">
        <v>16443</v>
      </c>
      <c r="AN7" s="22">
        <v>16443</v>
      </c>
      <c r="AO7" s="22">
        <f t="shared" si="3"/>
        <v>2630.88</v>
      </c>
      <c r="AP7" s="22">
        <v>1479.88</v>
      </c>
      <c r="AQ7" s="22">
        <f t="shared" si="4"/>
        <v>82.22</v>
      </c>
      <c r="AR7" s="22">
        <f t="shared" si="5"/>
        <v>42.09</v>
      </c>
      <c r="AS7" s="22"/>
      <c r="AT7" s="22">
        <f t="shared" si="6"/>
        <v>1151</v>
      </c>
      <c r="AU7" s="22">
        <f t="shared" si="7"/>
        <v>246.65</v>
      </c>
      <c r="AV7" s="21">
        <f t="shared" si="8"/>
        <v>5632.72</v>
      </c>
      <c r="AW7" s="21"/>
      <c r="AX7" s="21">
        <f t="shared" si="9"/>
        <v>14142.619999999999</v>
      </c>
      <c r="AY7" s="21"/>
      <c r="AZ7" s="32"/>
      <c r="BA7" s="33"/>
      <c r="BB7" s="21">
        <v>255</v>
      </c>
      <c r="BC7" s="34">
        <f t="shared" si="10"/>
        <v>14397.62</v>
      </c>
      <c r="BD7" s="21">
        <f t="shared" si="11"/>
        <v>863.86</v>
      </c>
      <c r="BE7" s="21">
        <f t="shared" si="12"/>
        <v>15261.48</v>
      </c>
      <c r="BF7" s="35"/>
    </row>
    <row r="8" spans="1:58" s="3" customFormat="1" ht="15" customHeight="1" x14ac:dyDescent="0.25">
      <c r="A8" s="10">
        <f t="shared" si="13"/>
        <v>6</v>
      </c>
      <c r="B8" s="11">
        <v>2410</v>
      </c>
      <c r="C8" s="11" t="s">
        <v>110</v>
      </c>
      <c r="D8" s="10" t="s">
        <v>111</v>
      </c>
      <c r="E8" s="12" t="s">
        <v>112</v>
      </c>
      <c r="F8" s="13">
        <v>45444</v>
      </c>
      <c r="G8" s="13">
        <v>45808</v>
      </c>
      <c r="H8" s="10"/>
      <c r="I8" s="17" t="s">
        <v>97</v>
      </c>
      <c r="J8" s="18">
        <v>1030</v>
      </c>
      <c r="K8" s="18">
        <v>3432</v>
      </c>
      <c r="L8" s="18">
        <v>720</v>
      </c>
      <c r="M8" s="18">
        <v>1943.64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630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21">
        <f t="shared" si="14"/>
        <v>7755.64</v>
      </c>
      <c r="AB8" s="22">
        <v>8261</v>
      </c>
      <c r="AC8" s="23">
        <v>660.88</v>
      </c>
      <c r="AD8" s="23">
        <v>165.22</v>
      </c>
      <c r="AE8" s="23">
        <v>41.31</v>
      </c>
      <c r="AF8" s="22">
        <v>8261</v>
      </c>
      <c r="AG8" s="22">
        <f t="shared" si="0"/>
        <v>578</v>
      </c>
      <c r="AH8" s="21">
        <f t="shared" si="1"/>
        <v>1445.41</v>
      </c>
      <c r="AI8" s="25"/>
      <c r="AJ8" s="25"/>
      <c r="AK8" s="25"/>
      <c r="AL8" s="21">
        <f t="shared" si="2"/>
        <v>6310.2300000000005</v>
      </c>
      <c r="AM8" s="22">
        <v>8261</v>
      </c>
      <c r="AN8" s="22">
        <v>8261</v>
      </c>
      <c r="AO8" s="22">
        <f t="shared" si="3"/>
        <v>1321.76</v>
      </c>
      <c r="AP8" s="22">
        <v>743.5</v>
      </c>
      <c r="AQ8" s="22">
        <f t="shared" si="4"/>
        <v>41.31</v>
      </c>
      <c r="AR8" s="22">
        <f t="shared" si="5"/>
        <v>21.15</v>
      </c>
      <c r="AS8" s="22"/>
      <c r="AT8" s="22">
        <f t="shared" si="6"/>
        <v>578</v>
      </c>
      <c r="AU8" s="22">
        <f t="shared" si="7"/>
        <v>123.92</v>
      </c>
      <c r="AV8" s="21">
        <f t="shared" si="8"/>
        <v>2829.6400000000003</v>
      </c>
      <c r="AW8" s="21"/>
      <c r="AX8" s="21">
        <f t="shared" si="9"/>
        <v>10585.28</v>
      </c>
      <c r="AY8" s="21"/>
      <c r="AZ8" s="32"/>
      <c r="BA8" s="33"/>
      <c r="BB8" s="21">
        <v>255</v>
      </c>
      <c r="BC8" s="34">
        <f t="shared" si="10"/>
        <v>10840.28</v>
      </c>
      <c r="BD8" s="21">
        <f t="shared" si="11"/>
        <v>650.41999999999996</v>
      </c>
      <c r="BE8" s="21">
        <f t="shared" si="12"/>
        <v>11490.7</v>
      </c>
      <c r="BF8" s="35"/>
    </row>
    <row r="9" spans="1:58" s="3" customFormat="1" ht="15" customHeight="1" x14ac:dyDescent="0.25">
      <c r="A9" s="10">
        <f t="shared" si="13"/>
        <v>7</v>
      </c>
      <c r="B9" s="11">
        <v>2410</v>
      </c>
      <c r="C9" s="11" t="s">
        <v>113</v>
      </c>
      <c r="D9" s="10" t="s">
        <v>114</v>
      </c>
      <c r="E9" s="12" t="s">
        <v>115</v>
      </c>
      <c r="F9" s="13">
        <v>45444</v>
      </c>
      <c r="G9" s="13">
        <v>45808</v>
      </c>
      <c r="H9" s="10"/>
      <c r="I9" s="17" t="s">
        <v>97</v>
      </c>
      <c r="J9" s="18">
        <v>1030</v>
      </c>
      <c r="K9" s="18">
        <v>1260</v>
      </c>
      <c r="L9" s="18">
        <v>1440</v>
      </c>
      <c r="M9" s="18">
        <v>680.04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630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823.28</v>
      </c>
      <c r="Z9" s="18">
        <v>0</v>
      </c>
      <c r="AA9" s="21">
        <f t="shared" si="14"/>
        <v>5863.32</v>
      </c>
      <c r="AB9" s="22">
        <v>7384</v>
      </c>
      <c r="AC9" s="23">
        <v>590.72</v>
      </c>
      <c r="AD9" s="23">
        <v>147.68</v>
      </c>
      <c r="AE9" s="23">
        <v>36.92</v>
      </c>
      <c r="AF9" s="22">
        <v>4686</v>
      </c>
      <c r="AG9" s="22">
        <f t="shared" si="0"/>
        <v>328</v>
      </c>
      <c r="AH9" s="21">
        <f t="shared" si="1"/>
        <v>1103.3200000000002</v>
      </c>
      <c r="AI9" s="25"/>
      <c r="AJ9" s="25"/>
      <c r="AK9" s="25"/>
      <c r="AL9" s="21">
        <f t="shared" si="2"/>
        <v>4760</v>
      </c>
      <c r="AM9" s="22">
        <v>7384</v>
      </c>
      <c r="AN9" s="22">
        <v>4686</v>
      </c>
      <c r="AO9" s="22">
        <f t="shared" si="3"/>
        <v>1181.44</v>
      </c>
      <c r="AP9" s="22">
        <f t="shared" si="15"/>
        <v>664.56</v>
      </c>
      <c r="AQ9" s="22">
        <f t="shared" si="4"/>
        <v>36.92</v>
      </c>
      <c r="AR9" s="22">
        <f t="shared" si="5"/>
        <v>18.899999999999999</v>
      </c>
      <c r="AS9" s="22"/>
      <c r="AT9" s="22">
        <f t="shared" si="6"/>
        <v>328</v>
      </c>
      <c r="AU9" s="22">
        <f t="shared" si="7"/>
        <v>110.76</v>
      </c>
      <c r="AV9" s="21">
        <f t="shared" si="8"/>
        <v>2340.5800000000004</v>
      </c>
      <c r="AW9" s="21"/>
      <c r="AX9" s="21">
        <f t="shared" si="9"/>
        <v>8203.9</v>
      </c>
      <c r="AY9" s="21"/>
      <c r="AZ9" s="32"/>
      <c r="BA9" s="36"/>
      <c r="BB9" s="21">
        <v>255</v>
      </c>
      <c r="BC9" s="34">
        <f t="shared" si="10"/>
        <v>8458.9</v>
      </c>
      <c r="BD9" s="21">
        <f t="shared" si="11"/>
        <v>507.53</v>
      </c>
      <c r="BE9" s="21">
        <f t="shared" si="12"/>
        <v>8966.43</v>
      </c>
      <c r="BF9" s="35"/>
    </row>
    <row r="10" spans="1:58" s="3" customFormat="1" ht="15" customHeight="1" x14ac:dyDescent="0.25">
      <c r="A10" s="10">
        <f t="shared" si="13"/>
        <v>8</v>
      </c>
      <c r="B10" s="11">
        <v>2410</v>
      </c>
      <c r="C10" s="11" t="s">
        <v>116</v>
      </c>
      <c r="D10" s="10" t="s">
        <v>117</v>
      </c>
      <c r="E10" s="12" t="s">
        <v>118</v>
      </c>
      <c r="F10" s="13">
        <v>45444</v>
      </c>
      <c r="G10" s="13">
        <v>45808</v>
      </c>
      <c r="H10" s="10"/>
      <c r="I10" s="17" t="s">
        <v>97</v>
      </c>
      <c r="J10" s="18">
        <v>1300</v>
      </c>
      <c r="K10" s="18">
        <v>7462.4</v>
      </c>
      <c r="L10" s="18">
        <v>720</v>
      </c>
      <c r="M10" s="18">
        <v>663.78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630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21">
        <f t="shared" si="14"/>
        <v>10776.18</v>
      </c>
      <c r="AB10" s="22">
        <v>9424</v>
      </c>
      <c r="AC10" s="23">
        <v>753.92</v>
      </c>
      <c r="AD10" s="23">
        <v>188.48</v>
      </c>
      <c r="AE10" s="23">
        <v>47.12</v>
      </c>
      <c r="AF10" s="22">
        <v>9424</v>
      </c>
      <c r="AG10" s="22">
        <f t="shared" si="0"/>
        <v>660</v>
      </c>
      <c r="AH10" s="21">
        <f t="shared" si="1"/>
        <v>1649.52</v>
      </c>
      <c r="AI10" s="25"/>
      <c r="AJ10" s="25"/>
      <c r="AK10" s="25"/>
      <c r="AL10" s="21">
        <f t="shared" si="2"/>
        <v>9126.66</v>
      </c>
      <c r="AM10" s="22">
        <v>9424</v>
      </c>
      <c r="AN10" s="22">
        <v>9424</v>
      </c>
      <c r="AO10" s="22">
        <f t="shared" si="3"/>
        <v>1507.84</v>
      </c>
      <c r="AP10" s="22">
        <f t="shared" si="15"/>
        <v>848.16</v>
      </c>
      <c r="AQ10" s="22">
        <f t="shared" si="4"/>
        <v>47.12</v>
      </c>
      <c r="AR10" s="22">
        <f t="shared" si="5"/>
        <v>24.13</v>
      </c>
      <c r="AS10" s="22"/>
      <c r="AT10" s="22">
        <f t="shared" si="6"/>
        <v>660</v>
      </c>
      <c r="AU10" s="22">
        <f t="shared" si="7"/>
        <v>141.36000000000001</v>
      </c>
      <c r="AV10" s="21">
        <f t="shared" si="8"/>
        <v>3228.61</v>
      </c>
      <c r="AW10" s="21"/>
      <c r="AX10" s="21">
        <f t="shared" si="9"/>
        <v>14004.79</v>
      </c>
      <c r="AY10" s="21"/>
      <c r="AZ10" s="32"/>
      <c r="BA10" s="36"/>
      <c r="BB10" s="21">
        <v>255</v>
      </c>
      <c r="BC10" s="34">
        <f t="shared" si="10"/>
        <v>14259.79</v>
      </c>
      <c r="BD10" s="21">
        <f t="shared" si="11"/>
        <v>855.59</v>
      </c>
      <c r="BE10" s="21">
        <f t="shared" si="12"/>
        <v>15115.38</v>
      </c>
      <c r="BF10" s="35"/>
    </row>
    <row r="11" spans="1:58" s="3" customFormat="1" ht="15" customHeight="1" x14ac:dyDescent="0.25">
      <c r="A11" s="10">
        <f t="shared" si="13"/>
        <v>9</v>
      </c>
      <c r="B11" s="11">
        <v>2410</v>
      </c>
      <c r="C11" s="11" t="s">
        <v>119</v>
      </c>
      <c r="D11" s="10" t="s">
        <v>120</v>
      </c>
      <c r="E11" s="12" t="s">
        <v>121</v>
      </c>
      <c r="F11" s="13">
        <v>45444</v>
      </c>
      <c r="G11" s="13">
        <v>45808</v>
      </c>
      <c r="H11" s="10"/>
      <c r="I11" s="17" t="s">
        <v>97</v>
      </c>
      <c r="J11" s="18">
        <v>1300</v>
      </c>
      <c r="K11" s="18">
        <v>6132</v>
      </c>
      <c r="L11" s="18">
        <v>1630</v>
      </c>
      <c r="M11" s="18">
        <v>537.6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630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21">
        <f t="shared" si="14"/>
        <v>10229.6</v>
      </c>
      <c r="AB11" s="22">
        <v>10475</v>
      </c>
      <c r="AC11" s="23">
        <v>838</v>
      </c>
      <c r="AD11" s="23">
        <v>209.5</v>
      </c>
      <c r="AE11" s="23">
        <v>52.38</v>
      </c>
      <c r="AF11" s="22">
        <v>10475</v>
      </c>
      <c r="AG11" s="22">
        <f t="shared" si="0"/>
        <v>733</v>
      </c>
      <c r="AH11" s="21">
        <f t="shared" si="1"/>
        <v>1832.88</v>
      </c>
      <c r="AI11" s="25"/>
      <c r="AJ11" s="25"/>
      <c r="AK11" s="25"/>
      <c r="AL11" s="21">
        <f t="shared" si="2"/>
        <v>8396.7200000000012</v>
      </c>
      <c r="AM11" s="22">
        <v>10475</v>
      </c>
      <c r="AN11" s="22">
        <v>10475</v>
      </c>
      <c r="AO11" s="22">
        <f t="shared" si="3"/>
        <v>1676</v>
      </c>
      <c r="AP11" s="22">
        <v>942.76</v>
      </c>
      <c r="AQ11" s="22">
        <f t="shared" si="4"/>
        <v>52.38</v>
      </c>
      <c r="AR11" s="22">
        <f t="shared" si="5"/>
        <v>26.82</v>
      </c>
      <c r="AS11" s="22"/>
      <c r="AT11" s="22">
        <f t="shared" si="6"/>
        <v>733</v>
      </c>
      <c r="AU11" s="22">
        <f t="shared" si="7"/>
        <v>157.13</v>
      </c>
      <c r="AV11" s="21">
        <f t="shared" si="8"/>
        <v>3588.0900000000006</v>
      </c>
      <c r="AW11" s="21"/>
      <c r="AX11" s="21">
        <f t="shared" si="9"/>
        <v>13817.69</v>
      </c>
      <c r="AY11" s="21"/>
      <c r="AZ11" s="32"/>
      <c r="BA11" s="36"/>
      <c r="BB11" s="21">
        <v>255</v>
      </c>
      <c r="BC11" s="34">
        <f t="shared" si="10"/>
        <v>14072.69</v>
      </c>
      <c r="BD11" s="21">
        <f t="shared" si="11"/>
        <v>844.36</v>
      </c>
      <c r="BE11" s="21">
        <f t="shared" si="12"/>
        <v>14917.05</v>
      </c>
      <c r="BF11" s="35"/>
    </row>
    <row r="12" spans="1:58" s="3" customFormat="1" ht="15" customHeight="1" x14ac:dyDescent="0.25">
      <c r="A12" s="10">
        <f t="shared" si="13"/>
        <v>10</v>
      </c>
      <c r="B12" s="11">
        <v>2410</v>
      </c>
      <c r="C12" s="11" t="s">
        <v>122</v>
      </c>
      <c r="D12" s="10" t="s">
        <v>123</v>
      </c>
      <c r="E12" s="12" t="s">
        <v>124</v>
      </c>
      <c r="F12" s="13">
        <v>45444</v>
      </c>
      <c r="G12" s="13">
        <v>45808</v>
      </c>
      <c r="H12" s="10"/>
      <c r="I12" s="17" t="s">
        <v>97</v>
      </c>
      <c r="J12" s="18">
        <v>1030</v>
      </c>
      <c r="K12" s="18">
        <v>2190</v>
      </c>
      <c r="L12" s="18">
        <v>1665</v>
      </c>
      <c r="M12" s="18">
        <v>1603.14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630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21">
        <f t="shared" si="14"/>
        <v>7118.14</v>
      </c>
      <c r="AB12" s="22">
        <v>8472</v>
      </c>
      <c r="AC12" s="23">
        <v>677.76</v>
      </c>
      <c r="AD12" s="23">
        <v>169.44</v>
      </c>
      <c r="AE12" s="23">
        <v>42.36</v>
      </c>
      <c r="AF12" s="22">
        <v>8472</v>
      </c>
      <c r="AG12" s="22">
        <f t="shared" si="0"/>
        <v>593</v>
      </c>
      <c r="AH12" s="21">
        <f t="shared" si="1"/>
        <v>1482.56</v>
      </c>
      <c r="AI12" s="25"/>
      <c r="AJ12" s="25"/>
      <c r="AK12" s="25"/>
      <c r="AL12" s="21">
        <f t="shared" si="2"/>
        <v>5635.58</v>
      </c>
      <c r="AM12" s="22">
        <v>8472</v>
      </c>
      <c r="AN12" s="22">
        <v>8472</v>
      </c>
      <c r="AO12" s="22">
        <f t="shared" si="3"/>
        <v>1355.52</v>
      </c>
      <c r="AP12" s="22">
        <f t="shared" si="15"/>
        <v>762.48</v>
      </c>
      <c r="AQ12" s="22">
        <f t="shared" si="4"/>
        <v>42.36</v>
      </c>
      <c r="AR12" s="22">
        <f t="shared" si="5"/>
        <v>21.69</v>
      </c>
      <c r="AS12" s="22"/>
      <c r="AT12" s="22">
        <f t="shared" si="6"/>
        <v>593</v>
      </c>
      <c r="AU12" s="22">
        <f t="shared" si="7"/>
        <v>127.08</v>
      </c>
      <c r="AV12" s="21">
        <f t="shared" si="8"/>
        <v>2902.13</v>
      </c>
      <c r="AW12" s="21"/>
      <c r="AX12" s="21">
        <f t="shared" si="9"/>
        <v>10020.27</v>
      </c>
      <c r="AY12" s="21"/>
      <c r="AZ12" s="32"/>
      <c r="BA12" s="36"/>
      <c r="BB12" s="21">
        <v>255</v>
      </c>
      <c r="BC12" s="34">
        <f t="shared" si="10"/>
        <v>10275.27</v>
      </c>
      <c r="BD12" s="21">
        <f t="shared" si="11"/>
        <v>616.52</v>
      </c>
      <c r="BE12" s="21">
        <f t="shared" si="12"/>
        <v>10891.79</v>
      </c>
      <c r="BF12" s="35"/>
    </row>
    <row r="13" spans="1:58" s="3" customFormat="1" ht="15" customHeight="1" x14ac:dyDescent="0.25">
      <c r="A13" s="10">
        <f t="shared" si="13"/>
        <v>11</v>
      </c>
      <c r="B13" s="11">
        <v>2410</v>
      </c>
      <c r="C13" s="11" t="s">
        <v>125</v>
      </c>
      <c r="D13" s="10" t="s">
        <v>126</v>
      </c>
      <c r="E13" s="12" t="s">
        <v>127</v>
      </c>
      <c r="F13" s="13">
        <v>45444</v>
      </c>
      <c r="G13" s="13">
        <v>45808</v>
      </c>
      <c r="H13" s="10"/>
      <c r="I13" s="17" t="s">
        <v>97</v>
      </c>
      <c r="J13" s="18">
        <v>1300</v>
      </c>
      <c r="K13" s="18">
        <v>4410</v>
      </c>
      <c r="L13" s="18">
        <v>1310</v>
      </c>
      <c r="M13" s="18">
        <v>1394.76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630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21">
        <f t="shared" si="14"/>
        <v>9044.76</v>
      </c>
      <c r="AB13" s="22">
        <v>9241</v>
      </c>
      <c r="AC13" s="23">
        <v>739.28</v>
      </c>
      <c r="AD13" s="23">
        <v>184.82</v>
      </c>
      <c r="AE13" s="23">
        <v>46.21</v>
      </c>
      <c r="AF13" s="22">
        <v>9241</v>
      </c>
      <c r="AG13" s="22">
        <f t="shared" si="0"/>
        <v>647</v>
      </c>
      <c r="AH13" s="21">
        <f t="shared" si="1"/>
        <v>1617.31</v>
      </c>
      <c r="AI13" s="25"/>
      <c r="AJ13" s="25"/>
      <c r="AK13" s="25"/>
      <c r="AL13" s="21">
        <f t="shared" si="2"/>
        <v>7427.4500000000007</v>
      </c>
      <c r="AM13" s="22">
        <v>9241</v>
      </c>
      <c r="AN13" s="22">
        <v>9241</v>
      </c>
      <c r="AO13" s="22">
        <f t="shared" si="3"/>
        <v>1478.56</v>
      </c>
      <c r="AP13" s="22">
        <v>831.7</v>
      </c>
      <c r="AQ13" s="22">
        <f t="shared" si="4"/>
        <v>46.21</v>
      </c>
      <c r="AR13" s="22">
        <f t="shared" si="5"/>
        <v>23.66</v>
      </c>
      <c r="AS13" s="22"/>
      <c r="AT13" s="22">
        <f t="shared" si="6"/>
        <v>647</v>
      </c>
      <c r="AU13" s="22">
        <f t="shared" si="7"/>
        <v>138.62</v>
      </c>
      <c r="AV13" s="21">
        <f t="shared" si="8"/>
        <v>3165.75</v>
      </c>
      <c r="AW13" s="21"/>
      <c r="AX13" s="21">
        <f t="shared" si="9"/>
        <v>12210.51</v>
      </c>
      <c r="AY13" s="21"/>
      <c r="AZ13" s="32"/>
      <c r="BA13" s="36"/>
      <c r="BB13" s="21">
        <v>255</v>
      </c>
      <c r="BC13" s="34">
        <f t="shared" si="10"/>
        <v>12465.51</v>
      </c>
      <c r="BD13" s="21">
        <f t="shared" si="11"/>
        <v>747.93</v>
      </c>
      <c r="BE13" s="21">
        <f t="shared" si="12"/>
        <v>13213.44</v>
      </c>
      <c r="BF13" s="35"/>
    </row>
    <row r="14" spans="1:58" s="3" customFormat="1" ht="15" customHeight="1" x14ac:dyDescent="0.25">
      <c r="A14" s="10">
        <f t="shared" si="13"/>
        <v>12</v>
      </c>
      <c r="B14" s="11">
        <v>2410</v>
      </c>
      <c r="C14" s="11" t="s">
        <v>128</v>
      </c>
      <c r="D14" s="10" t="s">
        <v>129</v>
      </c>
      <c r="E14" s="12" t="s">
        <v>130</v>
      </c>
      <c r="F14" s="13">
        <v>45444</v>
      </c>
      <c r="G14" s="13">
        <v>45808</v>
      </c>
      <c r="H14" s="40">
        <v>45565</v>
      </c>
      <c r="I14" s="17" t="s">
        <v>97</v>
      </c>
      <c r="J14" s="18">
        <v>0</v>
      </c>
      <c r="K14" s="18">
        <v>1890</v>
      </c>
      <c r="L14" s="18">
        <v>335</v>
      </c>
      <c r="M14" s="18">
        <v>849.66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21">
        <f t="shared" si="14"/>
        <v>3074.66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5"/>
      <c r="AJ14" s="25"/>
      <c r="AK14" s="25"/>
      <c r="AL14" s="21">
        <f t="shared" si="2"/>
        <v>3074.66</v>
      </c>
      <c r="AM14" s="22">
        <v>0</v>
      </c>
      <c r="AN14" s="22">
        <v>0</v>
      </c>
      <c r="AO14" s="22">
        <f t="shared" si="3"/>
        <v>0</v>
      </c>
      <c r="AP14" s="22">
        <v>0</v>
      </c>
      <c r="AQ14" s="22">
        <f t="shared" si="4"/>
        <v>0</v>
      </c>
      <c r="AR14" s="22">
        <f t="shared" si="5"/>
        <v>0</v>
      </c>
      <c r="AS14" s="22"/>
      <c r="AT14" s="22">
        <f t="shared" si="6"/>
        <v>0</v>
      </c>
      <c r="AU14" s="22">
        <f t="shared" si="7"/>
        <v>0</v>
      </c>
      <c r="AV14" s="21">
        <f t="shared" si="8"/>
        <v>0</v>
      </c>
      <c r="AW14" s="21"/>
      <c r="AX14" s="21">
        <f t="shared" si="9"/>
        <v>3074.66</v>
      </c>
      <c r="AY14" s="21"/>
      <c r="AZ14" s="32"/>
      <c r="BA14" s="36"/>
      <c r="BB14" s="21">
        <v>0</v>
      </c>
      <c r="BC14" s="34">
        <f t="shared" si="10"/>
        <v>3074.66</v>
      </c>
      <c r="BD14" s="21">
        <f t="shared" si="11"/>
        <v>184.48</v>
      </c>
      <c r="BE14" s="21">
        <f t="shared" si="12"/>
        <v>3259.14</v>
      </c>
      <c r="BF14" s="35"/>
    </row>
    <row r="15" spans="1:58" s="3" customFormat="1" ht="15" customHeight="1" x14ac:dyDescent="0.25">
      <c r="A15" s="10">
        <f t="shared" si="13"/>
        <v>13</v>
      </c>
      <c r="B15" s="11">
        <v>2410</v>
      </c>
      <c r="C15" s="11" t="s">
        <v>131</v>
      </c>
      <c r="D15" s="10" t="s">
        <v>132</v>
      </c>
      <c r="E15" s="12" t="s">
        <v>133</v>
      </c>
      <c r="F15" s="13">
        <v>45444</v>
      </c>
      <c r="G15" s="13">
        <v>45808</v>
      </c>
      <c r="H15" s="10"/>
      <c r="I15" s="17" t="s">
        <v>97</v>
      </c>
      <c r="J15" s="18">
        <v>1030</v>
      </c>
      <c r="K15" s="18">
        <v>1620</v>
      </c>
      <c r="L15" s="18">
        <v>2094</v>
      </c>
      <c r="M15" s="18">
        <v>1217.4000000000001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630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21">
        <f t="shared" si="14"/>
        <v>6591.4</v>
      </c>
      <c r="AB15" s="22">
        <v>7384</v>
      </c>
      <c r="AC15" s="23">
        <v>590.72</v>
      </c>
      <c r="AD15" s="23">
        <v>147.68</v>
      </c>
      <c r="AE15" s="23">
        <v>36.92</v>
      </c>
      <c r="AF15" s="22">
        <v>6830</v>
      </c>
      <c r="AG15" s="22">
        <f t="shared" si="0"/>
        <v>478</v>
      </c>
      <c r="AH15" s="21">
        <f t="shared" si="1"/>
        <v>1253.3200000000002</v>
      </c>
      <c r="AI15" s="25"/>
      <c r="AJ15" s="25"/>
      <c r="AK15" s="25"/>
      <c r="AL15" s="21">
        <f t="shared" si="2"/>
        <v>5338.08</v>
      </c>
      <c r="AM15" s="22">
        <v>7384</v>
      </c>
      <c r="AN15" s="22">
        <v>6830</v>
      </c>
      <c r="AO15" s="22">
        <f t="shared" si="3"/>
        <v>1181.44</v>
      </c>
      <c r="AP15" s="22">
        <f t="shared" si="15"/>
        <v>664.56</v>
      </c>
      <c r="AQ15" s="22">
        <f t="shared" si="4"/>
        <v>36.92</v>
      </c>
      <c r="AR15" s="22">
        <f t="shared" si="5"/>
        <v>18.899999999999999</v>
      </c>
      <c r="AS15" s="22"/>
      <c r="AT15" s="22">
        <f t="shared" si="6"/>
        <v>478</v>
      </c>
      <c r="AU15" s="22">
        <f t="shared" si="7"/>
        <v>110.76</v>
      </c>
      <c r="AV15" s="21">
        <f t="shared" si="8"/>
        <v>2490.5800000000004</v>
      </c>
      <c r="AW15" s="21"/>
      <c r="AX15" s="21">
        <f t="shared" si="9"/>
        <v>9081.98</v>
      </c>
      <c r="AY15" s="21"/>
      <c r="AZ15" s="32"/>
      <c r="BA15" s="36"/>
      <c r="BB15" s="21">
        <v>255</v>
      </c>
      <c r="BC15" s="34">
        <f t="shared" si="10"/>
        <v>9336.98</v>
      </c>
      <c r="BD15" s="21">
        <f t="shared" si="11"/>
        <v>560.22</v>
      </c>
      <c r="BE15" s="21">
        <f t="shared" si="12"/>
        <v>9897.2000000000007</v>
      </c>
      <c r="BF15" s="35"/>
    </row>
    <row r="16" spans="1:58" s="3" customFormat="1" ht="15" customHeight="1" x14ac:dyDescent="0.25">
      <c r="A16" s="10">
        <f t="shared" si="13"/>
        <v>14</v>
      </c>
      <c r="B16" s="11">
        <v>2410</v>
      </c>
      <c r="C16" s="11" t="s">
        <v>134</v>
      </c>
      <c r="D16" s="10" t="s">
        <v>135</v>
      </c>
      <c r="E16" s="12" t="s">
        <v>136</v>
      </c>
      <c r="F16" s="13">
        <v>45444</v>
      </c>
      <c r="G16" s="13">
        <v>45808</v>
      </c>
      <c r="H16" s="10"/>
      <c r="I16" s="17" t="s">
        <v>97</v>
      </c>
      <c r="J16" s="18">
        <v>1300</v>
      </c>
      <c r="K16" s="18">
        <v>6522.6</v>
      </c>
      <c r="L16" s="18">
        <v>4720</v>
      </c>
      <c r="M16" s="18">
        <v>590.82000000000005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630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21">
        <f t="shared" si="14"/>
        <v>13763.42</v>
      </c>
      <c r="AB16" s="22">
        <v>18040</v>
      </c>
      <c r="AC16" s="23">
        <v>1443.2</v>
      </c>
      <c r="AD16" s="23">
        <v>360.8</v>
      </c>
      <c r="AE16" s="23">
        <v>90.2</v>
      </c>
      <c r="AF16" s="22">
        <v>18040</v>
      </c>
      <c r="AG16" s="22">
        <f t="shared" si="0"/>
        <v>1263</v>
      </c>
      <c r="AH16" s="21">
        <f t="shared" si="1"/>
        <v>3157.2</v>
      </c>
      <c r="AI16" s="25"/>
      <c r="AJ16" s="25"/>
      <c r="AK16" s="25"/>
      <c r="AL16" s="21">
        <f t="shared" si="2"/>
        <v>10606.220000000001</v>
      </c>
      <c r="AM16" s="22">
        <v>18040</v>
      </c>
      <c r="AN16" s="22">
        <v>18040</v>
      </c>
      <c r="AO16" s="22">
        <f t="shared" si="3"/>
        <v>2886.4</v>
      </c>
      <c r="AP16" s="22">
        <f t="shared" si="15"/>
        <v>1623.6</v>
      </c>
      <c r="AQ16" s="22">
        <f t="shared" si="4"/>
        <v>90.2</v>
      </c>
      <c r="AR16" s="22">
        <f t="shared" si="5"/>
        <v>46.18</v>
      </c>
      <c r="AS16" s="22"/>
      <c r="AT16" s="22">
        <f t="shared" si="6"/>
        <v>1263</v>
      </c>
      <c r="AU16" s="22">
        <f t="shared" si="7"/>
        <v>270.60000000000002</v>
      </c>
      <c r="AV16" s="21">
        <f t="shared" si="8"/>
        <v>6179.9800000000005</v>
      </c>
      <c r="AW16" s="21"/>
      <c r="AX16" s="21">
        <f t="shared" si="9"/>
        <v>19943.400000000001</v>
      </c>
      <c r="AY16" s="21"/>
      <c r="AZ16" s="32"/>
      <c r="BA16" s="36"/>
      <c r="BB16" s="21">
        <v>255</v>
      </c>
      <c r="BC16" s="34">
        <f t="shared" si="10"/>
        <v>20198.400000000001</v>
      </c>
      <c r="BD16" s="21">
        <f t="shared" si="11"/>
        <v>1211.9000000000001</v>
      </c>
      <c r="BE16" s="21">
        <f t="shared" si="12"/>
        <v>21410.3</v>
      </c>
      <c r="BF16" s="35"/>
    </row>
    <row r="17" spans="1:58" s="3" customFormat="1" ht="15" customHeight="1" x14ac:dyDescent="0.25">
      <c r="A17" s="10">
        <f t="shared" si="13"/>
        <v>15</v>
      </c>
      <c r="B17" s="11">
        <v>2410</v>
      </c>
      <c r="C17" s="11" t="s">
        <v>137</v>
      </c>
      <c r="D17" s="10" t="s">
        <v>138</v>
      </c>
      <c r="E17" s="12" t="s">
        <v>139</v>
      </c>
      <c r="F17" s="13">
        <v>45444</v>
      </c>
      <c r="G17" s="13">
        <v>45808</v>
      </c>
      <c r="H17" s="10"/>
      <c r="I17" s="17" t="s">
        <v>97</v>
      </c>
      <c r="J17" s="18">
        <v>1030</v>
      </c>
      <c r="K17" s="18">
        <v>2032.5</v>
      </c>
      <c r="L17" s="18">
        <v>2940</v>
      </c>
      <c r="M17" s="18">
        <v>1463.7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630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21">
        <f t="shared" si="14"/>
        <v>8096.2</v>
      </c>
      <c r="AB17" s="22">
        <v>7474</v>
      </c>
      <c r="AC17" s="23">
        <v>597.91999999999996</v>
      </c>
      <c r="AD17" s="23">
        <v>149.47999999999999</v>
      </c>
      <c r="AE17" s="23">
        <v>37.369999999999997</v>
      </c>
      <c r="AF17" s="22">
        <v>7474</v>
      </c>
      <c r="AG17" s="22">
        <f t="shared" si="0"/>
        <v>523</v>
      </c>
      <c r="AH17" s="21">
        <f t="shared" si="1"/>
        <v>1307.77</v>
      </c>
      <c r="AI17" s="25"/>
      <c r="AJ17" s="25"/>
      <c r="AK17" s="25"/>
      <c r="AL17" s="21">
        <f t="shared" si="2"/>
        <v>6788.43</v>
      </c>
      <c r="AM17" s="22">
        <v>7474</v>
      </c>
      <c r="AN17" s="22">
        <v>7474</v>
      </c>
      <c r="AO17" s="22">
        <f t="shared" si="3"/>
        <v>1195.8399999999999</v>
      </c>
      <c r="AP17" s="22">
        <f t="shared" si="15"/>
        <v>672.66</v>
      </c>
      <c r="AQ17" s="22">
        <f t="shared" si="4"/>
        <v>37.369999999999997</v>
      </c>
      <c r="AR17" s="22">
        <f t="shared" si="5"/>
        <v>19.13</v>
      </c>
      <c r="AS17" s="22"/>
      <c r="AT17" s="22">
        <f t="shared" si="6"/>
        <v>523</v>
      </c>
      <c r="AU17" s="22">
        <f t="shared" si="7"/>
        <v>112.11</v>
      </c>
      <c r="AV17" s="21">
        <f t="shared" si="8"/>
        <v>2560.11</v>
      </c>
      <c r="AW17" s="21"/>
      <c r="AX17" s="21">
        <f t="shared" si="9"/>
        <v>10656.31</v>
      </c>
      <c r="AY17" s="21"/>
      <c r="AZ17" s="32"/>
      <c r="BA17" s="36"/>
      <c r="BB17" s="21">
        <v>255</v>
      </c>
      <c r="BC17" s="34">
        <f t="shared" si="10"/>
        <v>10911.31</v>
      </c>
      <c r="BD17" s="21">
        <f t="shared" si="11"/>
        <v>654.67999999999995</v>
      </c>
      <c r="BE17" s="21">
        <f t="shared" si="12"/>
        <v>11565.99</v>
      </c>
      <c r="BF17" s="35"/>
    </row>
    <row r="18" spans="1:58" s="3" customFormat="1" ht="15" customHeight="1" x14ac:dyDescent="0.25">
      <c r="A18" s="10">
        <f t="shared" si="13"/>
        <v>16</v>
      </c>
      <c r="B18" s="11">
        <v>2410</v>
      </c>
      <c r="C18" s="11" t="s">
        <v>140</v>
      </c>
      <c r="D18" s="10" t="s">
        <v>141</v>
      </c>
      <c r="E18" s="12" t="s">
        <v>142</v>
      </c>
      <c r="F18" s="13">
        <v>45444</v>
      </c>
      <c r="G18" s="13">
        <v>45808</v>
      </c>
      <c r="H18" s="10"/>
      <c r="I18" s="17" t="s">
        <v>97</v>
      </c>
      <c r="J18" s="18">
        <v>1300</v>
      </c>
      <c r="K18" s="18">
        <v>2767.5</v>
      </c>
      <c r="L18" s="18">
        <v>2580</v>
      </c>
      <c r="M18" s="18">
        <v>1664.31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630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21">
        <f t="shared" si="14"/>
        <v>8941.81</v>
      </c>
      <c r="AB18" s="22">
        <v>11152</v>
      </c>
      <c r="AC18" s="23">
        <v>892.16</v>
      </c>
      <c r="AD18" s="23">
        <v>223.04</v>
      </c>
      <c r="AE18" s="23">
        <v>55.76</v>
      </c>
      <c r="AF18" s="22">
        <v>11152</v>
      </c>
      <c r="AG18" s="22">
        <f t="shared" si="0"/>
        <v>781</v>
      </c>
      <c r="AH18" s="21">
        <f t="shared" si="1"/>
        <v>1951.96</v>
      </c>
      <c r="AI18" s="25"/>
      <c r="AJ18" s="25"/>
      <c r="AK18" s="25"/>
      <c r="AL18" s="21">
        <f t="shared" si="2"/>
        <v>6989.8499999999995</v>
      </c>
      <c r="AM18" s="22">
        <v>11152</v>
      </c>
      <c r="AN18" s="22">
        <v>11152</v>
      </c>
      <c r="AO18" s="22">
        <f t="shared" si="3"/>
        <v>1784.32</v>
      </c>
      <c r="AP18" s="22">
        <f t="shared" si="15"/>
        <v>1003.68</v>
      </c>
      <c r="AQ18" s="22">
        <f t="shared" si="4"/>
        <v>55.76</v>
      </c>
      <c r="AR18" s="22">
        <f t="shared" si="5"/>
        <v>28.55</v>
      </c>
      <c r="AS18" s="22"/>
      <c r="AT18" s="22">
        <f t="shared" si="6"/>
        <v>781</v>
      </c>
      <c r="AU18" s="22">
        <f t="shared" si="7"/>
        <v>167.28</v>
      </c>
      <c r="AV18" s="21">
        <f t="shared" si="8"/>
        <v>3820.5900000000006</v>
      </c>
      <c r="AW18" s="21"/>
      <c r="AX18" s="21">
        <f t="shared" si="9"/>
        <v>12762.4</v>
      </c>
      <c r="AY18" s="21"/>
      <c r="AZ18" s="32"/>
      <c r="BA18" s="36"/>
      <c r="BB18" s="21">
        <v>255</v>
      </c>
      <c r="BC18" s="34">
        <f t="shared" si="10"/>
        <v>13017.4</v>
      </c>
      <c r="BD18" s="21">
        <f t="shared" si="11"/>
        <v>781.04</v>
      </c>
      <c r="BE18" s="21">
        <f t="shared" si="12"/>
        <v>13798.44</v>
      </c>
      <c r="BF18" s="35"/>
    </row>
    <row r="19" spans="1:58" s="3" customFormat="1" ht="15" customHeight="1" x14ac:dyDescent="0.25">
      <c r="A19" s="10">
        <f t="shared" si="13"/>
        <v>17</v>
      </c>
      <c r="B19" s="11">
        <v>2410</v>
      </c>
      <c r="C19" s="11" t="s">
        <v>143</v>
      </c>
      <c r="D19" s="10" t="s">
        <v>144</v>
      </c>
      <c r="E19" s="12" t="s">
        <v>145</v>
      </c>
      <c r="F19" s="13">
        <v>45444</v>
      </c>
      <c r="G19" s="13">
        <v>45808</v>
      </c>
      <c r="H19" s="10"/>
      <c r="I19" s="17" t="s">
        <v>97</v>
      </c>
      <c r="J19" s="18">
        <v>1030</v>
      </c>
      <c r="K19" s="18">
        <v>3597.75</v>
      </c>
      <c r="L19" s="18">
        <v>2220</v>
      </c>
      <c r="M19" s="18">
        <v>1487.55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630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21">
        <f t="shared" si="14"/>
        <v>8965.2999999999993</v>
      </c>
      <c r="AB19" s="22">
        <v>10443</v>
      </c>
      <c r="AC19" s="23">
        <v>835.44</v>
      </c>
      <c r="AD19" s="23">
        <v>208.86</v>
      </c>
      <c r="AE19" s="23">
        <v>52.22</v>
      </c>
      <c r="AF19" s="22">
        <v>10443</v>
      </c>
      <c r="AG19" s="22">
        <f t="shared" si="0"/>
        <v>731</v>
      </c>
      <c r="AH19" s="21">
        <f t="shared" si="1"/>
        <v>1827.5200000000002</v>
      </c>
      <c r="AI19" s="25"/>
      <c r="AJ19" s="25"/>
      <c r="AK19" s="25"/>
      <c r="AL19" s="21">
        <f t="shared" si="2"/>
        <v>7137.7799999999988</v>
      </c>
      <c r="AM19" s="22">
        <v>10443</v>
      </c>
      <c r="AN19" s="22">
        <v>10443</v>
      </c>
      <c r="AO19" s="22">
        <f t="shared" si="3"/>
        <v>1670.88</v>
      </c>
      <c r="AP19" s="22">
        <v>939.88</v>
      </c>
      <c r="AQ19" s="22">
        <f t="shared" si="4"/>
        <v>52.22</v>
      </c>
      <c r="AR19" s="22">
        <f t="shared" si="5"/>
        <v>26.73</v>
      </c>
      <c r="AS19" s="22"/>
      <c r="AT19" s="22">
        <f t="shared" si="6"/>
        <v>731</v>
      </c>
      <c r="AU19" s="22">
        <f t="shared" si="7"/>
        <v>156.65</v>
      </c>
      <c r="AV19" s="21">
        <f t="shared" si="8"/>
        <v>3577.36</v>
      </c>
      <c r="AW19" s="21"/>
      <c r="AX19" s="21">
        <f t="shared" si="9"/>
        <v>12542.66</v>
      </c>
      <c r="AY19" s="21"/>
      <c r="AZ19" s="32"/>
      <c r="BA19" s="36"/>
      <c r="BB19" s="21">
        <v>255</v>
      </c>
      <c r="BC19" s="34">
        <f t="shared" si="10"/>
        <v>12797.66</v>
      </c>
      <c r="BD19" s="21">
        <f t="shared" si="11"/>
        <v>767.86</v>
      </c>
      <c r="BE19" s="21">
        <f t="shared" si="12"/>
        <v>13565.52</v>
      </c>
      <c r="BF19" s="35"/>
    </row>
    <row r="20" spans="1:58" s="3" customFormat="1" ht="15" customHeight="1" x14ac:dyDescent="0.25">
      <c r="A20" s="10">
        <f t="shared" si="13"/>
        <v>18</v>
      </c>
      <c r="B20" s="11">
        <v>2410</v>
      </c>
      <c r="C20" s="11" t="s">
        <v>146</v>
      </c>
      <c r="D20" s="10" t="s">
        <v>147</v>
      </c>
      <c r="E20" s="12" t="s">
        <v>148</v>
      </c>
      <c r="F20" s="13">
        <v>45444</v>
      </c>
      <c r="G20" s="13">
        <v>45808</v>
      </c>
      <c r="H20" s="10"/>
      <c r="I20" s="17" t="s">
        <v>97</v>
      </c>
      <c r="J20" s="18">
        <v>1030</v>
      </c>
      <c r="K20" s="18">
        <v>4161.8599999999997</v>
      </c>
      <c r="L20" s="18">
        <v>2440</v>
      </c>
      <c r="M20" s="18">
        <v>607.71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630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21">
        <f t="shared" si="14"/>
        <v>8869.57</v>
      </c>
      <c r="AB20" s="22">
        <v>8102</v>
      </c>
      <c r="AC20" s="23">
        <v>648.16</v>
      </c>
      <c r="AD20" s="23">
        <v>162.04</v>
      </c>
      <c r="AE20" s="23">
        <v>40.51</v>
      </c>
      <c r="AF20" s="22">
        <v>8102</v>
      </c>
      <c r="AG20" s="22">
        <f t="shared" si="0"/>
        <v>567</v>
      </c>
      <c r="AH20" s="21">
        <f t="shared" si="1"/>
        <v>1417.71</v>
      </c>
      <c r="AI20" s="25"/>
      <c r="AJ20" s="25"/>
      <c r="AK20" s="25"/>
      <c r="AL20" s="21">
        <f t="shared" si="2"/>
        <v>7451.86</v>
      </c>
      <c r="AM20" s="22">
        <v>8102</v>
      </c>
      <c r="AN20" s="22">
        <v>8102</v>
      </c>
      <c r="AO20" s="22">
        <f t="shared" si="3"/>
        <v>1296.32</v>
      </c>
      <c r="AP20" s="22">
        <f t="shared" si="15"/>
        <v>729.18</v>
      </c>
      <c r="AQ20" s="22">
        <f t="shared" si="4"/>
        <v>40.51</v>
      </c>
      <c r="AR20" s="22">
        <f t="shared" si="5"/>
        <v>20.74</v>
      </c>
      <c r="AS20" s="22"/>
      <c r="AT20" s="22">
        <f t="shared" si="6"/>
        <v>567</v>
      </c>
      <c r="AU20" s="22">
        <f t="shared" si="7"/>
        <v>121.53</v>
      </c>
      <c r="AV20" s="21">
        <f t="shared" si="8"/>
        <v>2775.28</v>
      </c>
      <c r="AW20" s="21"/>
      <c r="AX20" s="21">
        <f t="shared" si="9"/>
        <v>11644.85</v>
      </c>
      <c r="AY20" s="21"/>
      <c r="AZ20" s="32"/>
      <c r="BA20" s="36"/>
      <c r="BB20" s="21">
        <v>255</v>
      </c>
      <c r="BC20" s="34">
        <f t="shared" si="10"/>
        <v>11899.85</v>
      </c>
      <c r="BD20" s="21">
        <f t="shared" si="11"/>
        <v>713.99</v>
      </c>
      <c r="BE20" s="21">
        <f t="shared" si="12"/>
        <v>12613.84</v>
      </c>
      <c r="BF20" s="35"/>
    </row>
    <row r="21" spans="1:58" s="3" customFormat="1" ht="15" customHeight="1" x14ac:dyDescent="0.25">
      <c r="A21" s="10">
        <f t="shared" si="13"/>
        <v>19</v>
      </c>
      <c r="B21" s="11">
        <v>2410</v>
      </c>
      <c r="C21" s="11" t="s">
        <v>149</v>
      </c>
      <c r="D21" s="14" t="s">
        <v>150</v>
      </c>
      <c r="E21" s="12" t="s">
        <v>151</v>
      </c>
      <c r="F21" s="13">
        <v>45444</v>
      </c>
      <c r="G21" s="13">
        <v>45808</v>
      </c>
      <c r="H21" s="10"/>
      <c r="I21" s="17" t="s">
        <v>97</v>
      </c>
      <c r="J21" s="18">
        <v>800</v>
      </c>
      <c r="K21" s="18">
        <v>1704</v>
      </c>
      <c r="L21" s="18">
        <v>1440</v>
      </c>
      <c r="M21" s="18">
        <v>785.22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630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519.1</v>
      </c>
      <c r="Z21" s="18">
        <v>0</v>
      </c>
      <c r="AA21" s="21">
        <f t="shared" si="14"/>
        <v>5878.3200000000006</v>
      </c>
      <c r="AB21" s="22">
        <v>7384</v>
      </c>
      <c r="AC21" s="23">
        <v>590.72</v>
      </c>
      <c r="AD21" s="23">
        <v>147.68</v>
      </c>
      <c r="AE21" s="23">
        <v>36.92</v>
      </c>
      <c r="AF21" s="22">
        <v>4906</v>
      </c>
      <c r="AG21" s="22">
        <f t="shared" si="0"/>
        <v>343</v>
      </c>
      <c r="AH21" s="21">
        <f t="shared" si="1"/>
        <v>1118.3200000000002</v>
      </c>
      <c r="AI21" s="25"/>
      <c r="AJ21" s="25"/>
      <c r="AK21" s="25"/>
      <c r="AL21" s="21">
        <f t="shared" si="2"/>
        <v>4760</v>
      </c>
      <c r="AM21" s="22">
        <v>7384</v>
      </c>
      <c r="AN21" s="22">
        <v>4906</v>
      </c>
      <c r="AO21" s="22">
        <f t="shared" si="3"/>
        <v>1181.44</v>
      </c>
      <c r="AP21" s="22">
        <f t="shared" si="15"/>
        <v>664.56</v>
      </c>
      <c r="AQ21" s="22">
        <f t="shared" si="4"/>
        <v>36.92</v>
      </c>
      <c r="AR21" s="22">
        <f t="shared" si="5"/>
        <v>18.899999999999999</v>
      </c>
      <c r="AS21" s="22"/>
      <c r="AT21" s="22">
        <f t="shared" si="6"/>
        <v>343</v>
      </c>
      <c r="AU21" s="22">
        <f t="shared" si="7"/>
        <v>110.76</v>
      </c>
      <c r="AV21" s="21">
        <f t="shared" si="8"/>
        <v>2355.5800000000004</v>
      </c>
      <c r="AW21" s="21"/>
      <c r="AX21" s="21">
        <f t="shared" si="9"/>
        <v>8233.9000000000015</v>
      </c>
      <c r="AY21" s="21"/>
      <c r="AZ21" s="32"/>
      <c r="BA21" s="36"/>
      <c r="BB21" s="21">
        <v>255</v>
      </c>
      <c r="BC21" s="34">
        <f t="shared" ref="BC21:BC30" si="16">ROUND(AX21+BB21+AZ21,2)</f>
        <v>8488.9</v>
      </c>
      <c r="BD21" s="21">
        <f t="shared" si="11"/>
        <v>509.33</v>
      </c>
      <c r="BE21" s="21">
        <f t="shared" si="12"/>
        <v>8998.23</v>
      </c>
      <c r="BF21" s="35"/>
    </row>
    <row r="22" spans="1:58" s="3" customFormat="1" ht="15" customHeight="1" x14ac:dyDescent="0.25">
      <c r="A22" s="10">
        <f t="shared" si="13"/>
        <v>20</v>
      </c>
      <c r="B22" s="11">
        <v>2410</v>
      </c>
      <c r="C22" s="11" t="s">
        <v>152</v>
      </c>
      <c r="D22" s="14" t="s">
        <v>153</v>
      </c>
      <c r="E22" s="12" t="s">
        <v>154</v>
      </c>
      <c r="F22" s="13">
        <v>45444</v>
      </c>
      <c r="G22" s="13">
        <v>45808</v>
      </c>
      <c r="H22" s="10"/>
      <c r="I22" s="17" t="s">
        <v>97</v>
      </c>
      <c r="J22" s="18">
        <v>1030</v>
      </c>
      <c r="K22" s="18">
        <v>2190</v>
      </c>
      <c r="L22" s="18">
        <v>5420</v>
      </c>
      <c r="M22" s="18">
        <v>961.5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630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21">
        <f t="shared" si="14"/>
        <v>10231.5</v>
      </c>
      <c r="AB22" s="22">
        <v>7759</v>
      </c>
      <c r="AC22" s="23">
        <v>620.72</v>
      </c>
      <c r="AD22" s="23">
        <v>155.18</v>
      </c>
      <c r="AE22" s="23">
        <v>38.799999999999997</v>
      </c>
      <c r="AF22" s="22">
        <v>7759</v>
      </c>
      <c r="AG22" s="22">
        <f t="shared" ref="AG22:AG30" si="17">ROUND(AF22*7%,0)</f>
        <v>543</v>
      </c>
      <c r="AH22" s="21">
        <f t="shared" si="1"/>
        <v>1357.7</v>
      </c>
      <c r="AI22" s="25"/>
      <c r="AJ22" s="25"/>
      <c r="AK22" s="25"/>
      <c r="AL22" s="21">
        <f t="shared" si="2"/>
        <v>8873.7999999999993</v>
      </c>
      <c r="AM22" s="22">
        <v>7759</v>
      </c>
      <c r="AN22" s="22">
        <v>7759</v>
      </c>
      <c r="AO22" s="22">
        <f t="shared" ref="AO22:AO27" si="18">ROUND(AM22*16%,2)</f>
        <v>1241.44</v>
      </c>
      <c r="AP22" s="22">
        <v>698.32</v>
      </c>
      <c r="AQ22" s="22">
        <f t="shared" si="4"/>
        <v>38.799999999999997</v>
      </c>
      <c r="AR22" s="22">
        <f t="shared" si="5"/>
        <v>19.86</v>
      </c>
      <c r="AS22" s="22"/>
      <c r="AT22" s="22">
        <f t="shared" si="6"/>
        <v>543</v>
      </c>
      <c r="AU22" s="22">
        <f t="shared" si="7"/>
        <v>116.39</v>
      </c>
      <c r="AV22" s="21">
        <f t="shared" si="8"/>
        <v>2657.81</v>
      </c>
      <c r="AW22" s="21"/>
      <c r="AX22" s="21">
        <f t="shared" si="9"/>
        <v>12889.31</v>
      </c>
      <c r="AY22" s="21"/>
      <c r="AZ22" s="32"/>
      <c r="BA22" s="36"/>
      <c r="BB22" s="21">
        <v>255</v>
      </c>
      <c r="BC22" s="34">
        <f t="shared" ref="BC22:BC27" si="19">ROUND(AX22+BB22+AZ22,2)</f>
        <v>13144.31</v>
      </c>
      <c r="BD22" s="21">
        <f t="shared" si="11"/>
        <v>788.66</v>
      </c>
      <c r="BE22" s="21">
        <f t="shared" si="12"/>
        <v>13932.97</v>
      </c>
      <c r="BF22" s="35"/>
    </row>
    <row r="23" spans="1:58" s="3" customFormat="1" ht="15" customHeight="1" x14ac:dyDescent="0.25">
      <c r="A23" s="10">
        <f t="shared" si="13"/>
        <v>21</v>
      </c>
      <c r="B23" s="11">
        <v>2410</v>
      </c>
      <c r="C23" s="11" t="s">
        <v>155</v>
      </c>
      <c r="D23" s="14" t="s">
        <v>156</v>
      </c>
      <c r="E23" s="12" t="s">
        <v>157</v>
      </c>
      <c r="F23" s="13">
        <v>45444</v>
      </c>
      <c r="G23" s="13">
        <v>45808</v>
      </c>
      <c r="H23" s="10"/>
      <c r="I23" s="17" t="s">
        <v>97</v>
      </c>
      <c r="J23" s="18">
        <v>1030</v>
      </c>
      <c r="K23" s="18">
        <v>2847</v>
      </c>
      <c r="L23" s="18">
        <v>4128</v>
      </c>
      <c r="M23" s="18">
        <v>1826.7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630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21">
        <f t="shared" si="14"/>
        <v>10461.700000000001</v>
      </c>
      <c r="AB23" s="22">
        <v>10043</v>
      </c>
      <c r="AC23" s="23">
        <v>803.44</v>
      </c>
      <c r="AD23" s="23">
        <v>200.86</v>
      </c>
      <c r="AE23" s="23">
        <v>50.22</v>
      </c>
      <c r="AF23" s="22">
        <v>10043</v>
      </c>
      <c r="AG23" s="22">
        <f t="shared" si="17"/>
        <v>703</v>
      </c>
      <c r="AH23" s="21">
        <f t="shared" si="1"/>
        <v>1757.52</v>
      </c>
      <c r="AI23" s="25"/>
      <c r="AJ23" s="25"/>
      <c r="AK23" s="25"/>
      <c r="AL23" s="21">
        <f t="shared" si="2"/>
        <v>8704.18</v>
      </c>
      <c r="AM23" s="22">
        <v>10043</v>
      </c>
      <c r="AN23" s="22">
        <v>10043</v>
      </c>
      <c r="AO23" s="22">
        <f t="shared" si="18"/>
        <v>1606.88</v>
      </c>
      <c r="AP23" s="22">
        <v>903.88</v>
      </c>
      <c r="AQ23" s="22">
        <f t="shared" si="4"/>
        <v>50.22</v>
      </c>
      <c r="AR23" s="22">
        <f t="shared" si="5"/>
        <v>25.71</v>
      </c>
      <c r="AS23" s="22"/>
      <c r="AT23" s="22">
        <f t="shared" si="6"/>
        <v>703</v>
      </c>
      <c r="AU23" s="22">
        <f t="shared" si="7"/>
        <v>150.65</v>
      </c>
      <c r="AV23" s="21">
        <f t="shared" si="8"/>
        <v>3440.34</v>
      </c>
      <c r="AW23" s="21"/>
      <c r="AX23" s="21">
        <f t="shared" si="9"/>
        <v>13902.04</v>
      </c>
      <c r="AY23" s="21"/>
      <c r="AZ23" s="32"/>
      <c r="BA23" s="36"/>
      <c r="BB23" s="21">
        <v>255</v>
      </c>
      <c r="BC23" s="34">
        <f t="shared" si="19"/>
        <v>14157.04</v>
      </c>
      <c r="BD23" s="21">
        <f t="shared" si="11"/>
        <v>849.42</v>
      </c>
      <c r="BE23" s="21">
        <f t="shared" si="12"/>
        <v>15006.46</v>
      </c>
      <c r="BF23" s="35"/>
    </row>
    <row r="24" spans="1:58" s="3" customFormat="1" ht="15" customHeight="1" x14ac:dyDescent="0.25">
      <c r="A24" s="10">
        <f t="shared" si="13"/>
        <v>22</v>
      </c>
      <c r="B24" s="11">
        <v>2410</v>
      </c>
      <c r="C24" s="11" t="s">
        <v>158</v>
      </c>
      <c r="D24" s="14" t="s">
        <v>159</v>
      </c>
      <c r="E24" s="12" t="s">
        <v>160</v>
      </c>
      <c r="F24" s="13">
        <v>45444</v>
      </c>
      <c r="G24" s="13">
        <v>45808</v>
      </c>
      <c r="H24" s="10"/>
      <c r="I24" s="17" t="s">
        <v>97</v>
      </c>
      <c r="J24" s="18">
        <v>1300</v>
      </c>
      <c r="K24" s="18">
        <v>5548</v>
      </c>
      <c r="L24" s="18">
        <v>3380</v>
      </c>
      <c r="M24" s="18">
        <v>596.94000000000005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630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21">
        <f t="shared" si="14"/>
        <v>11454.94</v>
      </c>
      <c r="AB24" s="22">
        <v>12136</v>
      </c>
      <c r="AC24" s="23">
        <v>970.88</v>
      </c>
      <c r="AD24" s="23">
        <v>242.72</v>
      </c>
      <c r="AE24" s="23">
        <v>60.68</v>
      </c>
      <c r="AF24" s="22">
        <v>12136</v>
      </c>
      <c r="AG24" s="22">
        <f t="shared" si="17"/>
        <v>850</v>
      </c>
      <c r="AH24" s="21">
        <f t="shared" si="1"/>
        <v>2124.2799999999997</v>
      </c>
      <c r="AI24" s="25"/>
      <c r="AJ24" s="25"/>
      <c r="AK24" s="25"/>
      <c r="AL24" s="21">
        <f t="shared" si="2"/>
        <v>9330.66</v>
      </c>
      <c r="AM24" s="22">
        <v>12136</v>
      </c>
      <c r="AN24" s="22">
        <v>12136</v>
      </c>
      <c r="AO24" s="22">
        <f t="shared" si="18"/>
        <v>1941.76</v>
      </c>
      <c r="AP24" s="22">
        <f t="shared" si="15"/>
        <v>1092.24</v>
      </c>
      <c r="AQ24" s="22">
        <f t="shared" si="4"/>
        <v>60.68</v>
      </c>
      <c r="AR24" s="22">
        <f t="shared" si="5"/>
        <v>31.07</v>
      </c>
      <c r="AS24" s="22"/>
      <c r="AT24" s="22">
        <f t="shared" si="6"/>
        <v>850</v>
      </c>
      <c r="AU24" s="22">
        <f t="shared" si="7"/>
        <v>182.04</v>
      </c>
      <c r="AV24" s="21">
        <f t="shared" si="8"/>
        <v>4157.79</v>
      </c>
      <c r="AW24" s="21"/>
      <c r="AX24" s="21">
        <f t="shared" si="9"/>
        <v>15612.73</v>
      </c>
      <c r="AY24" s="21"/>
      <c r="AZ24" s="32"/>
      <c r="BA24" s="36"/>
      <c r="BB24" s="21">
        <v>255</v>
      </c>
      <c r="BC24" s="34">
        <f t="shared" si="19"/>
        <v>15867.73</v>
      </c>
      <c r="BD24" s="21">
        <f t="shared" si="11"/>
        <v>952.06</v>
      </c>
      <c r="BE24" s="21">
        <f t="shared" si="12"/>
        <v>16819.79</v>
      </c>
      <c r="BF24" s="35"/>
    </row>
    <row r="25" spans="1:58" s="3" customFormat="1" ht="15" customHeight="1" x14ac:dyDescent="0.25">
      <c r="A25" s="10">
        <f t="shared" si="13"/>
        <v>23</v>
      </c>
      <c r="B25" s="11">
        <v>2410</v>
      </c>
      <c r="C25" s="11" t="s">
        <v>161</v>
      </c>
      <c r="D25" s="14" t="s">
        <v>162</v>
      </c>
      <c r="E25" s="12" t="s">
        <v>163</v>
      </c>
      <c r="F25" s="13">
        <v>45444</v>
      </c>
      <c r="G25" s="13">
        <v>45808</v>
      </c>
      <c r="H25" s="10"/>
      <c r="I25" s="17" t="s">
        <v>97</v>
      </c>
      <c r="J25" s="18">
        <v>1200</v>
      </c>
      <c r="K25" s="18">
        <v>3883.6</v>
      </c>
      <c r="L25" s="18">
        <v>2256</v>
      </c>
      <c r="M25" s="18">
        <v>753.18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630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21">
        <f t="shared" si="14"/>
        <v>8722.7800000000007</v>
      </c>
      <c r="AB25" s="22">
        <v>9608</v>
      </c>
      <c r="AC25" s="23">
        <v>768.64</v>
      </c>
      <c r="AD25" s="23">
        <v>192.16</v>
      </c>
      <c r="AE25" s="23">
        <v>48.04</v>
      </c>
      <c r="AF25" s="22">
        <v>9608</v>
      </c>
      <c r="AG25" s="22">
        <f t="shared" si="17"/>
        <v>673</v>
      </c>
      <c r="AH25" s="21">
        <f t="shared" si="1"/>
        <v>1681.84</v>
      </c>
      <c r="AI25" s="25"/>
      <c r="AJ25" s="25"/>
      <c r="AK25" s="25"/>
      <c r="AL25" s="21">
        <f t="shared" si="2"/>
        <v>7040.9400000000005</v>
      </c>
      <c r="AM25" s="22">
        <v>9608</v>
      </c>
      <c r="AN25" s="22">
        <v>9608</v>
      </c>
      <c r="AO25" s="22">
        <f t="shared" si="18"/>
        <v>1537.28</v>
      </c>
      <c r="AP25" s="22">
        <f t="shared" si="15"/>
        <v>864.72</v>
      </c>
      <c r="AQ25" s="22">
        <f t="shared" si="4"/>
        <v>48.04</v>
      </c>
      <c r="AR25" s="22">
        <f t="shared" si="5"/>
        <v>24.6</v>
      </c>
      <c r="AS25" s="22"/>
      <c r="AT25" s="22">
        <f t="shared" si="6"/>
        <v>673</v>
      </c>
      <c r="AU25" s="22">
        <f t="shared" si="7"/>
        <v>144.12</v>
      </c>
      <c r="AV25" s="21">
        <f t="shared" si="8"/>
        <v>3291.7599999999998</v>
      </c>
      <c r="AW25" s="21"/>
      <c r="AX25" s="21">
        <f t="shared" si="9"/>
        <v>12014.54</v>
      </c>
      <c r="AY25" s="21"/>
      <c r="AZ25" s="32"/>
      <c r="BA25" s="36"/>
      <c r="BB25" s="21">
        <v>255</v>
      </c>
      <c r="BC25" s="34">
        <f t="shared" si="19"/>
        <v>12269.54</v>
      </c>
      <c r="BD25" s="21">
        <f t="shared" si="11"/>
        <v>736.17</v>
      </c>
      <c r="BE25" s="21">
        <f t="shared" si="12"/>
        <v>13005.71</v>
      </c>
      <c r="BF25" s="35"/>
    </row>
    <row r="26" spans="1:58" s="3" customFormat="1" ht="15" customHeight="1" x14ac:dyDescent="0.25">
      <c r="A26" s="10">
        <f t="shared" si="13"/>
        <v>24</v>
      </c>
      <c r="B26" s="11">
        <v>2410</v>
      </c>
      <c r="C26" s="11" t="s">
        <v>164</v>
      </c>
      <c r="D26" s="14" t="s">
        <v>165</v>
      </c>
      <c r="E26" s="12" t="s">
        <v>166</v>
      </c>
      <c r="F26" s="13">
        <v>45444</v>
      </c>
      <c r="G26" s="13">
        <v>45808</v>
      </c>
      <c r="H26" s="10"/>
      <c r="I26" s="17" t="s">
        <v>97</v>
      </c>
      <c r="J26" s="18">
        <v>1030</v>
      </c>
      <c r="K26" s="18">
        <v>1800</v>
      </c>
      <c r="L26" s="18">
        <v>2232</v>
      </c>
      <c r="M26" s="18">
        <v>1033.8599999999999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630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21">
        <f t="shared" si="14"/>
        <v>6725.86</v>
      </c>
      <c r="AB26" s="22">
        <v>7974</v>
      </c>
      <c r="AC26" s="23">
        <v>637.91999999999996</v>
      </c>
      <c r="AD26" s="23">
        <v>159.47999999999999</v>
      </c>
      <c r="AE26" s="23">
        <v>39.869999999999997</v>
      </c>
      <c r="AF26" s="22">
        <v>7974</v>
      </c>
      <c r="AG26" s="22">
        <f t="shared" si="17"/>
        <v>558</v>
      </c>
      <c r="AH26" s="21">
        <f t="shared" si="1"/>
        <v>1395.27</v>
      </c>
      <c r="AI26" s="25"/>
      <c r="AJ26" s="25"/>
      <c r="AK26" s="25"/>
      <c r="AL26" s="21">
        <f t="shared" si="2"/>
        <v>5330.59</v>
      </c>
      <c r="AM26" s="22">
        <v>7974</v>
      </c>
      <c r="AN26" s="22">
        <v>7974</v>
      </c>
      <c r="AO26" s="22">
        <f t="shared" si="18"/>
        <v>1275.8399999999999</v>
      </c>
      <c r="AP26" s="22">
        <f t="shared" si="15"/>
        <v>717.66</v>
      </c>
      <c r="AQ26" s="22">
        <f t="shared" si="4"/>
        <v>39.869999999999997</v>
      </c>
      <c r="AR26" s="22">
        <f t="shared" si="5"/>
        <v>20.41</v>
      </c>
      <c r="AS26" s="22"/>
      <c r="AT26" s="22">
        <f t="shared" si="6"/>
        <v>558</v>
      </c>
      <c r="AU26" s="22">
        <f t="shared" si="7"/>
        <v>119.61</v>
      </c>
      <c r="AV26" s="21">
        <f t="shared" si="8"/>
        <v>2731.39</v>
      </c>
      <c r="AW26" s="21"/>
      <c r="AX26" s="21">
        <f t="shared" si="9"/>
        <v>9457.25</v>
      </c>
      <c r="AY26" s="21"/>
      <c r="AZ26" s="32"/>
      <c r="BA26" s="36"/>
      <c r="BB26" s="21">
        <v>255</v>
      </c>
      <c r="BC26" s="34">
        <f t="shared" si="19"/>
        <v>9712.25</v>
      </c>
      <c r="BD26" s="21">
        <f t="shared" si="11"/>
        <v>582.74</v>
      </c>
      <c r="BE26" s="21">
        <f t="shared" si="12"/>
        <v>10294.99</v>
      </c>
      <c r="BF26" s="35"/>
    </row>
    <row r="27" spans="1:58" s="3" customFormat="1" ht="15" customHeight="1" x14ac:dyDescent="0.25">
      <c r="A27" s="10">
        <f t="shared" si="13"/>
        <v>25</v>
      </c>
      <c r="B27" s="11">
        <v>2410</v>
      </c>
      <c r="C27" s="11" t="s">
        <v>167</v>
      </c>
      <c r="D27" s="14" t="s">
        <v>168</v>
      </c>
      <c r="E27" s="12" t="s">
        <v>169</v>
      </c>
      <c r="F27" s="13">
        <v>45444</v>
      </c>
      <c r="G27" s="13">
        <v>45808</v>
      </c>
      <c r="H27" s="10"/>
      <c r="I27" s="17" t="s">
        <v>97</v>
      </c>
      <c r="J27" s="18">
        <v>1030</v>
      </c>
      <c r="K27" s="18">
        <v>2652</v>
      </c>
      <c r="L27" s="18">
        <v>1835</v>
      </c>
      <c r="M27" s="18">
        <v>785.16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630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21">
        <f t="shared" si="14"/>
        <v>6932.16</v>
      </c>
      <c r="AB27" s="22">
        <v>7384</v>
      </c>
      <c r="AC27" s="23">
        <v>590.72</v>
      </c>
      <c r="AD27" s="23">
        <v>147.68</v>
      </c>
      <c r="AE27" s="23">
        <v>36.92</v>
      </c>
      <c r="AF27" s="22">
        <v>7139</v>
      </c>
      <c r="AG27" s="22">
        <f t="shared" si="17"/>
        <v>500</v>
      </c>
      <c r="AH27" s="21">
        <f t="shared" si="1"/>
        <v>1275.3200000000002</v>
      </c>
      <c r="AI27" s="25"/>
      <c r="AJ27" s="25"/>
      <c r="AK27" s="25"/>
      <c r="AL27" s="21">
        <f t="shared" si="2"/>
        <v>5656.84</v>
      </c>
      <c r="AM27" s="22">
        <v>7384</v>
      </c>
      <c r="AN27" s="22">
        <v>7139</v>
      </c>
      <c r="AO27" s="22">
        <f t="shared" si="18"/>
        <v>1181.44</v>
      </c>
      <c r="AP27" s="22">
        <f t="shared" si="15"/>
        <v>664.56</v>
      </c>
      <c r="AQ27" s="22">
        <f t="shared" si="4"/>
        <v>36.92</v>
      </c>
      <c r="AR27" s="22">
        <f t="shared" si="5"/>
        <v>18.899999999999999</v>
      </c>
      <c r="AS27" s="22"/>
      <c r="AT27" s="22">
        <f t="shared" si="6"/>
        <v>500</v>
      </c>
      <c r="AU27" s="22">
        <f t="shared" si="7"/>
        <v>110.76</v>
      </c>
      <c r="AV27" s="21">
        <f t="shared" si="8"/>
        <v>2512.5800000000004</v>
      </c>
      <c r="AW27" s="21"/>
      <c r="AX27" s="21">
        <f t="shared" si="9"/>
        <v>9444.74</v>
      </c>
      <c r="AY27" s="21"/>
      <c r="AZ27" s="32"/>
      <c r="BA27" s="36"/>
      <c r="BB27" s="21">
        <v>255</v>
      </c>
      <c r="BC27" s="34">
        <f t="shared" si="19"/>
        <v>9699.74</v>
      </c>
      <c r="BD27" s="21">
        <f t="shared" si="11"/>
        <v>581.98</v>
      </c>
      <c r="BE27" s="21">
        <f t="shared" si="12"/>
        <v>10281.719999999999</v>
      </c>
      <c r="BF27" s="35"/>
    </row>
    <row r="28" spans="1:58" s="3" customFormat="1" ht="15" customHeight="1" x14ac:dyDescent="0.25">
      <c r="A28" s="10">
        <f t="shared" si="13"/>
        <v>26</v>
      </c>
      <c r="B28" s="11">
        <v>2410</v>
      </c>
      <c r="C28" s="11" t="s">
        <v>170</v>
      </c>
      <c r="D28" s="14" t="s">
        <v>171</v>
      </c>
      <c r="E28" s="12" t="s">
        <v>172</v>
      </c>
      <c r="F28" s="13">
        <v>45444</v>
      </c>
      <c r="G28" s="13">
        <v>45808</v>
      </c>
      <c r="H28" s="10"/>
      <c r="I28" s="17" t="s">
        <v>97</v>
      </c>
      <c r="J28" s="18">
        <v>1030</v>
      </c>
      <c r="K28" s="18">
        <v>1260</v>
      </c>
      <c r="L28" s="18">
        <v>70</v>
      </c>
      <c r="M28" s="18">
        <v>251.76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630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99">
        <f>2162.69</f>
        <v>2162.69</v>
      </c>
      <c r="Z28" s="18">
        <v>0</v>
      </c>
      <c r="AA28" s="21">
        <f t="shared" si="14"/>
        <v>5404.4500000000007</v>
      </c>
      <c r="AB28" s="22">
        <v>11909</v>
      </c>
      <c r="AC28" s="23">
        <v>952.72</v>
      </c>
      <c r="AD28" s="23">
        <v>238.18</v>
      </c>
      <c r="AE28" s="23">
        <v>59.55</v>
      </c>
      <c r="AF28" s="22">
        <v>11909</v>
      </c>
      <c r="AG28" s="22">
        <f t="shared" si="17"/>
        <v>834</v>
      </c>
      <c r="AH28" s="21">
        <f t="shared" si="1"/>
        <v>2084.4499999999998</v>
      </c>
      <c r="AI28" s="25"/>
      <c r="AJ28" s="25"/>
      <c r="AK28" s="25"/>
      <c r="AL28" s="21">
        <f>AA28-AH28-AI28</f>
        <v>3320.0000000000009</v>
      </c>
      <c r="AM28" s="22">
        <v>11909</v>
      </c>
      <c r="AN28" s="22">
        <v>11909</v>
      </c>
      <c r="AO28" s="22">
        <f t="shared" ref="AO28:AO30" si="20">ROUND(AM28*16%,2)</f>
        <v>1905.44</v>
      </c>
      <c r="AP28" s="22">
        <v>1071.82</v>
      </c>
      <c r="AQ28" s="22">
        <f t="shared" si="4"/>
        <v>59.55</v>
      </c>
      <c r="AR28" s="22">
        <f t="shared" si="5"/>
        <v>30.49</v>
      </c>
      <c r="AS28" s="22"/>
      <c r="AT28" s="22">
        <f t="shared" si="6"/>
        <v>834</v>
      </c>
      <c r="AU28" s="22">
        <f t="shared" si="7"/>
        <v>178.64</v>
      </c>
      <c r="AV28" s="21">
        <f t="shared" si="8"/>
        <v>4079.94</v>
      </c>
      <c r="AW28" s="21"/>
      <c r="AX28" s="21">
        <f t="shared" si="9"/>
        <v>9484.3900000000012</v>
      </c>
      <c r="AY28" s="21"/>
      <c r="AZ28" s="32">
        <f>-Y28</f>
        <v>-2162.69</v>
      </c>
      <c r="BA28" s="36" t="s">
        <v>328</v>
      </c>
      <c r="BB28" s="21">
        <v>255</v>
      </c>
      <c r="BC28" s="34">
        <f t="shared" ref="BC28:BC29" si="21">ROUND(AX28+BB28+AZ28,2)</f>
        <v>7576.7</v>
      </c>
      <c r="BD28" s="21">
        <f t="shared" si="11"/>
        <v>454.6</v>
      </c>
      <c r="BE28" s="21">
        <f t="shared" si="12"/>
        <v>8031.3</v>
      </c>
      <c r="BF28" s="35"/>
    </row>
    <row r="29" spans="1:58" s="3" customFormat="1" ht="15" customHeight="1" x14ac:dyDescent="0.25">
      <c r="A29" s="10">
        <f t="shared" si="13"/>
        <v>27</v>
      </c>
      <c r="B29" s="11">
        <v>2410</v>
      </c>
      <c r="C29" s="11" t="s">
        <v>173</v>
      </c>
      <c r="D29" s="14" t="s">
        <v>174</v>
      </c>
      <c r="E29" s="12" t="s">
        <v>175</v>
      </c>
      <c r="F29" s="13">
        <v>45444</v>
      </c>
      <c r="G29" s="13">
        <v>45808</v>
      </c>
      <c r="H29" s="10"/>
      <c r="I29" s="17" t="s">
        <v>97</v>
      </c>
      <c r="J29" s="18">
        <v>1200</v>
      </c>
      <c r="K29" s="18">
        <v>2912</v>
      </c>
      <c r="L29" s="18">
        <v>1040</v>
      </c>
      <c r="M29" s="18">
        <v>526.08000000000004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630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21">
        <f t="shared" si="14"/>
        <v>6308.08</v>
      </c>
      <c r="AB29" s="22">
        <v>14537</v>
      </c>
      <c r="AC29" s="23">
        <v>1162.96</v>
      </c>
      <c r="AD29" s="23">
        <v>290.74</v>
      </c>
      <c r="AE29" s="23">
        <v>72.69</v>
      </c>
      <c r="AF29" s="22">
        <v>14537</v>
      </c>
      <c r="AG29" s="22">
        <f t="shared" si="17"/>
        <v>1018</v>
      </c>
      <c r="AH29" s="21">
        <f t="shared" si="1"/>
        <v>2544.3900000000003</v>
      </c>
      <c r="AI29" s="25"/>
      <c r="AJ29" s="25"/>
      <c r="AK29" s="25"/>
      <c r="AL29" s="21">
        <f>AA29-AH29-AI29</f>
        <v>3763.6899999999996</v>
      </c>
      <c r="AM29" s="22">
        <v>14537</v>
      </c>
      <c r="AN29" s="22">
        <v>14537</v>
      </c>
      <c r="AO29" s="22">
        <f t="shared" si="20"/>
        <v>2325.92</v>
      </c>
      <c r="AP29" s="22">
        <v>1308.3399999999999</v>
      </c>
      <c r="AQ29" s="22">
        <f t="shared" si="4"/>
        <v>72.69</v>
      </c>
      <c r="AR29" s="22">
        <f t="shared" si="5"/>
        <v>37.21</v>
      </c>
      <c r="AS29" s="22"/>
      <c r="AT29" s="22">
        <f t="shared" si="6"/>
        <v>1018</v>
      </c>
      <c r="AU29" s="22">
        <f t="shared" si="7"/>
        <v>218.06</v>
      </c>
      <c r="AV29" s="21">
        <f t="shared" si="8"/>
        <v>4980.22</v>
      </c>
      <c r="AW29" s="21"/>
      <c r="AX29" s="21">
        <f t="shared" si="9"/>
        <v>11288.3</v>
      </c>
      <c r="AY29" s="21"/>
      <c r="AZ29" s="32"/>
      <c r="BA29" s="36"/>
      <c r="BB29" s="21">
        <v>255</v>
      </c>
      <c r="BC29" s="34">
        <f t="shared" si="21"/>
        <v>11543.3</v>
      </c>
      <c r="BD29" s="21">
        <f t="shared" si="11"/>
        <v>692.6</v>
      </c>
      <c r="BE29" s="21">
        <f t="shared" si="12"/>
        <v>12235.9</v>
      </c>
      <c r="BF29" s="35"/>
    </row>
    <row r="30" spans="1:58" s="3" customFormat="1" ht="15" customHeight="1" x14ac:dyDescent="0.25">
      <c r="A30" s="10">
        <f t="shared" si="13"/>
        <v>28</v>
      </c>
      <c r="B30" s="11">
        <v>2410</v>
      </c>
      <c r="C30" s="11" t="s">
        <v>176</v>
      </c>
      <c r="D30" s="14" t="s">
        <v>177</v>
      </c>
      <c r="E30" s="12" t="s">
        <v>178</v>
      </c>
      <c r="F30" s="13">
        <v>45444</v>
      </c>
      <c r="G30" s="13">
        <v>45808</v>
      </c>
      <c r="H30" s="10"/>
      <c r="I30" s="17" t="s">
        <v>97</v>
      </c>
      <c r="J30" s="18">
        <v>800</v>
      </c>
      <c r="K30" s="18">
        <v>1902.6</v>
      </c>
      <c r="L30" s="18">
        <v>2580</v>
      </c>
      <c r="M30" s="18">
        <v>1493.76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630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21">
        <f t="shared" si="14"/>
        <v>7406.3600000000006</v>
      </c>
      <c r="AB30" s="22">
        <v>7384</v>
      </c>
      <c r="AC30" s="23">
        <v>590.72</v>
      </c>
      <c r="AD30" s="23">
        <v>147.68</v>
      </c>
      <c r="AE30" s="23">
        <v>36.92</v>
      </c>
      <c r="AF30" s="22">
        <v>5239</v>
      </c>
      <c r="AG30" s="22">
        <f t="shared" si="17"/>
        <v>367</v>
      </c>
      <c r="AH30" s="21">
        <f t="shared" si="1"/>
        <v>1142.3200000000002</v>
      </c>
      <c r="AI30" s="25"/>
      <c r="AJ30" s="25"/>
      <c r="AK30" s="25"/>
      <c r="AL30" s="21">
        <f>AA30-AH30-AI30</f>
        <v>6264.0400000000009</v>
      </c>
      <c r="AM30" s="22">
        <v>7384</v>
      </c>
      <c r="AN30" s="22">
        <v>5239</v>
      </c>
      <c r="AO30" s="22">
        <f t="shared" si="20"/>
        <v>1181.44</v>
      </c>
      <c r="AP30" s="22">
        <f t="shared" si="15"/>
        <v>664.56</v>
      </c>
      <c r="AQ30" s="22">
        <f t="shared" si="4"/>
        <v>36.92</v>
      </c>
      <c r="AR30" s="22">
        <f t="shared" si="5"/>
        <v>18.899999999999999</v>
      </c>
      <c r="AS30" s="22"/>
      <c r="AT30" s="22">
        <f t="shared" si="6"/>
        <v>367</v>
      </c>
      <c r="AU30" s="22">
        <f t="shared" si="7"/>
        <v>110.76</v>
      </c>
      <c r="AV30" s="21">
        <f t="shared" si="8"/>
        <v>2379.5800000000004</v>
      </c>
      <c r="AW30" s="21"/>
      <c r="AX30" s="21">
        <f t="shared" si="9"/>
        <v>9785.94</v>
      </c>
      <c r="AY30" s="21"/>
      <c r="AZ30" s="32"/>
      <c r="BA30" s="36"/>
      <c r="BB30" s="21">
        <v>255</v>
      </c>
      <c r="BC30" s="34">
        <f t="shared" si="16"/>
        <v>10040.94</v>
      </c>
      <c r="BD30" s="21">
        <f t="shared" si="11"/>
        <v>602.46</v>
      </c>
      <c r="BE30" s="21">
        <f t="shared" si="12"/>
        <v>10643.4</v>
      </c>
      <c r="BF30" s="35"/>
    </row>
    <row r="31" spans="1:58" ht="15" customHeight="1" x14ac:dyDescent="0.25">
      <c r="AC31" s="37"/>
      <c r="AD31" s="37"/>
      <c r="AE31" s="37"/>
      <c r="AF31" s="37"/>
      <c r="AG31" s="37"/>
      <c r="AO31" s="37"/>
      <c r="AP31" s="37"/>
      <c r="AQ31" s="37"/>
      <c r="AR31" s="37"/>
    </row>
    <row r="32" spans="1:58" x14ac:dyDescent="0.25">
      <c r="A32" s="4" t="s">
        <v>179</v>
      </c>
      <c r="AA32" s="24">
        <f>SUBTOTAL(9,AA3:AA30)</f>
        <v>226374.09000000003</v>
      </c>
      <c r="AC32" s="38"/>
      <c r="AD32" s="38"/>
      <c r="AE32" s="38"/>
      <c r="AF32" s="37"/>
      <c r="AG32" s="38"/>
      <c r="AH32" s="24">
        <f>SUBTOTAL(9,AH3:AH30)</f>
        <v>46020.419999999991</v>
      </c>
      <c r="AL32" s="24">
        <f>SUBTOTAL(9,AL3:AL30)</f>
        <v>180353.67</v>
      </c>
      <c r="AV32" s="24">
        <f>SUBTOTAL(9,AV3:AV30)</f>
        <v>90627.22</v>
      </c>
      <c r="AX32" s="24">
        <f>SUBTOTAL(9,AX3:AX30)</f>
        <v>317001.31</v>
      </c>
      <c r="AY32" s="24"/>
      <c r="AZ32" s="24">
        <f>SUBTOTAL(9,AZ3:AZ30)</f>
        <v>-2162.69</v>
      </c>
      <c r="BB32" s="24">
        <f>SUBTOTAL(9,BB3:BB30)</f>
        <v>6885</v>
      </c>
      <c r="BC32" s="88">
        <f>SUBTOTAL(9,BC3:BC30)</f>
        <v>321723.62</v>
      </c>
      <c r="BD32" s="24">
        <f>SUBTOTAL(9,BD3:BD30)</f>
        <v>19303.409999999993</v>
      </c>
      <c r="BE32" s="24">
        <f>SUBTOTAL(9,BE3:BE30)</f>
        <v>341027.03</v>
      </c>
    </row>
    <row r="35" spans="6:48" x14ac:dyDescent="0.25">
      <c r="F35" s="4" t="s">
        <v>180</v>
      </c>
      <c r="AH35" s="39"/>
    </row>
    <row r="36" spans="6:48" x14ac:dyDescent="0.25">
      <c r="AV36" s="39"/>
    </row>
  </sheetData>
  <autoFilter ref="A1:BF30" xr:uid="{00000000-0009-0000-0000-000000000000}"/>
  <mergeCells count="1">
    <mergeCell ref="N1:Z1"/>
  </mergeCells>
  <phoneticPr fontId="12" type="noConversion"/>
  <conditionalFormatting sqref="C1">
    <cfRule type="duplicateValues" dxfId="20" priority="77"/>
    <cfRule type="duplicateValues" dxfId="19" priority="78"/>
    <cfRule type="duplicateValues" dxfId="18" priority="79"/>
    <cfRule type="duplicateValues" dxfId="17" priority="80"/>
    <cfRule type="duplicateValues" dxfId="16" priority="81"/>
    <cfRule type="duplicateValues" dxfId="15" priority="82"/>
  </conditionalFormatting>
  <conditionalFormatting sqref="D1">
    <cfRule type="duplicateValues" dxfId="14" priority="104"/>
    <cfRule type="duplicateValues" dxfId="13" priority="105"/>
    <cfRule type="duplicateValues" dxfId="12" priority="106"/>
    <cfRule type="duplicateValues" dxfId="11" priority="107"/>
    <cfRule type="duplicateValues" dxfId="10" priority="108"/>
    <cfRule type="duplicateValues" dxfId="9" priority="109"/>
  </conditionalFormatting>
  <conditionalFormatting sqref="C2">
    <cfRule type="duplicateValues" dxfId="8" priority="74"/>
    <cfRule type="duplicateValues" dxfId="7" priority="75"/>
    <cfRule type="duplicateValues" dxfId="6" priority="76"/>
  </conditionalFormatting>
  <conditionalFormatting sqref="D2">
    <cfRule type="duplicateValues" dxfId="5" priority="101"/>
    <cfRule type="duplicateValues" dxfId="4" priority="102"/>
    <cfRule type="duplicateValues" dxfId="3" priority="103"/>
  </conditionalFormatting>
  <conditionalFormatting sqref="AB3:AB30 AC14:AH14">
    <cfRule type="cellIs" dxfId="2" priority="4" operator="lessThan">
      <formula>7384</formula>
    </cfRule>
  </conditionalFormatting>
  <conditionalFormatting sqref="AM3:AM30">
    <cfRule type="cellIs" dxfId="1" priority="2" operator="lessThan">
      <formula>7384</formula>
    </cfRule>
    <cfRule type="cellIs" dxfId="0" priority="3" operator="lessThan">
      <formula>7384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E43BE-9F33-4DDA-965B-FF65BDD5B142}">
  <dimension ref="A1:M17"/>
  <sheetViews>
    <sheetView workbookViewId="0">
      <selection activeCell="E22" sqref="E22"/>
    </sheetView>
  </sheetViews>
  <sheetFormatPr defaultRowHeight="13.8" x14ac:dyDescent="0.25"/>
  <cols>
    <col min="1" max="1" width="22.6640625" bestFit="1" customWidth="1"/>
    <col min="2" max="2" width="13.33203125" bestFit="1" customWidth="1"/>
    <col min="3" max="3" width="13.109375" bestFit="1" customWidth="1"/>
    <col min="4" max="4" width="19.33203125" bestFit="1" customWidth="1"/>
    <col min="5" max="5" width="30.44140625" bestFit="1" customWidth="1"/>
    <col min="6" max="6" width="25.44140625" bestFit="1" customWidth="1"/>
    <col min="7" max="7" width="18.21875" customWidth="1"/>
    <col min="8" max="8" width="13.44140625" customWidth="1"/>
    <col min="9" max="9" width="15.77734375" style="44" customWidth="1"/>
    <col min="10" max="13" width="8.88671875" style="44"/>
  </cols>
  <sheetData>
    <row r="1" spans="1:8" x14ac:dyDescent="0.25">
      <c r="A1" s="41" t="s">
        <v>182</v>
      </c>
      <c r="B1" s="42" t="s">
        <v>183</v>
      </c>
      <c r="C1" s="42" t="s">
        <v>184</v>
      </c>
      <c r="D1" s="42">
        <v>155</v>
      </c>
      <c r="E1" s="42" t="s">
        <v>185</v>
      </c>
      <c r="F1" s="42" t="s">
        <v>186</v>
      </c>
      <c r="G1" s="42" t="s">
        <v>179</v>
      </c>
      <c r="H1" s="43" t="s">
        <v>187</v>
      </c>
    </row>
    <row r="2" spans="1:8" x14ac:dyDescent="0.25">
      <c r="A2" s="41" t="s">
        <v>188</v>
      </c>
      <c r="B2" s="42">
        <f>'202410'!BD32</f>
        <v>19303.409999999993</v>
      </c>
      <c r="C2" s="45">
        <f>系统!E44</f>
        <v>21752.279999999995</v>
      </c>
      <c r="D2" s="42">
        <f>155*27+0.03</f>
        <v>4185.03</v>
      </c>
      <c r="E2" s="42"/>
      <c r="F2" s="42"/>
      <c r="G2" s="42">
        <f>SUM(C2:F2)</f>
        <v>25937.309999999994</v>
      </c>
      <c r="H2" s="46">
        <f t="shared" ref="H2:H10" si="0">B2-C2</f>
        <v>-2448.8700000000026</v>
      </c>
    </row>
    <row r="3" spans="1:8" x14ac:dyDescent="0.25">
      <c r="A3" s="41" t="s">
        <v>189</v>
      </c>
      <c r="B3" s="42">
        <f>'202410'!BB32</f>
        <v>6885</v>
      </c>
      <c r="C3" s="42">
        <v>0</v>
      </c>
      <c r="D3" s="42"/>
      <c r="E3" s="42"/>
      <c r="F3" s="42"/>
      <c r="G3" s="42">
        <f>SUM(C3:F3)</f>
        <v>0</v>
      </c>
      <c r="H3" s="46">
        <f t="shared" si="0"/>
        <v>6885</v>
      </c>
    </row>
    <row r="4" spans="1:8" x14ac:dyDescent="0.25">
      <c r="A4" s="41" t="s">
        <v>190</v>
      </c>
      <c r="B4" s="42">
        <f>'202410'!AH32</f>
        <v>46020.419999999991</v>
      </c>
      <c r="C4" s="42">
        <f>系统!V44</f>
        <v>46020.419999999991</v>
      </c>
      <c r="D4" s="42"/>
      <c r="E4" s="42"/>
      <c r="F4" s="42"/>
      <c r="G4" s="42">
        <f>SUM(C4:F4)</f>
        <v>46020.419999999991</v>
      </c>
      <c r="H4" s="46">
        <f t="shared" si="0"/>
        <v>0</v>
      </c>
    </row>
    <row r="5" spans="1:8" x14ac:dyDescent="0.25">
      <c r="A5" s="41" t="s">
        <v>191</v>
      </c>
      <c r="B5" s="42">
        <f>'202410'!AV32</f>
        <v>90627.22</v>
      </c>
      <c r="C5" s="42">
        <f>系统!O44</f>
        <v>90627.220000000016</v>
      </c>
      <c r="D5" s="42"/>
      <c r="E5" s="47"/>
      <c r="F5" s="42"/>
      <c r="G5" s="42">
        <f>SUM(C5:E5)</f>
        <v>90627.220000000016</v>
      </c>
      <c r="H5" s="46">
        <f t="shared" si="0"/>
        <v>0</v>
      </c>
    </row>
    <row r="6" spans="1:8" x14ac:dyDescent="0.25">
      <c r="A6" s="41" t="s">
        <v>33</v>
      </c>
      <c r="B6" s="42"/>
      <c r="C6" s="42"/>
      <c r="D6" s="42"/>
      <c r="E6" s="42"/>
      <c r="F6" s="42"/>
      <c r="G6" s="42">
        <f t="shared" ref="G6:G11" si="1">SUM(C6:F6)</f>
        <v>0</v>
      </c>
      <c r="H6" s="46">
        <f t="shared" si="0"/>
        <v>0</v>
      </c>
    </row>
    <row r="7" spans="1:8" x14ac:dyDescent="0.25">
      <c r="A7" s="41" t="s">
        <v>192</v>
      </c>
      <c r="B7" s="42">
        <f>'202410'!AL32</f>
        <v>180353.67</v>
      </c>
      <c r="C7" s="42">
        <f>系统!W44</f>
        <v>178190.97999999998</v>
      </c>
      <c r="D7" s="42"/>
      <c r="E7" s="42"/>
      <c r="F7" s="42"/>
      <c r="G7" s="42">
        <f t="shared" si="1"/>
        <v>178190.97999999998</v>
      </c>
      <c r="H7" s="46">
        <f t="shared" si="0"/>
        <v>2162.6900000000314</v>
      </c>
    </row>
    <row r="8" spans="1:8" x14ac:dyDescent="0.25">
      <c r="A8" s="41" t="s">
        <v>193</v>
      </c>
      <c r="B8" s="42"/>
      <c r="C8" s="42"/>
      <c r="D8" s="42"/>
      <c r="E8" s="48"/>
      <c r="F8" s="49"/>
      <c r="G8" s="42">
        <f t="shared" si="1"/>
        <v>0</v>
      </c>
      <c r="H8" s="46">
        <f t="shared" si="0"/>
        <v>0</v>
      </c>
    </row>
    <row r="9" spans="1:8" x14ac:dyDescent="0.25">
      <c r="A9" s="41" t="s">
        <v>194</v>
      </c>
      <c r="B9" s="42"/>
      <c r="C9" s="42"/>
      <c r="D9" s="42"/>
      <c r="E9" s="42"/>
      <c r="F9" s="49"/>
      <c r="G9" s="42">
        <f t="shared" si="1"/>
        <v>0</v>
      </c>
      <c r="H9" s="46">
        <f t="shared" si="0"/>
        <v>0</v>
      </c>
    </row>
    <row r="10" spans="1:8" x14ac:dyDescent="0.25">
      <c r="A10" s="41" t="s">
        <v>195</v>
      </c>
      <c r="B10" s="42"/>
      <c r="C10" s="42"/>
      <c r="D10" s="42"/>
      <c r="E10" s="42"/>
      <c r="F10" s="42"/>
      <c r="G10" s="42">
        <f t="shared" si="1"/>
        <v>0</v>
      </c>
      <c r="H10" s="46">
        <f t="shared" si="0"/>
        <v>0</v>
      </c>
    </row>
    <row r="11" spans="1:8" x14ac:dyDescent="0.25">
      <c r="A11" s="50" t="s">
        <v>196</v>
      </c>
      <c r="B11" s="51">
        <f>SUM(B2:B10)</f>
        <v>343189.72</v>
      </c>
      <c r="C11" s="51">
        <f>SUM(C2:C10)</f>
        <v>336590.89999999997</v>
      </c>
      <c r="D11" s="51">
        <f>SUM(D2:D10)</f>
        <v>4185.03</v>
      </c>
      <c r="E11" s="51">
        <f>SUM(E2:E10)</f>
        <v>0</v>
      </c>
      <c r="F11" s="51">
        <f>SUM(F2:F10)</f>
        <v>0</v>
      </c>
      <c r="G11" s="51">
        <f t="shared" si="1"/>
        <v>340775.93</v>
      </c>
    </row>
    <row r="12" spans="1:8" x14ac:dyDescent="0.25">
      <c r="A12" s="41" t="s">
        <v>197</v>
      </c>
      <c r="B12" s="42"/>
      <c r="C12" s="42"/>
      <c r="D12" s="42">
        <v>0</v>
      </c>
      <c r="E12" s="42"/>
      <c r="F12" s="42"/>
      <c r="G12" s="42"/>
    </row>
    <row r="13" spans="1:8" x14ac:dyDescent="0.25">
      <c r="A13" s="41" t="s">
        <v>41</v>
      </c>
      <c r="B13" s="42"/>
      <c r="C13" s="42"/>
      <c r="D13" s="42">
        <f t="shared" ref="D13:F13" si="2">ROUND((D11+D12)*6%,2)</f>
        <v>251.1</v>
      </c>
      <c r="E13" s="42">
        <f t="shared" si="2"/>
        <v>0</v>
      </c>
      <c r="F13" s="42">
        <f t="shared" si="2"/>
        <v>0</v>
      </c>
      <c r="G13" s="42">
        <f>SUM(C13:F13)</f>
        <v>251.1</v>
      </c>
    </row>
    <row r="14" spans="1:8" x14ac:dyDescent="0.25">
      <c r="A14" s="52" t="s">
        <v>42</v>
      </c>
      <c r="B14" s="53">
        <f t="shared" ref="B14:F14" si="3">SUM(B11:B13)</f>
        <v>343189.72</v>
      </c>
      <c r="C14" s="53">
        <f t="shared" si="3"/>
        <v>336590.89999999997</v>
      </c>
      <c r="D14" s="53">
        <f t="shared" si="3"/>
        <v>4436.13</v>
      </c>
      <c r="E14" s="53">
        <f t="shared" si="3"/>
        <v>0</v>
      </c>
      <c r="F14" s="53">
        <f t="shared" si="3"/>
        <v>0</v>
      </c>
      <c r="G14" s="53">
        <f>SUM(C14:F14)</f>
        <v>341027.02999999997</v>
      </c>
    </row>
    <row r="15" spans="1:8" x14ac:dyDescent="0.25">
      <c r="A15" s="52" t="s">
        <v>198</v>
      </c>
      <c r="B15" s="53"/>
      <c r="C15" s="53"/>
      <c r="D15" s="53"/>
      <c r="E15" s="53"/>
      <c r="F15" s="53"/>
      <c r="G15" s="53">
        <f>B14</f>
        <v>343189.72</v>
      </c>
    </row>
    <row r="16" spans="1:8" x14ac:dyDescent="0.25">
      <c r="A16" s="41" t="s">
        <v>199</v>
      </c>
      <c r="B16" s="42"/>
      <c r="C16" s="42"/>
      <c r="D16" s="42"/>
      <c r="E16" s="42"/>
      <c r="F16" s="42"/>
      <c r="G16" s="42">
        <f>G15-G14</f>
        <v>2162.6900000000023</v>
      </c>
    </row>
    <row r="17" spans="1:7" x14ac:dyDescent="0.25">
      <c r="A17" s="41" t="s">
        <v>200</v>
      </c>
      <c r="B17" s="42"/>
      <c r="C17" s="42"/>
      <c r="D17" s="42"/>
      <c r="E17" s="42"/>
      <c r="F17" s="42"/>
      <c r="G17" s="42">
        <f>ROUND(G16/1.06,2)</f>
        <v>2040.27</v>
      </c>
    </row>
  </sheetData>
  <phoneticPr fontId="12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F7F3D-4AE4-48D9-A0B9-6E9BBAF2409B}">
  <dimension ref="A1:AE85"/>
  <sheetViews>
    <sheetView topLeftCell="G1" workbookViewId="0">
      <selection activeCell="L48" sqref="L48"/>
    </sheetView>
  </sheetViews>
  <sheetFormatPr defaultRowHeight="13.8" x14ac:dyDescent="0.25"/>
  <cols>
    <col min="1" max="4" width="8.88671875" style="55"/>
    <col min="5" max="24" width="8.88671875" style="56"/>
    <col min="25" max="25" width="10.21875" style="56" bestFit="1" customWidth="1"/>
    <col min="26" max="27" width="8.88671875" style="55"/>
    <col min="28" max="28" width="15.77734375" style="55" customWidth="1"/>
    <col min="29" max="29" width="8.88671875" style="56"/>
    <col min="30" max="30" width="8.88671875" style="55"/>
    <col min="31" max="31" width="8.88671875" style="56"/>
    <col min="32" max="16384" width="8.88671875" style="55"/>
  </cols>
  <sheetData>
    <row r="1" spans="1:31" x14ac:dyDescent="0.25">
      <c r="A1" s="54" t="s">
        <v>201</v>
      </c>
    </row>
    <row r="2" spans="1:31" x14ac:dyDescent="0.25">
      <c r="A2" s="54" t="s">
        <v>202</v>
      </c>
    </row>
    <row r="3" spans="1:31" x14ac:dyDescent="0.25">
      <c r="B3" s="54" t="s">
        <v>203</v>
      </c>
    </row>
    <row r="6" spans="1:31" ht="20.399999999999999" x14ac:dyDescent="0.25">
      <c r="D6" s="57" t="s">
        <v>204</v>
      </c>
    </row>
    <row r="7" spans="1:31" ht="20.399999999999999" x14ac:dyDescent="0.25">
      <c r="C7" s="57" t="s">
        <v>205</v>
      </c>
    </row>
    <row r="9" spans="1:31" ht="20.399999999999999" x14ac:dyDescent="0.25">
      <c r="E9" s="58" t="s">
        <v>206</v>
      </c>
    </row>
    <row r="10" spans="1:31" ht="20.399999999999999" x14ac:dyDescent="0.25">
      <c r="E10" s="58" t="s">
        <v>207</v>
      </c>
    </row>
    <row r="11" spans="1:31" ht="15.6" x14ac:dyDescent="0.25">
      <c r="E11" s="59" t="s">
        <v>208</v>
      </c>
    </row>
    <row r="13" spans="1:31" s="61" customFormat="1" ht="13.2" x14ac:dyDescent="0.25">
      <c r="A13" s="60" t="s">
        <v>209</v>
      </c>
      <c r="E13" s="62"/>
      <c r="F13" s="62"/>
      <c r="G13" s="62"/>
      <c r="H13" s="62"/>
      <c r="I13" s="62"/>
      <c r="J13" s="63" t="s">
        <v>210</v>
      </c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AC13" s="62"/>
      <c r="AE13" s="62"/>
    </row>
    <row r="14" spans="1:31" s="64" customFormat="1" ht="60" customHeight="1" x14ac:dyDescent="0.15">
      <c r="A14" s="64" t="s">
        <v>0</v>
      </c>
      <c r="B14" s="64" t="s">
        <v>3</v>
      </c>
      <c r="C14" s="64" t="s">
        <v>211</v>
      </c>
      <c r="D14" s="64" t="s">
        <v>212</v>
      </c>
      <c r="E14" s="65" t="s">
        <v>188</v>
      </c>
      <c r="F14" s="65" t="s">
        <v>213</v>
      </c>
      <c r="G14" s="65" t="s">
        <v>214</v>
      </c>
      <c r="H14" s="94" t="s">
        <v>215</v>
      </c>
      <c r="I14" s="95"/>
      <c r="J14" s="95"/>
      <c r="K14" s="95"/>
      <c r="L14" s="95"/>
      <c r="M14" s="96"/>
      <c r="N14" s="66" t="s">
        <v>216</v>
      </c>
      <c r="O14" s="65" t="s">
        <v>217</v>
      </c>
      <c r="P14" s="94" t="s">
        <v>218</v>
      </c>
      <c r="Q14" s="95"/>
      <c r="R14" s="95"/>
      <c r="S14" s="95"/>
      <c r="T14" s="96"/>
      <c r="U14" s="66" t="s">
        <v>219</v>
      </c>
      <c r="V14" s="65" t="s">
        <v>220</v>
      </c>
      <c r="W14" s="65" t="s">
        <v>221</v>
      </c>
      <c r="X14" s="65" t="s">
        <v>222</v>
      </c>
      <c r="Y14" s="67" t="s">
        <v>42</v>
      </c>
      <c r="Z14" s="64" t="s">
        <v>223</v>
      </c>
      <c r="AA14" s="64" t="s">
        <v>224</v>
      </c>
      <c r="AB14" s="64" t="s">
        <v>225</v>
      </c>
      <c r="AC14" s="65" t="s">
        <v>226</v>
      </c>
      <c r="AD14" s="64" t="s">
        <v>227</v>
      </c>
      <c r="AE14" s="65" t="s">
        <v>41</v>
      </c>
    </row>
    <row r="15" spans="1:31" s="68" customFormat="1" ht="60" customHeight="1" x14ac:dyDescent="0.25">
      <c r="A15" s="68" t="s">
        <v>228</v>
      </c>
      <c r="B15" s="68" t="s">
        <v>46</v>
      </c>
      <c r="C15" s="68" t="s">
        <v>229</v>
      </c>
      <c r="D15" s="68" t="s">
        <v>230</v>
      </c>
      <c r="E15" s="69" t="s">
        <v>231</v>
      </c>
      <c r="F15" s="69" t="s">
        <v>232</v>
      </c>
      <c r="G15" s="69" t="s">
        <v>233</v>
      </c>
      <c r="H15" s="70" t="s">
        <v>234</v>
      </c>
      <c r="I15" s="70" t="s">
        <v>235</v>
      </c>
      <c r="J15" s="70" t="s">
        <v>236</v>
      </c>
      <c r="K15" s="70" t="s">
        <v>237</v>
      </c>
      <c r="L15" s="70" t="s">
        <v>238</v>
      </c>
      <c r="M15" s="70" t="s">
        <v>239</v>
      </c>
      <c r="N15" s="70" t="s">
        <v>240</v>
      </c>
      <c r="O15" s="69" t="s">
        <v>241</v>
      </c>
      <c r="P15" s="70" t="s">
        <v>234</v>
      </c>
      <c r="Q15" s="70" t="s">
        <v>235</v>
      </c>
      <c r="R15" s="70" t="s">
        <v>236</v>
      </c>
      <c r="S15" s="70" t="s">
        <v>237</v>
      </c>
      <c r="T15" s="70" t="s">
        <v>238</v>
      </c>
      <c r="U15" s="70" t="s">
        <v>240</v>
      </c>
      <c r="V15" s="69" t="s">
        <v>242</v>
      </c>
      <c r="W15" s="69" t="s">
        <v>243</v>
      </c>
      <c r="X15" s="69" t="s">
        <v>244</v>
      </c>
      <c r="Y15" s="71" t="s">
        <v>91</v>
      </c>
      <c r="Z15" s="68" t="s">
        <v>245</v>
      </c>
      <c r="AA15" s="68" t="s">
        <v>246</v>
      </c>
      <c r="AB15" s="68" t="s">
        <v>247</v>
      </c>
      <c r="AC15" s="69" t="s">
        <v>248</v>
      </c>
      <c r="AD15" s="68" t="s">
        <v>249</v>
      </c>
      <c r="AE15" s="69" t="s">
        <v>92</v>
      </c>
    </row>
    <row r="16" spans="1:31" s="72" customFormat="1" ht="11.4" x14ac:dyDescent="0.25">
      <c r="A16" s="72">
        <v>1</v>
      </c>
      <c r="B16" s="72" t="s">
        <v>156</v>
      </c>
      <c r="C16" s="72" t="s">
        <v>250</v>
      </c>
      <c r="D16" s="72" t="s">
        <v>251</v>
      </c>
      <c r="E16" s="73">
        <v>940.12</v>
      </c>
      <c r="F16" s="73">
        <v>10043</v>
      </c>
      <c r="G16" s="73">
        <v>10043</v>
      </c>
      <c r="H16" s="73">
        <v>1606.88</v>
      </c>
      <c r="I16" s="73">
        <v>903.88</v>
      </c>
      <c r="J16" s="73">
        <v>50.22</v>
      </c>
      <c r="K16" s="73">
        <v>25.71</v>
      </c>
      <c r="L16" s="73"/>
      <c r="M16" s="73">
        <v>150.65</v>
      </c>
      <c r="N16" s="73">
        <v>703</v>
      </c>
      <c r="O16" s="73">
        <f t="shared" ref="O16:O43" si="0">SUM(H16:N16)</f>
        <v>3440.34</v>
      </c>
      <c r="P16" s="73">
        <v>803.44</v>
      </c>
      <c r="Q16" s="73">
        <v>200.86</v>
      </c>
      <c r="R16" s="73">
        <v>50.22</v>
      </c>
      <c r="S16" s="73"/>
      <c r="T16" s="73"/>
      <c r="U16" s="73">
        <v>703</v>
      </c>
      <c r="V16" s="73">
        <f t="shared" ref="V16:V43" si="1">SUM(P16:U16)</f>
        <v>1757.52</v>
      </c>
      <c r="W16" s="73">
        <v>8704.18</v>
      </c>
      <c r="X16" s="73"/>
      <c r="Y16" s="74">
        <f t="shared" ref="Y16:Y42" si="2">SUM(E16,O16,V16:X16)</f>
        <v>14842.16</v>
      </c>
      <c r="AA16" s="72" t="s">
        <v>252</v>
      </c>
      <c r="AB16" s="72" t="s">
        <v>157</v>
      </c>
      <c r="AC16" s="75">
        <v>14002.05</v>
      </c>
      <c r="AD16" s="72" t="s">
        <v>253</v>
      </c>
      <c r="AE16" s="75">
        <v>840.11</v>
      </c>
    </row>
    <row r="17" spans="1:31" s="72" customFormat="1" ht="11.4" x14ac:dyDescent="0.25">
      <c r="A17" s="72">
        <v>2</v>
      </c>
      <c r="B17" s="72" t="s">
        <v>162</v>
      </c>
      <c r="C17" s="72" t="s">
        <v>250</v>
      </c>
      <c r="D17" s="72" t="s">
        <v>251</v>
      </c>
      <c r="E17" s="73">
        <v>826.88</v>
      </c>
      <c r="F17" s="73">
        <v>9608</v>
      </c>
      <c r="G17" s="73">
        <v>9608</v>
      </c>
      <c r="H17" s="73">
        <v>1537.28</v>
      </c>
      <c r="I17" s="73">
        <v>864.72</v>
      </c>
      <c r="J17" s="73">
        <v>48.04</v>
      </c>
      <c r="K17" s="73">
        <v>24.6</v>
      </c>
      <c r="L17" s="73"/>
      <c r="M17" s="73">
        <v>144.12</v>
      </c>
      <c r="N17" s="73">
        <v>673</v>
      </c>
      <c r="O17" s="73">
        <f t="shared" si="0"/>
        <v>3291.7599999999998</v>
      </c>
      <c r="P17" s="73">
        <v>768.64</v>
      </c>
      <c r="Q17" s="73">
        <v>192.16</v>
      </c>
      <c r="R17" s="73">
        <v>48.04</v>
      </c>
      <c r="S17" s="73"/>
      <c r="T17" s="73"/>
      <c r="U17" s="73">
        <v>673</v>
      </c>
      <c r="V17" s="73">
        <f t="shared" si="1"/>
        <v>1681.84</v>
      </c>
      <c r="W17" s="73">
        <v>7040.94</v>
      </c>
      <c r="X17" s="73"/>
      <c r="Y17" s="74">
        <f t="shared" si="2"/>
        <v>12841.419999999998</v>
      </c>
      <c r="AA17" s="72" t="s">
        <v>254</v>
      </c>
      <c r="AB17" s="72" t="s">
        <v>163</v>
      </c>
      <c r="AC17" s="75">
        <v>12114.54</v>
      </c>
      <c r="AD17" s="72" t="s">
        <v>253</v>
      </c>
      <c r="AE17" s="75">
        <v>726.88</v>
      </c>
    </row>
    <row r="18" spans="1:31" s="72" customFormat="1" ht="11.4" x14ac:dyDescent="0.25">
      <c r="A18" s="72">
        <v>3</v>
      </c>
      <c r="B18" s="72" t="s">
        <v>117</v>
      </c>
      <c r="C18" s="72" t="s">
        <v>250</v>
      </c>
      <c r="D18" s="72" t="s">
        <v>251</v>
      </c>
      <c r="E18" s="73">
        <v>946.29</v>
      </c>
      <c r="F18" s="73">
        <v>9424</v>
      </c>
      <c r="G18" s="73">
        <v>9424</v>
      </c>
      <c r="H18" s="73">
        <v>1507.84</v>
      </c>
      <c r="I18" s="73">
        <v>848.16</v>
      </c>
      <c r="J18" s="73">
        <v>47.12</v>
      </c>
      <c r="K18" s="73">
        <v>24.13</v>
      </c>
      <c r="L18" s="73"/>
      <c r="M18" s="73">
        <v>141.36000000000001</v>
      </c>
      <c r="N18" s="73">
        <v>660</v>
      </c>
      <c r="O18" s="73">
        <f t="shared" si="0"/>
        <v>3228.61</v>
      </c>
      <c r="P18" s="73">
        <v>753.92</v>
      </c>
      <c r="Q18" s="73">
        <v>188.48</v>
      </c>
      <c r="R18" s="73">
        <v>47.12</v>
      </c>
      <c r="S18" s="73"/>
      <c r="T18" s="73"/>
      <c r="U18" s="73">
        <v>660</v>
      </c>
      <c r="V18" s="73">
        <f t="shared" si="1"/>
        <v>1649.52</v>
      </c>
      <c r="W18" s="73">
        <v>9126.66</v>
      </c>
      <c r="X18" s="73"/>
      <c r="Y18" s="74">
        <f t="shared" si="2"/>
        <v>14951.08</v>
      </c>
      <c r="AA18" s="72" t="s">
        <v>255</v>
      </c>
      <c r="AB18" s="72" t="s">
        <v>118</v>
      </c>
      <c r="AC18" s="75">
        <v>14104.78</v>
      </c>
      <c r="AD18" s="72" t="s">
        <v>253</v>
      </c>
      <c r="AE18" s="75">
        <v>846.3</v>
      </c>
    </row>
    <row r="19" spans="1:31" s="72" customFormat="1" ht="11.4" x14ac:dyDescent="0.25">
      <c r="A19" s="72">
        <v>4</v>
      </c>
      <c r="B19" s="72" t="s">
        <v>144</v>
      </c>
      <c r="C19" s="72" t="s">
        <v>250</v>
      </c>
      <c r="D19" s="72" t="s">
        <v>251</v>
      </c>
      <c r="E19" s="73">
        <v>858.56</v>
      </c>
      <c r="F19" s="73">
        <v>10443</v>
      </c>
      <c r="G19" s="73">
        <v>10443</v>
      </c>
      <c r="H19" s="73">
        <v>1670.88</v>
      </c>
      <c r="I19" s="73">
        <v>939.88</v>
      </c>
      <c r="J19" s="73">
        <v>52.22</v>
      </c>
      <c r="K19" s="73">
        <v>26.73</v>
      </c>
      <c r="L19" s="73"/>
      <c r="M19" s="73">
        <v>156.65</v>
      </c>
      <c r="N19" s="73">
        <v>731</v>
      </c>
      <c r="O19" s="73">
        <f t="shared" si="0"/>
        <v>3577.36</v>
      </c>
      <c r="P19" s="73">
        <v>835.44</v>
      </c>
      <c r="Q19" s="73">
        <v>208.86</v>
      </c>
      <c r="R19" s="73">
        <v>52.22</v>
      </c>
      <c r="S19" s="73"/>
      <c r="T19" s="73"/>
      <c r="U19" s="73">
        <v>731</v>
      </c>
      <c r="V19" s="73">
        <f t="shared" si="1"/>
        <v>1827.5200000000002</v>
      </c>
      <c r="W19" s="73">
        <v>7137.78</v>
      </c>
      <c r="X19" s="73"/>
      <c r="Y19" s="74">
        <f t="shared" si="2"/>
        <v>13401.220000000001</v>
      </c>
      <c r="AA19" s="72" t="s">
        <v>256</v>
      </c>
      <c r="AB19" s="72" t="s">
        <v>145</v>
      </c>
      <c r="AC19" s="75">
        <v>12642.67</v>
      </c>
      <c r="AD19" s="72" t="s">
        <v>253</v>
      </c>
      <c r="AE19" s="75">
        <v>758.55</v>
      </c>
    </row>
    <row r="20" spans="1:31" s="72" customFormat="1" ht="11.4" x14ac:dyDescent="0.25">
      <c r="A20" s="72">
        <v>5</v>
      </c>
      <c r="B20" s="72" t="s">
        <v>159</v>
      </c>
      <c r="C20" s="72" t="s">
        <v>250</v>
      </c>
      <c r="D20" s="72" t="s">
        <v>251</v>
      </c>
      <c r="E20" s="73">
        <v>1042.76</v>
      </c>
      <c r="F20" s="73">
        <v>12136</v>
      </c>
      <c r="G20" s="73">
        <v>12136</v>
      </c>
      <c r="H20" s="73">
        <v>1941.76</v>
      </c>
      <c r="I20" s="73">
        <v>1092.24</v>
      </c>
      <c r="J20" s="73">
        <v>60.68</v>
      </c>
      <c r="K20" s="73">
        <v>31.07</v>
      </c>
      <c r="L20" s="73"/>
      <c r="M20" s="73">
        <v>182.04</v>
      </c>
      <c r="N20" s="73">
        <v>850</v>
      </c>
      <c r="O20" s="73">
        <f t="shared" si="0"/>
        <v>4157.79</v>
      </c>
      <c r="P20" s="73">
        <v>970.88</v>
      </c>
      <c r="Q20" s="73">
        <v>242.72</v>
      </c>
      <c r="R20" s="73">
        <v>60.68</v>
      </c>
      <c r="S20" s="73"/>
      <c r="T20" s="73"/>
      <c r="U20" s="73">
        <v>850</v>
      </c>
      <c r="V20" s="73">
        <f t="shared" si="1"/>
        <v>2124.2799999999997</v>
      </c>
      <c r="W20" s="73">
        <v>9330.66</v>
      </c>
      <c r="X20" s="73"/>
      <c r="Y20" s="74">
        <f t="shared" si="2"/>
        <v>16655.489999999998</v>
      </c>
      <c r="AA20" s="72" t="s">
        <v>257</v>
      </c>
      <c r="AB20" s="72" t="s">
        <v>160</v>
      </c>
      <c r="AC20" s="75">
        <v>15712.74</v>
      </c>
      <c r="AD20" s="72" t="s">
        <v>253</v>
      </c>
      <c r="AE20" s="75">
        <v>942.75</v>
      </c>
    </row>
    <row r="21" spans="1:31" s="72" customFormat="1" ht="11.4" x14ac:dyDescent="0.25">
      <c r="A21" s="72">
        <v>6</v>
      </c>
      <c r="B21" s="72" t="s">
        <v>102</v>
      </c>
      <c r="C21" s="72" t="s">
        <v>250</v>
      </c>
      <c r="D21" s="72" t="s">
        <v>251</v>
      </c>
      <c r="E21" s="73">
        <v>723.67</v>
      </c>
      <c r="F21" s="73">
        <v>9226</v>
      </c>
      <c r="G21" s="73">
        <v>9226</v>
      </c>
      <c r="H21" s="73">
        <v>1476.16</v>
      </c>
      <c r="I21" s="73">
        <v>830.34</v>
      </c>
      <c r="J21" s="73">
        <v>46.13</v>
      </c>
      <c r="K21" s="73">
        <v>23.62</v>
      </c>
      <c r="L21" s="73"/>
      <c r="M21" s="73">
        <v>138.38999999999999</v>
      </c>
      <c r="N21" s="73">
        <v>646</v>
      </c>
      <c r="O21" s="73">
        <f t="shared" si="0"/>
        <v>3160.64</v>
      </c>
      <c r="P21" s="73">
        <v>738.08</v>
      </c>
      <c r="Q21" s="73">
        <v>184.52</v>
      </c>
      <c r="R21" s="73">
        <v>46.13</v>
      </c>
      <c r="S21" s="73"/>
      <c r="T21" s="73"/>
      <c r="U21" s="73">
        <v>646</v>
      </c>
      <c r="V21" s="73">
        <f t="shared" si="1"/>
        <v>1614.73</v>
      </c>
      <c r="W21" s="73">
        <v>5519.21</v>
      </c>
      <c r="X21" s="73"/>
      <c r="Y21" s="74">
        <f t="shared" si="2"/>
        <v>11018.25</v>
      </c>
      <c r="AA21" s="72" t="s">
        <v>258</v>
      </c>
      <c r="AB21" s="72" t="s">
        <v>103</v>
      </c>
      <c r="AC21" s="75">
        <v>10394.58</v>
      </c>
      <c r="AD21" s="72" t="s">
        <v>253</v>
      </c>
      <c r="AE21" s="75">
        <v>623.66999999999996</v>
      </c>
    </row>
    <row r="22" spans="1:31" s="72" customFormat="1" ht="11.4" x14ac:dyDescent="0.25">
      <c r="A22" s="72">
        <v>7</v>
      </c>
      <c r="B22" s="72" t="s">
        <v>150</v>
      </c>
      <c r="C22" s="72" t="s">
        <v>250</v>
      </c>
      <c r="D22" s="72" t="s">
        <v>251</v>
      </c>
      <c r="E22" s="73">
        <v>600.03</v>
      </c>
      <c r="F22" s="73">
        <v>7384</v>
      </c>
      <c r="G22" s="73">
        <v>4906</v>
      </c>
      <c r="H22" s="73">
        <v>1181.44</v>
      </c>
      <c r="I22" s="73">
        <v>664.56</v>
      </c>
      <c r="J22" s="73">
        <v>36.92</v>
      </c>
      <c r="K22" s="73">
        <v>18.899999999999999</v>
      </c>
      <c r="L22" s="73"/>
      <c r="M22" s="73">
        <v>110.76</v>
      </c>
      <c r="N22" s="73">
        <v>343</v>
      </c>
      <c r="O22" s="73">
        <f t="shared" si="0"/>
        <v>2355.58</v>
      </c>
      <c r="P22" s="73">
        <v>590.72</v>
      </c>
      <c r="Q22" s="73">
        <v>147.68</v>
      </c>
      <c r="R22" s="73">
        <v>36.92</v>
      </c>
      <c r="S22" s="73"/>
      <c r="T22" s="73"/>
      <c r="U22" s="73">
        <v>343</v>
      </c>
      <c r="V22" s="73">
        <f t="shared" si="1"/>
        <v>1118.3200000000002</v>
      </c>
      <c r="W22" s="73">
        <v>4760</v>
      </c>
      <c r="X22" s="73"/>
      <c r="Y22" s="74">
        <f t="shared" si="2"/>
        <v>8833.93</v>
      </c>
      <c r="AA22" s="72" t="s">
        <v>259</v>
      </c>
      <c r="AB22" s="72" t="s">
        <v>151</v>
      </c>
      <c r="AC22" s="75">
        <v>8333.89</v>
      </c>
      <c r="AD22" s="72" t="s">
        <v>253</v>
      </c>
      <c r="AE22" s="75">
        <v>500.04</v>
      </c>
    </row>
    <row r="23" spans="1:31" s="72" customFormat="1" ht="11.4" x14ac:dyDescent="0.25">
      <c r="A23" s="72">
        <v>8</v>
      </c>
      <c r="B23" s="72" t="s">
        <v>120</v>
      </c>
      <c r="C23" s="72" t="s">
        <v>250</v>
      </c>
      <c r="D23" s="72" t="s">
        <v>251</v>
      </c>
      <c r="E23" s="73">
        <v>935.06</v>
      </c>
      <c r="F23" s="73">
        <v>10475</v>
      </c>
      <c r="G23" s="73">
        <v>10475</v>
      </c>
      <c r="H23" s="73">
        <v>1676</v>
      </c>
      <c r="I23" s="73">
        <v>942.76</v>
      </c>
      <c r="J23" s="73">
        <v>52.38</v>
      </c>
      <c r="K23" s="73">
        <v>26.82</v>
      </c>
      <c r="L23" s="73"/>
      <c r="M23" s="73">
        <v>157.13</v>
      </c>
      <c r="N23" s="73">
        <v>733</v>
      </c>
      <c r="O23" s="73">
        <f t="shared" si="0"/>
        <v>3588.0900000000006</v>
      </c>
      <c r="P23" s="73">
        <v>838</v>
      </c>
      <c r="Q23" s="73">
        <v>209.5</v>
      </c>
      <c r="R23" s="73">
        <v>52.38</v>
      </c>
      <c r="S23" s="73"/>
      <c r="T23" s="73"/>
      <c r="U23" s="73">
        <v>733</v>
      </c>
      <c r="V23" s="73">
        <f t="shared" si="1"/>
        <v>1832.88</v>
      </c>
      <c r="W23" s="73">
        <v>8396.7199999999993</v>
      </c>
      <c r="X23" s="73"/>
      <c r="Y23" s="74">
        <f t="shared" si="2"/>
        <v>14752.75</v>
      </c>
      <c r="AA23" s="72" t="s">
        <v>260</v>
      </c>
      <c r="AB23" s="72" t="s">
        <v>121</v>
      </c>
      <c r="AC23" s="75">
        <v>13917.69</v>
      </c>
      <c r="AD23" s="72" t="s">
        <v>253</v>
      </c>
      <c r="AE23" s="75">
        <v>835.06</v>
      </c>
    </row>
    <row r="24" spans="1:31" s="72" customFormat="1" ht="11.4" x14ac:dyDescent="0.25">
      <c r="A24" s="72">
        <v>9</v>
      </c>
      <c r="B24" s="72" t="s">
        <v>168</v>
      </c>
      <c r="C24" s="72" t="s">
        <v>250</v>
      </c>
      <c r="D24" s="72" t="s">
        <v>251</v>
      </c>
      <c r="E24" s="73">
        <v>672.68000000000006</v>
      </c>
      <c r="F24" s="73">
        <v>7384</v>
      </c>
      <c r="G24" s="73">
        <v>7139</v>
      </c>
      <c r="H24" s="73">
        <v>1181.44</v>
      </c>
      <c r="I24" s="73">
        <v>664.56</v>
      </c>
      <c r="J24" s="73">
        <v>36.92</v>
      </c>
      <c r="K24" s="73">
        <v>18.899999999999999</v>
      </c>
      <c r="L24" s="73"/>
      <c r="M24" s="73">
        <v>110.76</v>
      </c>
      <c r="N24" s="73">
        <v>500</v>
      </c>
      <c r="O24" s="73">
        <f t="shared" si="0"/>
        <v>2512.58</v>
      </c>
      <c r="P24" s="73">
        <v>590.72</v>
      </c>
      <c r="Q24" s="73">
        <v>147.68</v>
      </c>
      <c r="R24" s="73">
        <v>36.92</v>
      </c>
      <c r="S24" s="73"/>
      <c r="T24" s="73"/>
      <c r="U24" s="73">
        <v>500</v>
      </c>
      <c r="V24" s="73">
        <f t="shared" si="1"/>
        <v>1275.3200000000002</v>
      </c>
      <c r="W24" s="73">
        <v>5656.84</v>
      </c>
      <c r="X24" s="73"/>
      <c r="Y24" s="74">
        <f t="shared" si="2"/>
        <v>10117.42</v>
      </c>
      <c r="AA24" s="72" t="s">
        <v>261</v>
      </c>
      <c r="AB24" s="72" t="s">
        <v>169</v>
      </c>
      <c r="AC24" s="75">
        <v>9544.73</v>
      </c>
      <c r="AD24" s="72" t="s">
        <v>253</v>
      </c>
      <c r="AE24" s="75">
        <v>572.69000000000005</v>
      </c>
    </row>
    <row r="25" spans="1:31" s="72" customFormat="1" ht="11.4" x14ac:dyDescent="0.25">
      <c r="A25" s="72">
        <v>10</v>
      </c>
      <c r="B25" s="72" t="s">
        <v>174</v>
      </c>
      <c r="C25" s="72" t="s">
        <v>250</v>
      </c>
      <c r="D25" s="72" t="s">
        <v>251</v>
      </c>
      <c r="E25" s="73">
        <v>783.3</v>
      </c>
      <c r="F25" s="73">
        <v>14537</v>
      </c>
      <c r="G25" s="73">
        <v>14537</v>
      </c>
      <c r="H25" s="73">
        <v>2325.92</v>
      </c>
      <c r="I25" s="73">
        <v>1308.3399999999999</v>
      </c>
      <c r="J25" s="73">
        <v>72.69</v>
      </c>
      <c r="K25" s="73">
        <v>37.21</v>
      </c>
      <c r="L25" s="73"/>
      <c r="M25" s="73">
        <v>218.06</v>
      </c>
      <c r="N25" s="73">
        <v>1018</v>
      </c>
      <c r="O25" s="73">
        <f t="shared" si="0"/>
        <v>4980.22</v>
      </c>
      <c r="P25" s="73">
        <v>1162.96</v>
      </c>
      <c r="Q25" s="73">
        <v>290.74</v>
      </c>
      <c r="R25" s="73">
        <v>72.69</v>
      </c>
      <c r="S25" s="73"/>
      <c r="T25" s="73"/>
      <c r="U25" s="73">
        <v>1018</v>
      </c>
      <c r="V25" s="73">
        <f t="shared" si="1"/>
        <v>2544.3900000000003</v>
      </c>
      <c r="W25" s="73">
        <v>3763.69</v>
      </c>
      <c r="X25" s="73"/>
      <c r="Y25" s="74">
        <f t="shared" si="2"/>
        <v>12071.6</v>
      </c>
      <c r="AA25" s="72" t="s">
        <v>262</v>
      </c>
      <c r="AB25" s="72" t="s">
        <v>175</v>
      </c>
      <c r="AC25" s="75">
        <v>11388.31</v>
      </c>
      <c r="AD25" s="72" t="s">
        <v>253</v>
      </c>
      <c r="AE25" s="75">
        <v>683.29</v>
      </c>
    </row>
    <row r="26" spans="1:31" s="72" customFormat="1" ht="11.4" x14ac:dyDescent="0.25">
      <c r="A26" s="72">
        <v>11</v>
      </c>
      <c r="B26" s="72" t="s">
        <v>126</v>
      </c>
      <c r="C26" s="72" t="s">
        <v>250</v>
      </c>
      <c r="D26" s="72" t="s">
        <v>251</v>
      </c>
      <c r="E26" s="73">
        <v>838.63</v>
      </c>
      <c r="F26" s="73">
        <v>9241</v>
      </c>
      <c r="G26" s="73">
        <v>9241</v>
      </c>
      <c r="H26" s="73">
        <v>1478.56</v>
      </c>
      <c r="I26" s="73">
        <v>831.7</v>
      </c>
      <c r="J26" s="73">
        <v>46.21</v>
      </c>
      <c r="K26" s="73">
        <v>23.66</v>
      </c>
      <c r="L26" s="73"/>
      <c r="M26" s="73">
        <v>138.62</v>
      </c>
      <c r="N26" s="73">
        <v>647</v>
      </c>
      <c r="O26" s="73">
        <f t="shared" si="0"/>
        <v>3165.75</v>
      </c>
      <c r="P26" s="73">
        <v>739.28</v>
      </c>
      <c r="Q26" s="73">
        <v>184.82</v>
      </c>
      <c r="R26" s="73">
        <v>46.21</v>
      </c>
      <c r="S26" s="73"/>
      <c r="T26" s="73"/>
      <c r="U26" s="73">
        <v>647</v>
      </c>
      <c r="V26" s="73">
        <f t="shared" si="1"/>
        <v>1617.31</v>
      </c>
      <c r="W26" s="73">
        <v>7427.45</v>
      </c>
      <c r="X26" s="73"/>
      <c r="Y26" s="74">
        <f t="shared" si="2"/>
        <v>13049.14</v>
      </c>
      <c r="AA26" s="72" t="s">
        <v>263</v>
      </c>
      <c r="AB26" s="72" t="s">
        <v>127</v>
      </c>
      <c r="AC26" s="75">
        <v>12310.51</v>
      </c>
      <c r="AD26" s="72" t="s">
        <v>253</v>
      </c>
      <c r="AE26" s="75">
        <v>738.63</v>
      </c>
    </row>
    <row r="27" spans="1:31" s="72" customFormat="1" ht="11.4" x14ac:dyDescent="0.25">
      <c r="A27" s="72">
        <v>12</v>
      </c>
      <c r="B27" s="72" t="s">
        <v>141</v>
      </c>
      <c r="C27" s="72" t="s">
        <v>250</v>
      </c>
      <c r="D27" s="72" t="s">
        <v>251</v>
      </c>
      <c r="E27" s="73">
        <v>871.74</v>
      </c>
      <c r="F27" s="73">
        <v>11152</v>
      </c>
      <c r="G27" s="73">
        <v>11152</v>
      </c>
      <c r="H27" s="73">
        <v>1784.32</v>
      </c>
      <c r="I27" s="73">
        <v>1003.68</v>
      </c>
      <c r="J27" s="73">
        <v>55.76</v>
      </c>
      <c r="K27" s="73">
        <v>28.55</v>
      </c>
      <c r="L27" s="73"/>
      <c r="M27" s="73">
        <v>167.28</v>
      </c>
      <c r="N27" s="73">
        <v>781</v>
      </c>
      <c r="O27" s="73">
        <f t="shared" si="0"/>
        <v>3820.5900000000006</v>
      </c>
      <c r="P27" s="73">
        <v>892.16</v>
      </c>
      <c r="Q27" s="73">
        <v>223.04</v>
      </c>
      <c r="R27" s="73">
        <v>55.76</v>
      </c>
      <c r="S27" s="73"/>
      <c r="T27" s="73"/>
      <c r="U27" s="73">
        <v>781</v>
      </c>
      <c r="V27" s="73">
        <f t="shared" si="1"/>
        <v>1951.96</v>
      </c>
      <c r="W27" s="73">
        <v>6989.85</v>
      </c>
      <c r="X27" s="73"/>
      <c r="Y27" s="74">
        <f t="shared" si="2"/>
        <v>13634.140000000001</v>
      </c>
      <c r="AA27" s="72" t="s">
        <v>264</v>
      </c>
      <c r="AB27" s="72" t="s">
        <v>142</v>
      </c>
      <c r="AC27" s="75">
        <v>12862.39</v>
      </c>
      <c r="AD27" s="72" t="s">
        <v>253</v>
      </c>
      <c r="AE27" s="75">
        <v>771.75</v>
      </c>
    </row>
    <row r="28" spans="1:31" s="72" customFormat="1" ht="11.4" x14ac:dyDescent="0.25">
      <c r="A28" s="72">
        <v>13</v>
      </c>
      <c r="B28" s="72" t="s">
        <v>138</v>
      </c>
      <c r="C28" s="72" t="s">
        <v>250</v>
      </c>
      <c r="D28" s="72" t="s">
        <v>251</v>
      </c>
      <c r="E28" s="73">
        <v>745.38</v>
      </c>
      <c r="F28" s="73">
        <v>7474</v>
      </c>
      <c r="G28" s="73">
        <v>7474</v>
      </c>
      <c r="H28" s="73">
        <v>1195.8399999999999</v>
      </c>
      <c r="I28" s="73">
        <v>672.66</v>
      </c>
      <c r="J28" s="73">
        <v>37.369999999999997</v>
      </c>
      <c r="K28" s="73">
        <v>19.13</v>
      </c>
      <c r="L28" s="73"/>
      <c r="M28" s="73">
        <v>112.11</v>
      </c>
      <c r="N28" s="73">
        <v>523</v>
      </c>
      <c r="O28" s="73">
        <f t="shared" si="0"/>
        <v>2560.1099999999997</v>
      </c>
      <c r="P28" s="73">
        <v>597.91999999999996</v>
      </c>
      <c r="Q28" s="73">
        <v>149.47999999999999</v>
      </c>
      <c r="R28" s="73">
        <v>37.369999999999997</v>
      </c>
      <c r="S28" s="73"/>
      <c r="T28" s="73"/>
      <c r="U28" s="73">
        <v>523</v>
      </c>
      <c r="V28" s="73">
        <f t="shared" si="1"/>
        <v>1307.77</v>
      </c>
      <c r="W28" s="73">
        <v>6788.43</v>
      </c>
      <c r="X28" s="73"/>
      <c r="Y28" s="74">
        <f t="shared" si="2"/>
        <v>11401.69</v>
      </c>
      <c r="AA28" s="72" t="s">
        <v>265</v>
      </c>
      <c r="AB28" s="72" t="s">
        <v>139</v>
      </c>
      <c r="AC28" s="75">
        <v>10756.3</v>
      </c>
      <c r="AD28" s="72" t="s">
        <v>253</v>
      </c>
      <c r="AE28" s="75">
        <v>645.39</v>
      </c>
    </row>
    <row r="29" spans="1:31" s="72" customFormat="1" ht="11.4" x14ac:dyDescent="0.25">
      <c r="A29" s="72">
        <v>14</v>
      </c>
      <c r="B29" s="72" t="s">
        <v>111</v>
      </c>
      <c r="C29" s="72" t="s">
        <v>250</v>
      </c>
      <c r="D29" s="72" t="s">
        <v>251</v>
      </c>
      <c r="E29" s="73">
        <v>741.11</v>
      </c>
      <c r="F29" s="73">
        <v>8261</v>
      </c>
      <c r="G29" s="73">
        <v>8261</v>
      </c>
      <c r="H29" s="73">
        <v>1321.76</v>
      </c>
      <c r="I29" s="73">
        <v>743.5</v>
      </c>
      <c r="J29" s="73">
        <v>41.31</v>
      </c>
      <c r="K29" s="73">
        <v>21.15</v>
      </c>
      <c r="L29" s="73"/>
      <c r="M29" s="73">
        <v>123.92</v>
      </c>
      <c r="N29" s="73">
        <v>578</v>
      </c>
      <c r="O29" s="73">
        <f t="shared" si="0"/>
        <v>2829.6400000000003</v>
      </c>
      <c r="P29" s="73">
        <v>660.88</v>
      </c>
      <c r="Q29" s="73">
        <v>165.22</v>
      </c>
      <c r="R29" s="73">
        <v>41.31</v>
      </c>
      <c r="S29" s="73"/>
      <c r="T29" s="73"/>
      <c r="U29" s="73">
        <v>578</v>
      </c>
      <c r="V29" s="73">
        <f t="shared" si="1"/>
        <v>1445.41</v>
      </c>
      <c r="W29" s="73">
        <v>6310.23</v>
      </c>
      <c r="X29" s="73"/>
      <c r="Y29" s="74">
        <f t="shared" si="2"/>
        <v>11326.39</v>
      </c>
      <c r="AA29" s="72" t="s">
        <v>266</v>
      </c>
      <c r="AB29" s="72" t="s">
        <v>112</v>
      </c>
      <c r="AC29" s="75">
        <v>10685.27</v>
      </c>
      <c r="AD29" s="72" t="s">
        <v>253</v>
      </c>
      <c r="AE29" s="75">
        <v>641.12</v>
      </c>
    </row>
    <row r="30" spans="1:31" s="72" customFormat="1" ht="11.4" x14ac:dyDescent="0.25">
      <c r="A30" s="72">
        <v>15</v>
      </c>
      <c r="B30" s="72" t="s">
        <v>114</v>
      </c>
      <c r="C30" s="72" t="s">
        <v>250</v>
      </c>
      <c r="D30" s="72" t="s">
        <v>251</v>
      </c>
      <c r="E30" s="73">
        <v>598.23</v>
      </c>
      <c r="F30" s="73">
        <v>7384</v>
      </c>
      <c r="G30" s="73">
        <v>4686</v>
      </c>
      <c r="H30" s="73">
        <v>1181.44</v>
      </c>
      <c r="I30" s="73">
        <v>664.56</v>
      </c>
      <c r="J30" s="73">
        <v>36.92</v>
      </c>
      <c r="K30" s="73">
        <v>18.899999999999999</v>
      </c>
      <c r="L30" s="73"/>
      <c r="M30" s="73">
        <v>110.76</v>
      </c>
      <c r="N30" s="73">
        <v>328</v>
      </c>
      <c r="O30" s="73">
        <f t="shared" si="0"/>
        <v>2340.58</v>
      </c>
      <c r="P30" s="73">
        <v>590.72</v>
      </c>
      <c r="Q30" s="73">
        <v>147.68</v>
      </c>
      <c r="R30" s="73">
        <v>36.92</v>
      </c>
      <c r="S30" s="73"/>
      <c r="T30" s="73"/>
      <c r="U30" s="73">
        <v>328</v>
      </c>
      <c r="V30" s="73">
        <f t="shared" si="1"/>
        <v>1103.3200000000002</v>
      </c>
      <c r="W30" s="73">
        <v>4760</v>
      </c>
      <c r="X30" s="73"/>
      <c r="Y30" s="74">
        <f t="shared" si="2"/>
        <v>8802.130000000001</v>
      </c>
      <c r="AA30" s="72" t="s">
        <v>267</v>
      </c>
      <c r="AB30" s="72" t="s">
        <v>115</v>
      </c>
      <c r="AC30" s="75">
        <v>8303.89</v>
      </c>
      <c r="AD30" s="72" t="s">
        <v>253</v>
      </c>
      <c r="AE30" s="75">
        <v>498.24</v>
      </c>
    </row>
    <row r="31" spans="1:31" s="72" customFormat="1" ht="11.4" x14ac:dyDescent="0.25">
      <c r="A31" s="72">
        <v>16</v>
      </c>
      <c r="B31" s="72" t="s">
        <v>108</v>
      </c>
      <c r="C31" s="72" t="s">
        <v>250</v>
      </c>
      <c r="D31" s="72" t="s">
        <v>251</v>
      </c>
      <c r="E31" s="73">
        <v>954.55</v>
      </c>
      <c r="F31" s="73">
        <v>16443</v>
      </c>
      <c r="G31" s="73">
        <v>16443</v>
      </c>
      <c r="H31" s="73">
        <v>2630.88</v>
      </c>
      <c r="I31" s="73">
        <v>1479.88</v>
      </c>
      <c r="J31" s="73">
        <v>82.22</v>
      </c>
      <c r="K31" s="73">
        <v>42.09</v>
      </c>
      <c r="L31" s="73"/>
      <c r="M31" s="73">
        <v>246.65</v>
      </c>
      <c r="N31" s="73">
        <v>1151</v>
      </c>
      <c r="O31" s="73">
        <f t="shared" si="0"/>
        <v>5632.72</v>
      </c>
      <c r="P31" s="73">
        <v>1315.44</v>
      </c>
      <c r="Q31" s="73">
        <v>328.86</v>
      </c>
      <c r="R31" s="73">
        <v>82.22</v>
      </c>
      <c r="S31" s="73"/>
      <c r="T31" s="73"/>
      <c r="U31" s="73">
        <v>1151</v>
      </c>
      <c r="V31" s="73">
        <f t="shared" si="1"/>
        <v>2877.5200000000004</v>
      </c>
      <c r="W31" s="73">
        <v>5632.38</v>
      </c>
      <c r="X31" s="73"/>
      <c r="Y31" s="74">
        <f t="shared" si="2"/>
        <v>15097.170000000002</v>
      </c>
      <c r="AA31" s="72" t="s">
        <v>268</v>
      </c>
      <c r="AB31" s="72" t="s">
        <v>109</v>
      </c>
      <c r="AC31" s="75">
        <v>14242.62</v>
      </c>
      <c r="AD31" s="72" t="s">
        <v>253</v>
      </c>
      <c r="AE31" s="75">
        <v>854.55</v>
      </c>
    </row>
    <row r="32" spans="1:31" s="72" customFormat="1" ht="11.4" x14ac:dyDescent="0.25">
      <c r="A32" s="72">
        <v>17</v>
      </c>
      <c r="B32" s="72" t="s">
        <v>95</v>
      </c>
      <c r="C32" s="72" t="s">
        <v>250</v>
      </c>
      <c r="D32" s="72" t="s">
        <v>251</v>
      </c>
      <c r="E32" s="73">
        <v>834.46</v>
      </c>
      <c r="F32" s="73">
        <v>8707</v>
      </c>
      <c r="G32" s="73">
        <v>8707</v>
      </c>
      <c r="H32" s="73">
        <v>1393.12</v>
      </c>
      <c r="I32" s="73">
        <v>783.64</v>
      </c>
      <c r="J32" s="73">
        <v>43.54</v>
      </c>
      <c r="K32" s="73">
        <v>22.29</v>
      </c>
      <c r="L32" s="73"/>
      <c r="M32" s="73">
        <v>130.61000000000001</v>
      </c>
      <c r="N32" s="73">
        <v>609</v>
      </c>
      <c r="O32" s="73">
        <f t="shared" si="0"/>
        <v>2982.2</v>
      </c>
      <c r="P32" s="73">
        <v>696.56</v>
      </c>
      <c r="Q32" s="73">
        <v>174.14</v>
      </c>
      <c r="R32" s="73">
        <v>43.54</v>
      </c>
      <c r="S32" s="73"/>
      <c r="T32" s="73"/>
      <c r="U32" s="73">
        <v>609</v>
      </c>
      <c r="V32" s="73">
        <f t="shared" si="1"/>
        <v>1523.2399999999998</v>
      </c>
      <c r="W32" s="73">
        <v>7635.44</v>
      </c>
      <c r="X32" s="73"/>
      <c r="Y32" s="74">
        <f t="shared" si="2"/>
        <v>12975.34</v>
      </c>
      <c r="AA32" s="72" t="s">
        <v>269</v>
      </c>
      <c r="AB32" s="72" t="s">
        <v>96</v>
      </c>
      <c r="AC32" s="75">
        <v>12240.88</v>
      </c>
      <c r="AD32" s="72" t="s">
        <v>253</v>
      </c>
      <c r="AE32" s="75">
        <v>734.46</v>
      </c>
    </row>
    <row r="33" spans="1:31" s="72" customFormat="1" ht="11.4" x14ac:dyDescent="0.25">
      <c r="A33" s="72">
        <v>18</v>
      </c>
      <c r="B33" s="72" t="s">
        <v>135</v>
      </c>
      <c r="C33" s="72" t="s">
        <v>250</v>
      </c>
      <c r="D33" s="72" t="s">
        <v>251</v>
      </c>
      <c r="E33" s="73">
        <v>1302.5999999999999</v>
      </c>
      <c r="F33" s="73">
        <v>18040</v>
      </c>
      <c r="G33" s="73">
        <v>18040</v>
      </c>
      <c r="H33" s="73">
        <v>2886.4</v>
      </c>
      <c r="I33" s="73">
        <v>1623.6</v>
      </c>
      <c r="J33" s="73">
        <v>90.2</v>
      </c>
      <c r="K33" s="73">
        <v>46.18</v>
      </c>
      <c r="L33" s="73"/>
      <c r="M33" s="73">
        <v>270.60000000000002</v>
      </c>
      <c r="N33" s="73">
        <v>1263</v>
      </c>
      <c r="O33" s="73">
        <f t="shared" si="0"/>
        <v>6179.9800000000005</v>
      </c>
      <c r="P33" s="73">
        <v>1443.2</v>
      </c>
      <c r="Q33" s="73">
        <v>360.8</v>
      </c>
      <c r="R33" s="73">
        <v>90.2</v>
      </c>
      <c r="S33" s="73"/>
      <c r="T33" s="73"/>
      <c r="U33" s="73">
        <v>1263</v>
      </c>
      <c r="V33" s="73">
        <f t="shared" si="1"/>
        <v>3157.2</v>
      </c>
      <c r="W33" s="73">
        <v>10606.22</v>
      </c>
      <c r="X33" s="73"/>
      <c r="Y33" s="74">
        <f t="shared" si="2"/>
        <v>21246</v>
      </c>
      <c r="AA33" s="72" t="s">
        <v>270</v>
      </c>
      <c r="AB33" s="72" t="s">
        <v>136</v>
      </c>
      <c r="AC33" s="75">
        <v>20043.400000000001</v>
      </c>
      <c r="AD33" s="72" t="s">
        <v>253</v>
      </c>
      <c r="AE33" s="75">
        <v>1202.5999999999999</v>
      </c>
    </row>
    <row r="34" spans="1:31" s="72" customFormat="1" ht="11.4" x14ac:dyDescent="0.25">
      <c r="A34" s="72">
        <v>19</v>
      </c>
      <c r="B34" s="72" t="s">
        <v>147</v>
      </c>
      <c r="C34" s="72" t="s">
        <v>250</v>
      </c>
      <c r="D34" s="72" t="s">
        <v>251</v>
      </c>
      <c r="E34" s="73">
        <v>804.68999999999994</v>
      </c>
      <c r="F34" s="73">
        <v>8102</v>
      </c>
      <c r="G34" s="73">
        <v>8102</v>
      </c>
      <c r="H34" s="73">
        <v>1296.32</v>
      </c>
      <c r="I34" s="73">
        <v>729.18</v>
      </c>
      <c r="J34" s="73">
        <v>40.51</v>
      </c>
      <c r="K34" s="73">
        <v>20.74</v>
      </c>
      <c r="L34" s="73"/>
      <c r="M34" s="73">
        <v>121.53</v>
      </c>
      <c r="N34" s="73">
        <v>567</v>
      </c>
      <c r="O34" s="73">
        <f t="shared" si="0"/>
        <v>2775.28</v>
      </c>
      <c r="P34" s="73">
        <v>648.16</v>
      </c>
      <c r="Q34" s="73">
        <v>162.04</v>
      </c>
      <c r="R34" s="73">
        <v>40.51</v>
      </c>
      <c r="S34" s="73"/>
      <c r="T34" s="73"/>
      <c r="U34" s="73">
        <v>567</v>
      </c>
      <c r="V34" s="73">
        <f t="shared" si="1"/>
        <v>1417.71</v>
      </c>
      <c r="W34" s="73">
        <v>7451.86</v>
      </c>
      <c r="X34" s="73"/>
      <c r="Y34" s="74">
        <f t="shared" si="2"/>
        <v>12449.54</v>
      </c>
      <c r="AA34" s="72" t="s">
        <v>271</v>
      </c>
      <c r="AB34" s="72" t="s">
        <v>148</v>
      </c>
      <c r="AC34" s="75">
        <v>11744.86</v>
      </c>
      <c r="AD34" s="72" t="s">
        <v>253</v>
      </c>
      <c r="AE34" s="75">
        <v>704.68</v>
      </c>
    </row>
    <row r="35" spans="1:31" s="72" customFormat="1" ht="11.4" x14ac:dyDescent="0.25">
      <c r="A35" s="72">
        <v>20</v>
      </c>
      <c r="B35" s="72" t="s">
        <v>165</v>
      </c>
      <c r="C35" s="72" t="s">
        <v>250</v>
      </c>
      <c r="D35" s="72" t="s">
        <v>251</v>
      </c>
      <c r="E35" s="73">
        <v>673.44</v>
      </c>
      <c r="F35" s="73">
        <v>7974</v>
      </c>
      <c r="G35" s="73">
        <v>7974</v>
      </c>
      <c r="H35" s="73">
        <v>1275.8399999999999</v>
      </c>
      <c r="I35" s="73">
        <v>717.66</v>
      </c>
      <c r="J35" s="73">
        <v>39.869999999999997</v>
      </c>
      <c r="K35" s="73">
        <v>20.41</v>
      </c>
      <c r="L35" s="73"/>
      <c r="M35" s="73">
        <v>119.61</v>
      </c>
      <c r="N35" s="73">
        <v>558</v>
      </c>
      <c r="O35" s="73">
        <f t="shared" si="0"/>
        <v>2731.39</v>
      </c>
      <c r="P35" s="73">
        <v>637.91999999999996</v>
      </c>
      <c r="Q35" s="73">
        <v>159.47999999999999</v>
      </c>
      <c r="R35" s="73">
        <v>39.869999999999997</v>
      </c>
      <c r="S35" s="73"/>
      <c r="T35" s="73"/>
      <c r="U35" s="73">
        <v>558</v>
      </c>
      <c r="V35" s="73">
        <f t="shared" si="1"/>
        <v>1395.27</v>
      </c>
      <c r="W35" s="73">
        <v>5330.59</v>
      </c>
      <c r="X35" s="73"/>
      <c r="Y35" s="74">
        <f t="shared" si="2"/>
        <v>10130.69</v>
      </c>
      <c r="AA35" s="72" t="s">
        <v>272</v>
      </c>
      <c r="AB35" s="72" t="s">
        <v>166</v>
      </c>
      <c r="AC35" s="75">
        <v>9557.25</v>
      </c>
      <c r="AD35" s="72" t="s">
        <v>253</v>
      </c>
      <c r="AE35" s="75">
        <v>573.44000000000005</v>
      </c>
    </row>
    <row r="36" spans="1:31" s="72" customFormat="1" ht="11.4" x14ac:dyDescent="0.25">
      <c r="A36" s="72">
        <v>21</v>
      </c>
      <c r="B36" s="72" t="s">
        <v>99</v>
      </c>
      <c r="C36" s="72" t="s">
        <v>250</v>
      </c>
      <c r="D36" s="72" t="s">
        <v>251</v>
      </c>
      <c r="E36" s="73">
        <v>581.18999999999994</v>
      </c>
      <c r="F36" s="73">
        <v>8888</v>
      </c>
      <c r="G36" s="73">
        <v>8888</v>
      </c>
      <c r="H36" s="73">
        <v>1422.08</v>
      </c>
      <c r="I36" s="73">
        <v>799.92</v>
      </c>
      <c r="J36" s="73">
        <v>44.44</v>
      </c>
      <c r="K36" s="73">
        <v>22.75</v>
      </c>
      <c r="L36" s="73"/>
      <c r="M36" s="73">
        <v>133.32</v>
      </c>
      <c r="N36" s="73">
        <v>622</v>
      </c>
      <c r="O36" s="73">
        <f t="shared" si="0"/>
        <v>3044.51</v>
      </c>
      <c r="P36" s="73">
        <v>711.04</v>
      </c>
      <c r="Q36" s="73">
        <v>177.76</v>
      </c>
      <c r="R36" s="73">
        <v>44.44</v>
      </c>
      <c r="S36" s="73"/>
      <c r="T36" s="73"/>
      <c r="U36" s="73">
        <v>622</v>
      </c>
      <c r="V36" s="73">
        <f t="shared" si="1"/>
        <v>1555.24</v>
      </c>
      <c r="W36" s="73">
        <v>3320</v>
      </c>
      <c r="X36" s="73"/>
      <c r="Y36" s="74">
        <f t="shared" si="2"/>
        <v>8500.94</v>
      </c>
      <c r="AA36" s="72" t="s">
        <v>273</v>
      </c>
      <c r="AB36" s="72" t="s">
        <v>100</v>
      </c>
      <c r="AC36" s="75">
        <v>8019.74</v>
      </c>
      <c r="AD36" s="72" t="s">
        <v>253</v>
      </c>
      <c r="AE36" s="75">
        <v>481.2</v>
      </c>
    </row>
    <row r="37" spans="1:31" s="72" customFormat="1" ht="11.4" x14ac:dyDescent="0.25">
      <c r="A37" s="72">
        <v>22</v>
      </c>
      <c r="B37" s="72" t="s">
        <v>123</v>
      </c>
      <c r="C37" s="72" t="s">
        <v>250</v>
      </c>
      <c r="D37" s="72" t="s">
        <v>251</v>
      </c>
      <c r="E37" s="73">
        <v>707.21</v>
      </c>
      <c r="F37" s="73">
        <v>8472</v>
      </c>
      <c r="G37" s="73">
        <v>8472</v>
      </c>
      <c r="H37" s="73">
        <v>1355.52</v>
      </c>
      <c r="I37" s="73">
        <v>762.48</v>
      </c>
      <c r="J37" s="73">
        <v>42.36</v>
      </c>
      <c r="K37" s="73">
        <v>21.69</v>
      </c>
      <c r="L37" s="73"/>
      <c r="M37" s="73">
        <v>127.08</v>
      </c>
      <c r="N37" s="73">
        <v>593</v>
      </c>
      <c r="O37" s="73">
        <f t="shared" si="0"/>
        <v>2902.13</v>
      </c>
      <c r="P37" s="73">
        <v>677.76</v>
      </c>
      <c r="Q37" s="73">
        <v>169.44</v>
      </c>
      <c r="R37" s="73">
        <v>42.36</v>
      </c>
      <c r="S37" s="73"/>
      <c r="T37" s="73"/>
      <c r="U37" s="73">
        <v>593</v>
      </c>
      <c r="V37" s="73">
        <f t="shared" si="1"/>
        <v>1482.56</v>
      </c>
      <c r="W37" s="73">
        <v>5635.58</v>
      </c>
      <c r="X37" s="73"/>
      <c r="Y37" s="74">
        <f t="shared" si="2"/>
        <v>10727.48</v>
      </c>
      <c r="AA37" s="72" t="s">
        <v>274</v>
      </c>
      <c r="AB37" s="72" t="s">
        <v>124</v>
      </c>
      <c r="AC37" s="75">
        <v>10120.27</v>
      </c>
      <c r="AD37" s="72" t="s">
        <v>253</v>
      </c>
      <c r="AE37" s="75">
        <v>607.21</v>
      </c>
    </row>
    <row r="38" spans="1:31" s="72" customFormat="1" ht="11.4" x14ac:dyDescent="0.25">
      <c r="A38" s="72">
        <v>23</v>
      </c>
      <c r="B38" s="72" t="s">
        <v>153</v>
      </c>
      <c r="C38" s="72" t="s">
        <v>250</v>
      </c>
      <c r="D38" s="72" t="s">
        <v>251</v>
      </c>
      <c r="E38" s="73">
        <v>879.36</v>
      </c>
      <c r="F38" s="73">
        <v>7759</v>
      </c>
      <c r="G38" s="73">
        <v>7759</v>
      </c>
      <c r="H38" s="73">
        <v>1241.44</v>
      </c>
      <c r="I38" s="73">
        <v>698.32</v>
      </c>
      <c r="J38" s="73">
        <v>38.799999999999997</v>
      </c>
      <c r="K38" s="73">
        <v>19.86</v>
      </c>
      <c r="L38" s="73"/>
      <c r="M38" s="73">
        <v>116.39</v>
      </c>
      <c r="N38" s="73">
        <v>543</v>
      </c>
      <c r="O38" s="73">
        <f t="shared" si="0"/>
        <v>2657.81</v>
      </c>
      <c r="P38" s="73">
        <v>620.72</v>
      </c>
      <c r="Q38" s="73">
        <v>155.18</v>
      </c>
      <c r="R38" s="73">
        <v>38.799999999999997</v>
      </c>
      <c r="S38" s="73"/>
      <c r="T38" s="73"/>
      <c r="U38" s="73">
        <v>543</v>
      </c>
      <c r="V38" s="73">
        <f t="shared" si="1"/>
        <v>1357.7</v>
      </c>
      <c r="W38" s="73">
        <v>8873.7999999999993</v>
      </c>
      <c r="X38" s="73"/>
      <c r="Y38" s="74">
        <f t="shared" si="2"/>
        <v>13768.669999999998</v>
      </c>
      <c r="AA38" s="72" t="s">
        <v>275</v>
      </c>
      <c r="AB38" s="72" t="s">
        <v>154</v>
      </c>
      <c r="AC38" s="75">
        <v>12989.31</v>
      </c>
      <c r="AD38" s="72" t="s">
        <v>253</v>
      </c>
      <c r="AE38" s="75">
        <v>779.36</v>
      </c>
    </row>
    <row r="39" spans="1:31" s="72" customFormat="1" ht="11.4" x14ac:dyDescent="0.25">
      <c r="A39" s="72">
        <v>24</v>
      </c>
      <c r="B39" s="72" t="s">
        <v>177</v>
      </c>
      <c r="C39" s="72" t="s">
        <v>250</v>
      </c>
      <c r="D39" s="72" t="s">
        <v>251</v>
      </c>
      <c r="E39" s="73">
        <v>693.15</v>
      </c>
      <c r="F39" s="73">
        <v>7384</v>
      </c>
      <c r="G39" s="73">
        <v>5239</v>
      </c>
      <c r="H39" s="73">
        <v>1181.44</v>
      </c>
      <c r="I39" s="73">
        <v>664.56</v>
      </c>
      <c r="J39" s="73">
        <v>36.92</v>
      </c>
      <c r="K39" s="73">
        <v>18.899999999999999</v>
      </c>
      <c r="L39" s="73"/>
      <c r="M39" s="73">
        <v>110.76</v>
      </c>
      <c r="N39" s="73">
        <v>367</v>
      </c>
      <c r="O39" s="73">
        <f t="shared" si="0"/>
        <v>2379.58</v>
      </c>
      <c r="P39" s="73">
        <v>590.72</v>
      </c>
      <c r="Q39" s="73">
        <v>147.68</v>
      </c>
      <c r="R39" s="73">
        <v>36.92</v>
      </c>
      <c r="S39" s="73"/>
      <c r="T39" s="73"/>
      <c r="U39" s="73">
        <v>367</v>
      </c>
      <c r="V39" s="73">
        <f t="shared" si="1"/>
        <v>1142.3200000000002</v>
      </c>
      <c r="W39" s="73">
        <v>6264.04</v>
      </c>
      <c r="X39" s="73"/>
      <c r="Y39" s="74">
        <f t="shared" si="2"/>
        <v>10479.09</v>
      </c>
      <c r="AA39" s="72" t="s">
        <v>276</v>
      </c>
      <c r="AB39" s="72" t="s">
        <v>178</v>
      </c>
      <c r="AC39" s="75">
        <v>9885.93</v>
      </c>
      <c r="AD39" s="72" t="s">
        <v>253</v>
      </c>
      <c r="AE39" s="75">
        <v>593.16</v>
      </c>
    </row>
    <row r="40" spans="1:31" s="72" customFormat="1" ht="11.4" x14ac:dyDescent="0.25">
      <c r="A40" s="72">
        <v>25</v>
      </c>
      <c r="B40" s="72" t="s">
        <v>132</v>
      </c>
      <c r="C40" s="72" t="s">
        <v>250</v>
      </c>
      <c r="D40" s="72" t="s">
        <v>251</v>
      </c>
      <c r="E40" s="73">
        <v>650.91</v>
      </c>
      <c r="F40" s="73">
        <v>7384</v>
      </c>
      <c r="G40" s="73">
        <v>6830</v>
      </c>
      <c r="H40" s="73">
        <v>1181.44</v>
      </c>
      <c r="I40" s="73">
        <v>664.56</v>
      </c>
      <c r="J40" s="73">
        <v>36.92</v>
      </c>
      <c r="K40" s="73">
        <v>18.899999999999999</v>
      </c>
      <c r="L40" s="73"/>
      <c r="M40" s="73">
        <v>110.76</v>
      </c>
      <c r="N40" s="73">
        <v>478</v>
      </c>
      <c r="O40" s="73">
        <f t="shared" si="0"/>
        <v>2490.58</v>
      </c>
      <c r="P40" s="73">
        <v>590.72</v>
      </c>
      <c r="Q40" s="73">
        <v>147.68</v>
      </c>
      <c r="R40" s="73">
        <v>36.92</v>
      </c>
      <c r="S40" s="73"/>
      <c r="T40" s="73"/>
      <c r="U40" s="73">
        <v>478</v>
      </c>
      <c r="V40" s="73">
        <f t="shared" si="1"/>
        <v>1253.3200000000002</v>
      </c>
      <c r="W40" s="73">
        <v>5338.08</v>
      </c>
      <c r="X40" s="73"/>
      <c r="Y40" s="74">
        <f t="shared" si="2"/>
        <v>9732.89</v>
      </c>
      <c r="AA40" s="72" t="s">
        <v>277</v>
      </c>
      <c r="AB40" s="72" t="s">
        <v>133</v>
      </c>
      <c r="AC40" s="75">
        <v>9181.9699999999993</v>
      </c>
      <c r="AD40" s="72" t="s">
        <v>253</v>
      </c>
      <c r="AE40" s="75">
        <v>550.91999999999996</v>
      </c>
    </row>
    <row r="41" spans="1:31" s="72" customFormat="1" ht="11.4" x14ac:dyDescent="0.25">
      <c r="A41" s="72">
        <v>26</v>
      </c>
      <c r="B41" s="72" t="s">
        <v>105</v>
      </c>
      <c r="C41" s="72" t="s">
        <v>250</v>
      </c>
      <c r="D41" s="72" t="s">
        <v>251</v>
      </c>
      <c r="E41" s="73">
        <v>816.5</v>
      </c>
      <c r="F41" s="73">
        <v>10979</v>
      </c>
      <c r="G41" s="73">
        <v>10979</v>
      </c>
      <c r="H41" s="73">
        <v>1756.64</v>
      </c>
      <c r="I41" s="73">
        <v>988.12</v>
      </c>
      <c r="J41" s="73">
        <v>54.9</v>
      </c>
      <c r="K41" s="73">
        <v>28.11</v>
      </c>
      <c r="L41" s="73"/>
      <c r="M41" s="73">
        <v>164.69</v>
      </c>
      <c r="N41" s="73">
        <v>769</v>
      </c>
      <c r="O41" s="73">
        <f t="shared" si="0"/>
        <v>3761.4600000000005</v>
      </c>
      <c r="P41" s="73">
        <v>878.32</v>
      </c>
      <c r="Q41" s="73">
        <v>219.58</v>
      </c>
      <c r="R41" s="73">
        <v>54.9</v>
      </c>
      <c r="S41" s="73"/>
      <c r="T41" s="73"/>
      <c r="U41" s="73">
        <v>769</v>
      </c>
      <c r="V41" s="73">
        <f t="shared" si="1"/>
        <v>1921.8000000000002</v>
      </c>
      <c r="W41" s="73">
        <v>6158.38</v>
      </c>
      <c r="X41" s="73"/>
      <c r="Y41" s="74">
        <f t="shared" si="2"/>
        <v>12658.140000000001</v>
      </c>
      <c r="AA41" s="72" t="s">
        <v>278</v>
      </c>
      <c r="AB41" s="72" t="s">
        <v>106</v>
      </c>
      <c r="AC41" s="75">
        <v>11941.65</v>
      </c>
      <c r="AD41" s="72" t="s">
        <v>253</v>
      </c>
      <c r="AE41" s="75">
        <v>716.49</v>
      </c>
    </row>
    <row r="42" spans="1:31" s="72" customFormat="1" ht="11.4" x14ac:dyDescent="0.25">
      <c r="A42" s="72">
        <v>27</v>
      </c>
      <c r="B42" s="72" t="s">
        <v>171</v>
      </c>
      <c r="C42" s="72" t="s">
        <v>250</v>
      </c>
      <c r="D42" s="72" t="s">
        <v>251</v>
      </c>
      <c r="E42" s="73">
        <v>545.29999999999995</v>
      </c>
      <c r="F42" s="73">
        <v>11909</v>
      </c>
      <c r="G42" s="73">
        <v>11909</v>
      </c>
      <c r="H42" s="73">
        <v>1905.44</v>
      </c>
      <c r="I42" s="73">
        <v>1071.82</v>
      </c>
      <c r="J42" s="73">
        <v>59.55</v>
      </c>
      <c r="K42" s="73">
        <v>30.49</v>
      </c>
      <c r="L42" s="73"/>
      <c r="M42" s="73">
        <v>178.64</v>
      </c>
      <c r="N42" s="73">
        <v>834</v>
      </c>
      <c r="O42" s="73">
        <f t="shared" si="0"/>
        <v>4079.94</v>
      </c>
      <c r="P42" s="73">
        <v>952.72</v>
      </c>
      <c r="Q42" s="73">
        <v>238.18</v>
      </c>
      <c r="R42" s="73">
        <v>59.55</v>
      </c>
      <c r="S42" s="73"/>
      <c r="T42" s="73"/>
      <c r="U42" s="73">
        <v>834</v>
      </c>
      <c r="V42" s="73">
        <f t="shared" si="1"/>
        <v>2084.4499999999998</v>
      </c>
      <c r="W42" s="73">
        <v>1157.31</v>
      </c>
      <c r="X42" s="73"/>
      <c r="Y42" s="74">
        <f t="shared" si="2"/>
        <v>7867</v>
      </c>
      <c r="AA42" s="72" t="s">
        <v>279</v>
      </c>
      <c r="AB42" s="72" t="s">
        <v>172</v>
      </c>
      <c r="AC42" s="75">
        <v>7421.7</v>
      </c>
      <c r="AD42" s="72" t="s">
        <v>253</v>
      </c>
      <c r="AE42" s="75">
        <v>445.3</v>
      </c>
    </row>
    <row r="43" spans="1:31" s="72" customFormat="1" ht="11.4" x14ac:dyDescent="0.25">
      <c r="A43" s="72">
        <v>28</v>
      </c>
      <c r="B43" s="72" t="s">
        <v>129</v>
      </c>
      <c r="C43" s="72" t="s">
        <v>250</v>
      </c>
      <c r="D43" s="72" t="s">
        <v>251</v>
      </c>
      <c r="E43" s="73">
        <v>184.48</v>
      </c>
      <c r="F43" s="73"/>
      <c r="G43" s="73"/>
      <c r="H43" s="73"/>
      <c r="I43" s="73"/>
      <c r="J43" s="73"/>
      <c r="K43" s="73"/>
      <c r="L43" s="73"/>
      <c r="M43" s="73"/>
      <c r="N43" s="73"/>
      <c r="O43" s="73">
        <f t="shared" si="0"/>
        <v>0</v>
      </c>
      <c r="P43" s="73"/>
      <c r="Q43" s="73"/>
      <c r="R43" s="73"/>
      <c r="S43" s="73"/>
      <c r="T43" s="73"/>
      <c r="U43" s="73"/>
      <c r="V43" s="73">
        <f t="shared" si="1"/>
        <v>0</v>
      </c>
      <c r="W43" s="73">
        <v>3074.66</v>
      </c>
      <c r="X43" s="73"/>
      <c r="Y43" s="74">
        <f>SUM(E43,O43,V43:X43)</f>
        <v>3259.14</v>
      </c>
      <c r="AA43" s="72" t="s">
        <v>280</v>
      </c>
      <c r="AB43" s="72" t="s">
        <v>130</v>
      </c>
      <c r="AC43" s="75">
        <v>3074.66</v>
      </c>
      <c r="AD43" s="72" t="s">
        <v>253</v>
      </c>
      <c r="AE43" s="75">
        <v>184.48</v>
      </c>
    </row>
    <row r="44" spans="1:31" s="72" customFormat="1" ht="11.4" x14ac:dyDescent="0.25">
      <c r="A44" s="72" t="s">
        <v>281</v>
      </c>
      <c r="E44" s="73">
        <f>SUM(E16:E43)</f>
        <v>21752.279999999995</v>
      </c>
      <c r="F44" s="73"/>
      <c r="G44" s="73"/>
      <c r="H44" s="73">
        <f t="shared" ref="H44:Y44" si="3">SUM(H16:H43)</f>
        <v>42594.080000000002</v>
      </c>
      <c r="I44" s="73">
        <f t="shared" si="3"/>
        <v>23959.279999999999</v>
      </c>
      <c r="J44" s="73">
        <f t="shared" si="3"/>
        <v>1331.1200000000001</v>
      </c>
      <c r="K44" s="73">
        <f t="shared" si="3"/>
        <v>681.49</v>
      </c>
      <c r="L44" s="73">
        <f t="shared" si="3"/>
        <v>0</v>
      </c>
      <c r="M44" s="73">
        <f t="shared" si="3"/>
        <v>3993.2500000000009</v>
      </c>
      <c r="N44" s="73">
        <f t="shared" si="3"/>
        <v>18068</v>
      </c>
      <c r="O44" s="73">
        <f t="shared" si="3"/>
        <v>90627.220000000016</v>
      </c>
      <c r="P44" s="73">
        <f t="shared" si="3"/>
        <v>21297.040000000001</v>
      </c>
      <c r="Q44" s="73">
        <f t="shared" si="3"/>
        <v>5324.26</v>
      </c>
      <c r="R44" s="73">
        <f t="shared" si="3"/>
        <v>1331.1200000000001</v>
      </c>
      <c r="S44" s="73">
        <f t="shared" si="3"/>
        <v>0</v>
      </c>
      <c r="T44" s="73">
        <f t="shared" si="3"/>
        <v>0</v>
      </c>
      <c r="U44" s="73">
        <f t="shared" si="3"/>
        <v>18068</v>
      </c>
      <c r="V44" s="73">
        <f t="shared" si="3"/>
        <v>46020.419999999991</v>
      </c>
      <c r="W44" s="73">
        <f t="shared" si="3"/>
        <v>178190.97999999998</v>
      </c>
      <c r="X44" s="73">
        <f t="shared" si="3"/>
        <v>0</v>
      </c>
      <c r="Y44" s="74">
        <f t="shared" si="3"/>
        <v>336590.9</v>
      </c>
      <c r="AC44" s="75">
        <f>SUM(AC16:AC43)</f>
        <v>317538.57999999996</v>
      </c>
      <c r="AE44" s="75">
        <f>SUM(AE16:AE43)</f>
        <v>19052.32</v>
      </c>
    </row>
    <row r="45" spans="1:31" s="72" customFormat="1" ht="11.4" x14ac:dyDescent="0.25">
      <c r="A45" s="76" t="s">
        <v>282</v>
      </c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7">
        <v>336590.9</v>
      </c>
      <c r="AC45" s="75"/>
      <c r="AE45" s="75"/>
    </row>
    <row r="46" spans="1:31" x14ac:dyDescent="0.25"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</row>
    <row r="47" spans="1:31" x14ac:dyDescent="0.25">
      <c r="A47" s="55" t="s">
        <v>283</v>
      </c>
    </row>
    <row r="48" spans="1:31" ht="25.05" customHeight="1" x14ac:dyDescent="0.25">
      <c r="A48" s="97" t="s">
        <v>284</v>
      </c>
      <c r="B48" s="97" t="s">
        <v>285</v>
      </c>
      <c r="C48" s="97" t="s">
        <v>227</v>
      </c>
      <c r="D48" s="97" t="s">
        <v>286</v>
      </c>
    </row>
    <row r="49" spans="1:31" ht="25.05" customHeight="1" x14ac:dyDescent="0.25">
      <c r="A49" s="98"/>
      <c r="B49" s="98"/>
      <c r="C49" s="98"/>
      <c r="D49" s="98"/>
    </row>
    <row r="50" spans="1:31" x14ac:dyDescent="0.25">
      <c r="A50" s="72">
        <v>1</v>
      </c>
      <c r="B50" s="75">
        <v>317538.58</v>
      </c>
      <c r="C50" s="72" t="s">
        <v>253</v>
      </c>
      <c r="D50" s="75">
        <v>19052.32</v>
      </c>
    </row>
    <row r="51" spans="1:31" x14ac:dyDescent="0.25">
      <c r="A51" s="72" t="s">
        <v>287</v>
      </c>
      <c r="B51" s="75">
        <v>317538.58</v>
      </c>
      <c r="C51" s="72"/>
      <c r="D51" s="75">
        <v>19052.32</v>
      </c>
    </row>
    <row r="52" spans="1:31" x14ac:dyDescent="0.25">
      <c r="A52" s="92" t="s">
        <v>288</v>
      </c>
      <c r="B52" s="93"/>
      <c r="C52" s="93"/>
      <c r="D52" s="79">
        <v>19052.32</v>
      </c>
    </row>
    <row r="53" spans="1:31" x14ac:dyDescent="0.25">
      <c r="A53" s="80" t="s">
        <v>289</v>
      </c>
    </row>
    <row r="54" spans="1:31" x14ac:dyDescent="0.25">
      <c r="A54" s="81">
        <v>336590.9</v>
      </c>
    </row>
    <row r="55" spans="1:31" x14ac:dyDescent="0.25">
      <c r="A55" s="80" t="s">
        <v>290</v>
      </c>
    </row>
    <row r="57" spans="1:31" s="83" customFormat="1" ht="17.399999999999999" x14ac:dyDescent="0.25">
      <c r="A57" s="82" t="s">
        <v>291</v>
      </c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AC57" s="84"/>
      <c r="AE57" s="84"/>
    </row>
    <row r="59" spans="1:31" x14ac:dyDescent="0.25">
      <c r="A59" s="85" t="s">
        <v>292</v>
      </c>
      <c r="J59" s="56" t="s">
        <v>293</v>
      </c>
    </row>
    <row r="61" spans="1:31" x14ac:dyDescent="0.25">
      <c r="A61" s="54" t="s">
        <v>294</v>
      </c>
      <c r="G61" s="86" t="s">
        <v>294</v>
      </c>
    </row>
    <row r="62" spans="1:31" x14ac:dyDescent="0.25">
      <c r="A62" s="54" t="s">
        <v>295</v>
      </c>
      <c r="G62" s="86" t="s">
        <v>296</v>
      </c>
    </row>
    <row r="63" spans="1:31" x14ac:dyDescent="0.25">
      <c r="A63" s="54" t="s">
        <v>297</v>
      </c>
      <c r="G63" s="86" t="s">
        <v>298</v>
      </c>
    </row>
    <row r="64" spans="1:31" x14ac:dyDescent="0.25">
      <c r="A64" s="54" t="s">
        <v>299</v>
      </c>
      <c r="G64" s="86" t="s">
        <v>300</v>
      </c>
    </row>
    <row r="65" spans="1:10" x14ac:dyDescent="0.25">
      <c r="A65" s="54" t="s">
        <v>301</v>
      </c>
      <c r="G65" s="86" t="s">
        <v>302</v>
      </c>
    </row>
    <row r="67" spans="1:10" x14ac:dyDescent="0.25">
      <c r="A67" s="54" t="s">
        <v>294</v>
      </c>
    </row>
    <row r="68" spans="1:10" x14ac:dyDescent="0.25">
      <c r="A68" s="54" t="s">
        <v>303</v>
      </c>
    </row>
    <row r="69" spans="1:10" x14ac:dyDescent="0.25">
      <c r="A69" s="54" t="s">
        <v>304</v>
      </c>
    </row>
    <row r="70" spans="1:10" x14ac:dyDescent="0.25">
      <c r="A70" s="54" t="s">
        <v>305</v>
      </c>
    </row>
    <row r="71" spans="1:10" x14ac:dyDescent="0.25">
      <c r="A71" s="54" t="s">
        <v>306</v>
      </c>
    </row>
    <row r="73" spans="1:10" x14ac:dyDescent="0.25">
      <c r="A73" s="85" t="s">
        <v>307</v>
      </c>
      <c r="D73" s="85" t="s">
        <v>308</v>
      </c>
      <c r="G73" s="86" t="s">
        <v>204</v>
      </c>
    </row>
    <row r="74" spans="1:10" x14ac:dyDescent="0.25">
      <c r="A74" s="85" t="s">
        <v>309</v>
      </c>
      <c r="G74" s="87" t="s">
        <v>310</v>
      </c>
    </row>
    <row r="75" spans="1:10" x14ac:dyDescent="0.25">
      <c r="A75" s="85" t="s">
        <v>311</v>
      </c>
      <c r="D75" s="85" t="s">
        <v>312</v>
      </c>
      <c r="G75" s="87" t="s">
        <v>313</v>
      </c>
    </row>
    <row r="76" spans="1:10" x14ac:dyDescent="0.25">
      <c r="A76" s="85" t="s">
        <v>314</v>
      </c>
      <c r="D76" s="85" t="s">
        <v>315</v>
      </c>
      <c r="G76" s="87" t="s">
        <v>316</v>
      </c>
      <c r="J76" s="87" t="s">
        <v>317</v>
      </c>
    </row>
    <row r="78" spans="1:10" x14ac:dyDescent="0.25">
      <c r="A78" s="85" t="s">
        <v>318</v>
      </c>
      <c r="B78" s="85" t="s">
        <v>319</v>
      </c>
    </row>
    <row r="79" spans="1:10" x14ac:dyDescent="0.25">
      <c r="B79" s="85" t="s">
        <v>320</v>
      </c>
    </row>
    <row r="80" spans="1:10" x14ac:dyDescent="0.25">
      <c r="B80" s="85" t="s">
        <v>321</v>
      </c>
    </row>
    <row r="81" spans="1:2" x14ac:dyDescent="0.25">
      <c r="B81" s="85" t="s">
        <v>322</v>
      </c>
    </row>
    <row r="82" spans="1:2" x14ac:dyDescent="0.25">
      <c r="B82" s="85" t="s">
        <v>323</v>
      </c>
    </row>
    <row r="84" spans="1:2" x14ac:dyDescent="0.25">
      <c r="A84" s="85" t="s">
        <v>324</v>
      </c>
      <c r="B84" s="85" t="s">
        <v>325</v>
      </c>
    </row>
    <row r="85" spans="1:2" x14ac:dyDescent="0.25">
      <c r="B85" s="85" t="s">
        <v>326</v>
      </c>
    </row>
  </sheetData>
  <mergeCells count="7">
    <mergeCell ref="A52:C52"/>
    <mergeCell ref="H14:M14"/>
    <mergeCell ref="P14:T14"/>
    <mergeCell ref="A48:A49"/>
    <mergeCell ref="B48:B49"/>
    <mergeCell ref="C48:C49"/>
    <mergeCell ref="D48:D49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202410</vt:lpstr>
      <vt:lpstr>对账单</vt:lpstr>
      <vt:lpstr>系统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蔡英杰</dc:creator>
  <cp:lastModifiedBy>罗紫丹</cp:lastModifiedBy>
  <dcterms:created xsi:type="dcterms:W3CDTF">2023-05-10T02:27:00Z</dcterms:created>
  <dcterms:modified xsi:type="dcterms:W3CDTF">2024-10-21T05:24:57Z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8233FB2981AF491AB94FABEB1FC6C762</vt:lpwstr>
  </property>
  <property fmtid="{D5CDD505-2E9C-101B-9397-08002B2CF9AE}" pid="3" name="KSOProductBuildVer">
    <vt:lpwstr>2052-12.8.2.15091</vt:lpwstr>
  </property>
</Properties>
</file>